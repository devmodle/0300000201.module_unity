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<sst xmlns="http://schemas.openxmlformats.org/spreadsheetml/2006/main" count="250" uniqueCount="167">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</sst>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73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74</v>
      </c>
      <c r="B33" s="24" t="s">
        <v>75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2"/>
      <c r="B34" s="12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76</v>
      </c>
      <c r="B35" s="12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74</v>
      </c>
      <c r="B36" s="24" t="s">
        <v>77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2"/>
      <c r="B37" s="12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24" t="s">
        <v>78</v>
      </c>
      <c r="B38" s="12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24" t="s">
        <v>74</v>
      </c>
      <c r="B39" s="24" t="s">
        <v>79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24"/>
      <c r="B40" s="24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24" t="s">
        <v>80</v>
      </c>
      <c r="B41" s="24" t="s">
        <v>81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24" t="s">
        <v>82</v>
      </c>
      <c r="B42" s="24" t="s">
        <v>83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24" t="s">
        <v>84</v>
      </c>
      <c r="B43" s="24" t="s">
        <v>85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24" t="s">
        <v>86</v>
      </c>
      <c r="B44" s="24" t="s">
        <v>87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24" t="s">
        <v>88</v>
      </c>
      <c r="B45" s="24" t="s">
        <v>89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24" t="s">
        <v>90</v>
      </c>
      <c r="B46" s="24" t="s">
        <v>91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24" t="s">
        <v>92</v>
      </c>
      <c r="B47" s="24" t="s">
        <v>93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24" t="s">
        <v>94</v>
      </c>
      <c r="B48" s="24" t="s">
        <v>95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24" t="s">
        <v>96</v>
      </c>
      <c r="B49" s="24" t="s">
        <v>97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24"/>
      <c r="B50" s="24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24" t="s">
        <v>98</v>
      </c>
      <c r="B51" s="24" t="s">
        <v>99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24" t="s">
        <v>100</v>
      </c>
      <c r="B52" s="24" t="s">
        <v>101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24" t="s">
        <v>102</v>
      </c>
      <c r="B53" s="24" t="s">
        <v>103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24" t="s">
        <v>104</v>
      </c>
      <c r="B54" s="24" t="s">
        <v>105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24" t="s">
        <v>106</v>
      </c>
      <c r="B55" s="24" t="s">
        <v>107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24" t="s">
        <v>108</v>
      </c>
      <c r="B56" s="24" t="s">
        <v>109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24" t="s">
        <v>110</v>
      </c>
      <c r="B57" s="24" t="s">
        <v>111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24" t="s">
        <v>112</v>
      </c>
      <c r="B58" s="24" t="s">
        <v>113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24" t="s">
        <v>114</v>
      </c>
      <c r="B59" s="24" t="s">
        <v>115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24"/>
      <c r="B60" s="24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24" t="s">
        <v>116</v>
      </c>
      <c r="B61" s="24" t="s">
        <v>117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24" t="s">
        <v>118</v>
      </c>
      <c r="B62" s="24" t="s">
        <v>119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24" t="s">
        <v>120</v>
      </c>
      <c r="B63" s="24" t="s">
        <v>121</v>
      </c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24" t="s">
        <v>122</v>
      </c>
      <c r="B64" s="24" t="s">
        <v>123</v>
      </c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24" t="s">
        <v>124</v>
      </c>
      <c r="B65" s="24" t="s">
        <v>125</v>
      </c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24" t="s">
        <v>126</v>
      </c>
      <c r="B66" s="24" t="s">
        <v>127</v>
      </c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24" t="s">
        <v>128</v>
      </c>
      <c r="B67" s="24" t="s">
        <v>129</v>
      </c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24" t="s">
        <v>130</v>
      </c>
      <c r="B68" s="24" t="s">
        <v>131</v>
      </c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24" t="s">
        <v>132</v>
      </c>
      <c r="B69" s="24" t="s">
        <v>133</v>
      </c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25"/>
      <c r="B70" s="25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24" t="s">
        <v>134</v>
      </c>
      <c r="B71" s="12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24" t="s">
        <v>74</v>
      </c>
      <c r="B72" s="24" t="s">
        <v>135</v>
      </c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136</v>
      </c>
      <c r="B1" s="27" t="s">
        <v>137</v>
      </c>
      <c r="C1" s="27" t="s">
        <v>138</v>
      </c>
      <c r="D1" s="27" t="s">
        <v>139</v>
      </c>
      <c r="E1" s="27" t="s">
        <v>140</v>
      </c>
      <c r="F1" s="27" t="s">
        <v>141</v>
      </c>
      <c r="G1" s="28" t="s">
        <v>142</v>
      </c>
      <c r="H1" s="29" t="s">
        <v>143</v>
      </c>
      <c r="I1" s="29" t="s">
        <v>144</v>
      </c>
      <c r="J1" s="29" t="s">
        <v>145</v>
      </c>
      <c r="K1" s="28" t="s">
        <v>146</v>
      </c>
      <c r="L1" s="30" t="s">
        <v>147</v>
      </c>
      <c r="M1" s="30" t="s">
        <v>148</v>
      </c>
      <c r="N1" s="26" t="s">
        <v>149</v>
      </c>
      <c r="O1" s="26" t="s">
        <v>150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151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README!$B$33,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152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README!$B$33,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153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README!$B$33,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154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README!$B$33,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155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README!$B$33,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156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README!$B$33,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157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README!$B$33,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136</v>
      </c>
      <c r="B1" s="27" t="s">
        <v>137</v>
      </c>
      <c r="C1" s="27" t="s">
        <v>138</v>
      </c>
      <c r="D1" s="27" t="s">
        <v>139</v>
      </c>
      <c r="E1" s="27" t="s">
        <v>140</v>
      </c>
      <c r="F1" s="27" t="s">
        <v>141</v>
      </c>
      <c r="G1" s="28" t="s">
        <v>142</v>
      </c>
      <c r="H1" s="29" t="s">
        <v>143</v>
      </c>
      <c r="I1" s="29" t="s">
        <v>144</v>
      </c>
      <c r="J1" s="29" t="s">
        <v>145</v>
      </c>
      <c r="K1" s="28" t="s">
        <v>146</v>
      </c>
      <c r="L1" s="30" t="s">
        <v>147</v>
      </c>
      <c r="M1" s="30" t="s">
        <v>148</v>
      </c>
      <c r="N1" s="26" t="s">
        <v>149</v>
      </c>
      <c r="O1" s="26" t="s">
        <v>150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158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README!$B$36,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159</v>
      </c>
      <c r="B3" s="32">
        <v>1.0</v>
      </c>
      <c r="C3" s="14">
        <v>0.0</v>
      </c>
      <c r="D3" s="14">
        <v>0.0</v>
      </c>
      <c r="E3" s="14">
        <v>1.0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100000100</v>
      </c>
      <c r="L3" s="13">
        <f>IF($A3="", -1, ($B3*README!$B$2)+($C3*README!$B$3)+($D3*README!$B$4)+($E3*README!$B$5)+($F3*README!$B$6)-1)</f>
        <v>100000099</v>
      </c>
      <c r="M3" s="13">
        <f>IF($A3="", -1, ($B3*README!$B$2)+($C3*README!$B$3)+($D3*README!$B$4)+($E3*README!$B$5)+($F3*README!$B$6)+1)</f>
        <v>100000101</v>
      </c>
      <c r="N3" s="34">
        <v>0.0</v>
      </c>
      <c r="O3" s="35" t="str">
        <f>JOIN("/", README!$B$36,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136</v>
      </c>
      <c r="B1" s="27" t="s">
        <v>137</v>
      </c>
      <c r="C1" s="27" t="s">
        <v>138</v>
      </c>
      <c r="D1" s="27" t="s">
        <v>139</v>
      </c>
      <c r="E1" s="27" t="s">
        <v>140</v>
      </c>
      <c r="F1" s="27" t="s">
        <v>141</v>
      </c>
      <c r="G1" s="28" t="s">
        <v>142</v>
      </c>
      <c r="H1" s="29" t="s">
        <v>143</v>
      </c>
      <c r="I1" s="29" t="s">
        <v>144</v>
      </c>
      <c r="J1" s="29" t="s">
        <v>145</v>
      </c>
      <c r="K1" s="28" t="s">
        <v>146</v>
      </c>
      <c r="L1" s="30" t="s">
        <v>147</v>
      </c>
      <c r="M1" s="30" t="s">
        <v>148</v>
      </c>
      <c r="N1" s="26" t="s">
        <v>149</v>
      </c>
      <c r="O1" s="26" t="s">
        <v>150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160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README!$B$51,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161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README!$B$51,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162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README!$B$51,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136</v>
      </c>
      <c r="B1" s="27" t="s">
        <v>137</v>
      </c>
      <c r="C1" s="27" t="s">
        <v>138</v>
      </c>
      <c r="D1" s="27" t="s">
        <v>139</v>
      </c>
      <c r="E1" s="27" t="s">
        <v>140</v>
      </c>
      <c r="F1" s="27" t="s">
        <v>141</v>
      </c>
      <c r="G1" s="28" t="s">
        <v>142</v>
      </c>
      <c r="H1" s="29" t="s">
        <v>143</v>
      </c>
      <c r="I1" s="29" t="s">
        <v>144</v>
      </c>
      <c r="J1" s="29" t="s">
        <v>145</v>
      </c>
      <c r="K1" s="28" t="s">
        <v>146</v>
      </c>
      <c r="L1" s="30" t="s">
        <v>147</v>
      </c>
      <c r="M1" s="30" t="s">
        <v>148</v>
      </c>
      <c r="N1" s="26" t="s">
        <v>149</v>
      </c>
      <c r="O1" s="26" t="s">
        <v>150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160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163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161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164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162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165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136</v>
      </c>
      <c r="B1" s="27" t="s">
        <v>137</v>
      </c>
      <c r="C1" s="27" t="s">
        <v>138</v>
      </c>
      <c r="D1" s="27" t="s">
        <v>139</v>
      </c>
      <c r="E1" s="27" t="s">
        <v>140</v>
      </c>
      <c r="F1" s="27" t="s">
        <v>141</v>
      </c>
      <c r="G1" s="28" t="s">
        <v>142</v>
      </c>
      <c r="H1" s="29" t="s">
        <v>143</v>
      </c>
      <c r="I1" s="29" t="s">
        <v>144</v>
      </c>
      <c r="J1" s="29" t="s">
        <v>145</v>
      </c>
      <c r="K1" s="28" t="s">
        <v>146</v>
      </c>
      <c r="L1" s="30" t="s">
        <v>147</v>
      </c>
      <c r="M1" s="30" t="s">
        <v>148</v>
      </c>
      <c r="N1" s="26" t="s">
        <v>149</v>
      </c>
      <c r="O1" s="26" t="s">
        <v>150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166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README!$B$72,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