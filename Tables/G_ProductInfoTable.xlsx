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<sst xmlns="http://schemas.openxmlformats.org/spreadsheetml/2006/main" count="230" uniqueCount="140">
  <si>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</si>
  <si>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</si>
  <si>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</si>
  <si>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</si>
  <si>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</si>
  <si>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</si>
  <si>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</si>
  <si>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</si>
  <si>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</si>
  <si>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</si>
  <si>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</si>
  <si>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</si>
  <si>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</si>
  <si>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</si>
  <si>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</si>
  <si>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</si>
  <si>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</si>
  <si>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</si>
  <si>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</si>
  <si>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</si>
  <si>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</si>
  <si>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</si>
  <si>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</si>
  <si>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</si>
  <si>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</si>
  <si>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</si>
  <si>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</si>
  <si>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</si>
  <si>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</si>
  <si>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</si>
  <si>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</si>
  <si>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</si>
  <si>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</si>
  <si>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</si>
  <si>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</si>
  <si>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</si>
  <si>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</si>
  <si>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</si>
  <si>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</si>
  <si>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</si>
  <si>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</si>
  <si>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</si>
  <si>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</si>
  <si>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</si>
  <si>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</si>
  <si>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</si>
  <si>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</si>
  <si>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</si>
  <si>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</si>
  <si>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</si>
  <si>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</si>
  <si>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</si>
  <si>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</si>
  <si>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</si>
  <si>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</si>
  <si>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</si>
  <si>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</si>
  <si>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</si>
  <si>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</si>
  <si>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</si>
  <si>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</si>
  <si>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</si>
  <si>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</si>
  <si>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</si>
  <si>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</si>
  <si>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</si>
  <si>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</si>
  <si>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</si>
  <si>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</si>
  <si>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</si>
  <si>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</si>
  <si>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</si>
  <si>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</si>
  <si>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</si>
  <si>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</si>
  <si>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</si>
  <si>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</si>
  <si>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</si>
  <si>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</si>
  <si>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</si>
  <si>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</si>
  <si>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</si>
  <si>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</si>
  <si>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</si>
  <si>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</si>
  <si>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</si>
  <si>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</si>
  <si>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</si>
  <si>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</si>
  <si>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</si>
  <si>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</si>
  <si>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</si>
  <si>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</si>
  <si>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</si>
  <si>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</si>
  <si>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</si>
  <si>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</si>
  <si>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</si>
  <si>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</si>
  <si>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</si>
  <si>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</si>
  <si>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</si>
  <si>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</si>
  <si>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</si>
  <si>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</si>
  <si>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</si>
  <si>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</si>
  <si>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</si>
  <si>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</si>
  <si>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</si>
  <si>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</si>
  <si>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</si>
  <si>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</si>
  <si>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</si>
  <si>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</si>
  <si>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</si>
  <si>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</si>
  <si>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</si>
  <si>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</si>
  <si>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</si>
  <si>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</si>
  <si>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</si>
  <si>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</si>
  <si>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</si>
  <si>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</si>
  <si>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</si>
  <si>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</si>
  <si>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</si>
  <si>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</si>
  <si>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</si>
  <si>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</si>
  <si>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</si>
  <si>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</si>
  <si>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</si>
  <si>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TableIdx</t>
  </si>
  <si>
    <t>ProductKinds</t>
  </si>
  <si>
    <t>PrevProductKinds</t>
  </si>
  <si>
    <t>NextProductKinds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</si>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</sst>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78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26" t="s">
        <v>121</v>
      </c>
      <c r="J2" s="31"/>
      <c r="K2" s="33" t="s">
        <v>122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123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26" t="s">
        <v>124</v>
      </c>
      <c r="J3" s="31"/>
      <c r="K3" s="33" t="s">
        <v>125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126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26" t="s">
        <v>127</v>
      </c>
      <c r="J4" s="31"/>
      <c r="K4" s="33" t="s">
        <v>128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 t="s">
        <v>129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26" t="s">
        <v>130</v>
      </c>
      <c r="J5" s="31"/>
      <c r="K5" s="33" t="s">
        <v>131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 t="s">
        <v>34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26" t="s">
        <v>132</v>
      </c>
      <c r="J6" s="31"/>
      <c r="K6" s="35" t="s">
        <v>133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1" t="s">
        <v>114</v>
      </c>
      <c r="H1" s="26" t="s">
        <v>115</v>
      </c>
      <c r="I1" s="26" t="s">
        <v>116</v>
      </c>
      <c r="J1" s="31" t="s">
        <v>117</v>
      </c>
      <c r="K1" s="31" t="s">
        <v>118</v>
      </c>
      <c r="L1" s="31" t="s">
        <v>119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121</v>
      </c>
      <c r="J2" s="26"/>
      <c r="K2" s="14">
        <v>0.0</v>
      </c>
      <c r="L2" s="14">
        <f>IF($A2="", -1, ($B2*README!$B$2)+($C2*README!$B$3)+($D2*README!$B$4)+($E2*README!$B$5)+($F2*README!$B$6))</f>
        <v>0</v>
      </c>
      <c r="M2" s="14">
        <f>IF($A2="", -1, ($B2*README!$B$2)+($C2*README!$B$3)+($D2*README!$B$4)+($E2*README!$B$5)+($F2*README!$B$6)-1)</f>
        <v>-1</v>
      </c>
      <c r="N2" s="14">
        <f>IF($A2="", -1, ($B2*README!$B$2)+($C2*README!$B$3)+($D2*README!$B$4)+($E2*README!$B$5)+($F2*README!$B$6)+1)</f>
        <v>1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123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124</v>
      </c>
      <c r="J3" s="26"/>
      <c r="K3" s="14">
        <v>1.0</v>
      </c>
      <c r="L3" s="14">
        <f>IF($A3="", -1, ($B3*README!$B$2)+($C3*README!$B$3)+($D3*README!$B$4)+($E3*README!$B$5)+($F3*README!$B$6))</f>
        <v>100</v>
      </c>
      <c r="M3" s="14">
        <f>IF($A3="", -1, ($B3*README!$B$2)+($C3*README!$B$3)+($D3*README!$B$4)+($E3*README!$B$5)+($F3*README!$B$6)-1)</f>
        <v>99</v>
      </c>
      <c r="N3" s="14">
        <f>IF($A3="", -1, ($B3*README!$B$2)+($C3*README!$B$3)+($D3*README!$B$4)+($E3*README!$B$5)+($F3*README!$B$6)+1)</f>
        <v>101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 t="s">
        <v>126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26" t="s">
        <v>127</v>
      </c>
      <c r="J4" s="26"/>
      <c r="K4" s="14">
        <v>2.0</v>
      </c>
      <c r="L4" s="14">
        <f>IF($A4="", -1, ($B4*README!$B$2)+($C4*README!$B$3)+($D4*README!$B$4)+($E4*README!$B$5)+($F4*README!$B$6))</f>
        <v>200</v>
      </c>
      <c r="M4" s="14">
        <f>IF($A4="", -1, ($B4*README!$B$2)+($C4*README!$B$3)+($D4*README!$B$4)+($E4*README!$B$5)+($F4*README!$B$6)-1)</f>
        <v>199</v>
      </c>
      <c r="N4" s="14">
        <f>IF($A4="", -1, ($B4*README!$B$2)+($C4*README!$B$3)+($D4*README!$B$4)+($E4*README!$B$5)+($F4*README!$B$6)+1)</f>
        <v>201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134</v>
      </c>
      <c r="L1" s="36" t="s">
        <v>135</v>
      </c>
      <c r="M1" s="36" t="s">
        <v>136</v>
      </c>
      <c r="N1" s="36" t="s">
        <v>137</v>
      </c>
      <c r="O1" s="26" t="s">
        <v>138</v>
      </c>
      <c r="P1" s="26" t="s">
        <v>139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130</v>
      </c>
      <c r="J2" s="26"/>
      <c r="K2" s="14">
        <v>3.0</v>
      </c>
      <c r="L2" s="14">
        <f>IF($A2="", -1, ($B2*README!$B$2)+($C2*README!$B$3)+($D2*README!$B$4)+($E2*README!$B$5)+($F2*README!$B$6))</f>
        <v>100000000</v>
      </c>
      <c r="M2" s="14">
        <f>IF($A2="", -1, ($B2*README!$B$2)+($C2*README!$B$3)+($D2*README!$B$4)+($E2*README!$B$5)+($F2*README!$B$6)-1)</f>
        <v>99999999</v>
      </c>
      <c r="N2" s="14">
        <f>IF($A2="", -1, ($B2*README!$B$2)+($C2*README!$B$3)+($D2*README!$B$4)+($E2*README!$B$5)+($F2*README!$B$6)+1)</f>
        <v>100000001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34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132</v>
      </c>
      <c r="J3" s="26"/>
      <c r="K3" s="14">
        <v>4.0</v>
      </c>
      <c r="L3" s="14">
        <f>IF($A3="", -1, ($B3*README!$B$2)+($C3*README!$B$3)+($D3*README!$B$4)+($E3*README!$B$5)+($F3*README!$B$6))</f>
        <v>100000100</v>
      </c>
      <c r="M3" s="14">
        <f>IF($A3="", -1, ($B3*README!$B$2)+($C3*README!$B$3)+($D3*README!$B$4)+($E3*README!$B$5)+($F3*README!$B$6)-1)</f>
        <v>100000099</v>
      </c>
      <c r="N3" s="14">
        <f>IF($A3="", -1, ($B3*README!$B$2)+($C3*README!$B$3)+($D3*README!$B$4)+($E3*README!$B$5)+($F3*README!$B$6)+1)</f>
        <v>100000101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