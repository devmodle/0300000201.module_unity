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Enhance" sheetId="3" r:id="rId6"/>
    <sheet state="visible" name="ActionBuyTrade" sheetId="4" r:id="rId7"/>
    <sheet state="visible" name="ActionSaleTrade" sheetId="5" r:id="rId8"/>
    <sheet state="visible" name="Active" sheetId="6" r:id="rId9"/>
    <sheet state="visible" name="ActiveEnhance" sheetId="7" r:id="rId10"/>
    <sheet state="visible" name="ActiveBuyTrade" sheetId="8" r:id="rId11"/>
    <sheet state="visible" name="ActiveSaleTrade" sheetId="9" r:id="rId12"/>
    <sheet state="visible" name="Passive" sheetId="10" r:id="rId13"/>
    <sheet state="visible" name="PassiveEnhance" sheetId="11" r:id="rId14"/>
    <sheet state="visible" name="PassiveBuyTrade" sheetId="12" r:id="rId15"/>
    <sheet state="visible" name="PassiveSaleTrade" sheetId="13" r:id="rId16"/>
  </sheets>
  <definedNames/>
  <calcPr/>
</workbook>
</file>

<file path=xl/sharedStrings.xml><?xml version="1.0" encoding="utf-8"?>
<sst xmlns="http://schemas.openxmlformats.org/spreadsheetml/2006/main" count="327" uniqueCount="139">
  <si>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</si>
  <si>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</si>
  <si>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</si>
  <si>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</si>
  <si>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</si>
  <si>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</si>
  <si>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</si>
  <si>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</si>
  <si>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</si>
  <si>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</si>
  <si>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</si>
  <si>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</si>
  <si>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</si>
  <si>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</si>
  <si>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</si>
  <si>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</si>
  <si>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</si>
  <si>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</si>
  <si>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</si>
  <si>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</si>
  <si>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</si>
  <si>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</si>
  <si>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</si>
  <si>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</si>
  <si>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</si>
  <si>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</si>
  <si>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</si>
  <si>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</si>
  <si>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</si>
  <si>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</si>
  <si>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</si>
  <si>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</si>
  <si>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</si>
  <si>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</si>
  <si>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</si>
  <si>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</si>
  <si>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</si>
  <si>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</si>
  <si>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</si>
  <si>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</si>
  <si>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</si>
  <si>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</si>
  <si>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</si>
  <si>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</si>
  <si>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</si>
  <si>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</si>
  <si>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</si>
  <si>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</si>
  <si>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</si>
  <si>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</si>
  <si>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</si>
  <si>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</si>
  <si>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</si>
  <si>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</si>
  <si>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</si>
  <si>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</si>
  <si>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</si>
  <si>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</si>
  <si>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</si>
  <si>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</si>
  <si>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</si>
  <si>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</si>
  <si>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</si>
  <si>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</si>
  <si>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</si>
  <si>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</si>
  <si>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</si>
  <si>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</si>
  <si>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</si>
  <si>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</si>
  <si>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</si>
  <si>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</si>
  <si>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</si>
  <si>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</si>
  <si>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</si>
  <si>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</si>
  <si>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스킬 타겟 종류</t>
  </si>
  <si>
    <t>방어력 - 2</t>
  </si>
  <si>
    <t>물리 방어력 - 1</t>
  </si>
  <si>
    <t>다수</t>
  </si>
  <si>
    <t>물리 방어력 - 2</t>
  </si>
  <si>
    <t>단일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</si>
  <si>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</si>
  <si>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</si>
  <si>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</si>
  <si>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</si>
  <si>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</si>
  <si>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</si>
  <si>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</si>
  <si>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</si>
  <si>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</si>
  <si>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</si>
  <si>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</si>
  <si>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</si>
  <si>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</si>
  <si>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</si>
  <si>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</si>
  <si>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</si>
  <si>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</si>
  <si>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</si>
  <si>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</si>
  <si>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</si>
  <si>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</si>
  <si>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</si>
  <si>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</si>
  <si>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</si>
  <si>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</si>
  <si>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</si>
  <si>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</si>
  <si>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</si>
  <si>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</si>
  <si>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</si>
  <si>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</si>
  <si>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</si>
  <si>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</si>
  <si>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</si>
  <si>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</si>
  <si>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</si>
  <si>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SkillKinds</t>
  </si>
  <si>
    <t>PrevSkillKinds</t>
  </si>
  <si>
    <t>NextSkillKinds</t>
  </si>
  <si>
    <t>SkillTargetKinds</t>
  </si>
  <si>
    <t>DurationInfo</t>
  </si>
  <si>
    <t>FXKinds_01</t>
  </si>
  <si>
    <t>ResKinds_01</t>
  </si>
  <si>
    <t>AbilityTargetInfo_01</t>
  </si>
  <si>
    <t>PayTargetInfo_01</t>
  </si>
  <si>
    <t>AcquireTargetInfo_01</t>
  </si>
  <si>
    <t>행동 스킬 강화 샘플</t>
  </si>
  <si>
    <t>행동 스킬 구입 샘플</t>
  </si>
  <si>
    <t>행동 스킬 판매 샘플</t>
  </si>
  <si>
    <t>액티브 스킬 샘플</t>
  </si>
  <si>
    <t>액티브 스킬 강화 샘플</t>
  </si>
  <si>
    <t>액티브 스킬 구입 샘플</t>
  </si>
  <si>
    <t>액티브 스킬 판매 샘플</t>
  </si>
  <si>
    <t>패시브 스킬 샘플</t>
  </si>
  <si>
    <t>패시브 스킬 강화 샘플</t>
  </si>
  <si>
    <t>패시브 스킬 구입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</si>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</sst>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76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78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79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81</v>
      </c>
      <c r="B35" s="28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84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85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86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87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90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91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96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97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102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103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106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107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2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2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2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2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2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2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2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2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2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2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2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2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2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2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2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2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2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2.88"/>
    <col customWidth="1" min="15" max="16" width="10.13"/>
    <col customWidth="1" min="17" max="17" width="10.88"/>
    <col customWidth="1" min="18" max="18" width="17.88"/>
    <col customWidth="1" min="19" max="24" width="12.63"/>
    <col customWidth="1" min="25" max="34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3" t="s">
        <v>114</v>
      </c>
      <c r="H1" s="26" t="s">
        <v>115</v>
      </c>
      <c r="I1" s="33" t="s">
        <v>116</v>
      </c>
      <c r="J1" s="33" t="s">
        <v>117</v>
      </c>
      <c r="K1" s="33" t="s">
        <v>118</v>
      </c>
      <c r="L1" s="33" t="s">
        <v>119</v>
      </c>
      <c r="M1" s="33" t="s">
        <v>120</v>
      </c>
      <c r="N1" s="34" t="s">
        <v>121</v>
      </c>
      <c r="O1" s="33" t="s">
        <v>122</v>
      </c>
      <c r="P1" s="35" t="s">
        <v>123</v>
      </c>
      <c r="Q1" s="35" t="s">
        <v>124</v>
      </c>
      <c r="R1" s="1" t="s">
        <v>125</v>
      </c>
      <c r="S1" s="35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6">
        <f>README!$B$33</f>
        <v>-1</v>
      </c>
      <c r="O2" s="36" t="str">
        <f>JOIN(", ", 0, 0, 0)</f>
        <v>0, 0, 0</v>
      </c>
      <c r="P2" s="37">
        <f>README!$T$2</f>
        <v>-1</v>
      </c>
      <c r="Q2" s="37">
        <f>README!$J$2</f>
        <v>-1</v>
      </c>
      <c r="R2" s="14" t="str">
        <f>JOIN(", ", README!$L$21, README!$B$27, -1, README!$B$10, 0)</f>
        <v>300000000, -1, -1, 0, 0</v>
      </c>
      <c r="S2" s="37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7"/>
      <c r="Q3" s="37"/>
      <c r="R3" s="1"/>
      <c r="S3" s="37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7"/>
      <c r="Q4" s="37"/>
      <c r="R4" s="1"/>
      <c r="S4" s="37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7"/>
      <c r="Q5" s="37"/>
      <c r="R5" s="1"/>
      <c r="S5" s="37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7"/>
      <c r="Q6" s="37"/>
      <c r="R6" s="1"/>
      <c r="S6" s="37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7"/>
      <c r="Q7" s="37"/>
      <c r="R7" s="1"/>
      <c r="S7" s="37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7"/>
      <c r="Q8" s="37"/>
      <c r="R8" s="1"/>
      <c r="S8" s="37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7"/>
      <c r="Q9" s="37"/>
      <c r="R9" s="1"/>
      <c r="S9" s="37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7"/>
      <c r="Q10" s="37"/>
      <c r="R10" s="1"/>
      <c r="S10" s="37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7"/>
      <c r="Q11" s="37"/>
      <c r="R11" s="1"/>
      <c r="S11" s="37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7"/>
      <c r="Q12" s="37"/>
      <c r="R12" s="1"/>
      <c r="S12" s="37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7"/>
      <c r="Q13" s="37"/>
      <c r="R13" s="1"/>
      <c r="S13" s="37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7"/>
      <c r="Q14" s="37"/>
      <c r="R14" s="1"/>
      <c r="S14" s="37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7"/>
      <c r="Q15" s="37"/>
      <c r="R15" s="1"/>
      <c r="S15" s="37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7"/>
      <c r="Q16" s="37"/>
      <c r="R16" s="1"/>
      <c r="S16" s="37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7"/>
      <c r="Q17" s="37"/>
      <c r="R17" s="1"/>
      <c r="S17" s="37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7"/>
      <c r="Q18" s="37"/>
      <c r="R18" s="1"/>
      <c r="S18" s="37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7"/>
      <c r="Q19" s="37"/>
      <c r="R19" s="1"/>
      <c r="S19" s="37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7"/>
      <c r="Q20" s="37"/>
      <c r="R20" s="1"/>
      <c r="S20" s="37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7"/>
      <c r="Q21" s="37"/>
      <c r="R21" s="1"/>
      <c r="S21" s="37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7"/>
      <c r="Q22" s="37"/>
      <c r="R22" s="1"/>
      <c r="S22" s="37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7"/>
      <c r="Q23" s="37"/>
      <c r="R23" s="1"/>
      <c r="S23" s="37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7"/>
      <c r="Q24" s="37"/>
      <c r="R24" s="1"/>
      <c r="S24" s="37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7"/>
      <c r="Q25" s="37"/>
      <c r="R25" s="1"/>
      <c r="S25" s="37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7"/>
      <c r="Q26" s="37"/>
      <c r="R26" s="1"/>
      <c r="S26" s="37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7"/>
      <c r="Q27" s="37"/>
      <c r="R27" s="1"/>
      <c r="S27" s="37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7"/>
      <c r="Q28" s="37"/>
      <c r="R28" s="1"/>
      <c r="S28" s="37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7"/>
      <c r="Q29" s="37"/>
      <c r="R29" s="1"/>
      <c r="S29" s="37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7"/>
      <c r="Q30" s="37"/>
      <c r="R30" s="1"/>
      <c r="S30" s="37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7"/>
      <c r="Q31" s="37"/>
      <c r="R31" s="1"/>
      <c r="S31" s="37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7"/>
      <c r="Q32" s="37"/>
      <c r="R32" s="1"/>
      <c r="S32" s="37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7"/>
      <c r="Q33" s="37"/>
      <c r="R33" s="1"/>
      <c r="S33" s="37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7"/>
      <c r="Q34" s="37"/>
      <c r="R34" s="1"/>
      <c r="S34" s="37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7"/>
      <c r="Q35" s="37"/>
      <c r="R35" s="1"/>
      <c r="S35" s="37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7"/>
      <c r="Q36" s="37"/>
      <c r="R36" s="1"/>
      <c r="S36" s="37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7"/>
      <c r="Q37" s="37"/>
      <c r="R37" s="1"/>
      <c r="S37" s="37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7"/>
      <c r="Q38" s="37"/>
      <c r="R38" s="1"/>
      <c r="S38" s="37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7"/>
      <c r="Q39" s="37"/>
      <c r="R39" s="1"/>
      <c r="S39" s="37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7"/>
      <c r="Q40" s="37"/>
      <c r="R40" s="1"/>
      <c r="S40" s="37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7"/>
      <c r="Q41" s="37"/>
      <c r="R41" s="1"/>
      <c r="S41" s="37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7"/>
      <c r="Q42" s="37"/>
      <c r="R42" s="1"/>
      <c r="S42" s="37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7"/>
      <c r="Q43" s="37"/>
      <c r="R43" s="1"/>
      <c r="S43" s="37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7"/>
      <c r="Q44" s="37"/>
      <c r="R44" s="1"/>
      <c r="S44" s="37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7"/>
      <c r="Q45" s="37"/>
      <c r="R45" s="1"/>
      <c r="S45" s="37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7"/>
      <c r="Q46" s="37"/>
      <c r="R46" s="1"/>
      <c r="S46" s="37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7"/>
      <c r="Q47" s="37"/>
      <c r="R47" s="1"/>
      <c r="S47" s="37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7"/>
      <c r="Q48" s="37"/>
      <c r="R48" s="1"/>
      <c r="S48" s="37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7"/>
      <c r="Q49" s="37"/>
      <c r="R49" s="1"/>
      <c r="S49" s="37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7"/>
      <c r="Q50" s="37"/>
      <c r="R50" s="1"/>
      <c r="S50" s="37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7"/>
      <c r="Q51" s="37"/>
      <c r="R51" s="1"/>
      <c r="S51" s="37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7"/>
      <c r="Q52" s="37"/>
      <c r="R52" s="1"/>
      <c r="S52" s="37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7"/>
      <c r="Q53" s="37"/>
      <c r="R53" s="1"/>
      <c r="S53" s="37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7"/>
      <c r="Q54" s="37"/>
      <c r="R54" s="1"/>
      <c r="S54" s="37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7"/>
      <c r="Q55" s="37"/>
      <c r="R55" s="1"/>
      <c r="S55" s="37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7"/>
      <c r="Q56" s="37"/>
      <c r="R56" s="1"/>
      <c r="S56" s="37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7"/>
      <c r="Q57" s="37"/>
      <c r="R57" s="1"/>
      <c r="S57" s="37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7"/>
      <c r="Q58" s="37"/>
      <c r="R58" s="1"/>
      <c r="S58" s="37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7"/>
      <c r="Q59" s="37"/>
      <c r="R59" s="1"/>
      <c r="S59" s="37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7"/>
      <c r="Q60" s="37"/>
      <c r="R60" s="1"/>
      <c r="S60" s="37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7"/>
      <c r="Q61" s="37"/>
      <c r="R61" s="1"/>
      <c r="S61" s="37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7"/>
      <c r="Q62" s="37"/>
      <c r="R62" s="1"/>
      <c r="S62" s="37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7"/>
      <c r="Q63" s="37"/>
      <c r="R63" s="1"/>
      <c r="S63" s="37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7"/>
      <c r="Q64" s="37"/>
      <c r="R64" s="1"/>
      <c r="S64" s="37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7"/>
      <c r="Q65" s="37"/>
      <c r="R65" s="1"/>
      <c r="S65" s="37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7"/>
      <c r="Q66" s="37"/>
      <c r="R66" s="1"/>
      <c r="S66" s="37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7"/>
      <c r="Q67" s="37"/>
      <c r="R67" s="1"/>
      <c r="S67" s="37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7"/>
      <c r="Q68" s="37"/>
      <c r="R68" s="1"/>
      <c r="S68" s="37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7"/>
      <c r="Q69" s="37"/>
      <c r="R69" s="1"/>
      <c r="S69" s="37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7"/>
      <c r="Q70" s="37"/>
      <c r="R70" s="1"/>
      <c r="S70" s="37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7"/>
      <c r="Q71" s="37"/>
      <c r="R71" s="1"/>
      <c r="S71" s="37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7"/>
      <c r="Q72" s="37"/>
      <c r="R72" s="1"/>
      <c r="S72" s="37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7"/>
      <c r="Q73" s="37"/>
      <c r="R73" s="1"/>
      <c r="S73" s="37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7"/>
      <c r="Q74" s="37"/>
      <c r="R74" s="1"/>
      <c r="S74" s="37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7"/>
      <c r="Q75" s="37"/>
      <c r="R75" s="1"/>
      <c r="S75" s="37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7"/>
      <c r="Q76" s="37"/>
      <c r="R76" s="1"/>
      <c r="S76" s="37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7"/>
      <c r="Q77" s="37"/>
      <c r="R77" s="1"/>
      <c r="S77" s="37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7"/>
      <c r="Q78" s="37"/>
      <c r="R78" s="1"/>
      <c r="S78" s="37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7"/>
      <c r="Q79" s="37"/>
      <c r="R79" s="1"/>
      <c r="S79" s="37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7"/>
      <c r="Q80" s="37"/>
      <c r="R80" s="1"/>
      <c r="S80" s="37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7"/>
      <c r="Q81" s="37"/>
      <c r="R81" s="1"/>
      <c r="S81" s="37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7"/>
      <c r="Q82" s="37"/>
      <c r="R82" s="1"/>
      <c r="S82" s="37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7"/>
      <c r="Q83" s="37"/>
      <c r="R83" s="1"/>
      <c r="S83" s="37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7"/>
      <c r="Q84" s="37"/>
      <c r="R84" s="1"/>
      <c r="S84" s="37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7"/>
      <c r="Q85" s="37"/>
      <c r="R85" s="1"/>
      <c r="S85" s="37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7"/>
      <c r="Q86" s="37"/>
      <c r="R86" s="1"/>
      <c r="S86" s="37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7"/>
      <c r="Q87" s="37"/>
      <c r="R87" s="1"/>
      <c r="S87" s="37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7"/>
      <c r="Q88" s="37"/>
      <c r="R88" s="1"/>
      <c r="S88" s="37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7"/>
      <c r="Q89" s="37"/>
      <c r="R89" s="1"/>
      <c r="S89" s="37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7"/>
      <c r="Q90" s="37"/>
      <c r="R90" s="1"/>
      <c r="S90" s="37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7"/>
      <c r="Q91" s="37"/>
      <c r="R91" s="1"/>
      <c r="S91" s="37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7"/>
      <c r="Q92" s="37"/>
      <c r="R92" s="1"/>
      <c r="S92" s="37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7"/>
      <c r="Q93" s="37"/>
      <c r="R93" s="1"/>
      <c r="S93" s="37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7"/>
      <c r="Q94" s="37"/>
      <c r="R94" s="1"/>
      <c r="S94" s="37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7"/>
      <c r="Q95" s="37"/>
      <c r="R95" s="1"/>
      <c r="S95" s="37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7"/>
      <c r="Q96" s="37"/>
      <c r="R96" s="1"/>
      <c r="S96" s="37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7"/>
      <c r="Q97" s="37"/>
      <c r="R97" s="1"/>
      <c r="S97" s="37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7"/>
      <c r="Q98" s="37"/>
      <c r="R98" s="1"/>
      <c r="S98" s="37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7"/>
      <c r="Q99" s="37"/>
      <c r="R99" s="1"/>
      <c r="S99" s="37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7"/>
      <c r="Q100" s="37"/>
      <c r="R100" s="1"/>
      <c r="S100" s="37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7"/>
      <c r="Q101" s="37"/>
      <c r="R101" s="1"/>
      <c r="S101" s="37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7"/>
      <c r="Q102" s="37"/>
      <c r="R102" s="1"/>
      <c r="S102" s="37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7"/>
      <c r="Q103" s="37"/>
      <c r="R103" s="1"/>
      <c r="S103" s="37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7"/>
      <c r="Q104" s="37"/>
      <c r="R104" s="1"/>
      <c r="S104" s="37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7"/>
      <c r="Q105" s="37"/>
      <c r="R105" s="1"/>
      <c r="S105" s="37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7"/>
      <c r="Q106" s="37"/>
      <c r="R106" s="1"/>
      <c r="S106" s="37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7"/>
      <c r="Q107" s="37"/>
      <c r="R107" s="1"/>
      <c r="S107" s="37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7"/>
      <c r="Q108" s="37"/>
      <c r="R108" s="1"/>
      <c r="S108" s="37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7"/>
      <c r="Q109" s="37"/>
      <c r="R109" s="1"/>
      <c r="S109" s="37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7"/>
      <c r="Q110" s="37"/>
      <c r="R110" s="1"/>
      <c r="S110" s="37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7"/>
      <c r="Q111" s="37"/>
      <c r="R111" s="1"/>
      <c r="S111" s="37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7"/>
      <c r="Q112" s="37"/>
      <c r="R112" s="1"/>
      <c r="S112" s="37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7"/>
      <c r="Q113" s="37"/>
      <c r="R113" s="1"/>
      <c r="S113" s="37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7"/>
      <c r="Q114" s="37"/>
      <c r="R114" s="1"/>
      <c r="S114" s="37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7"/>
      <c r="Q115" s="37"/>
      <c r="R115" s="1"/>
      <c r="S115" s="37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7"/>
      <c r="Q116" s="37"/>
      <c r="R116" s="1"/>
      <c r="S116" s="37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7"/>
      <c r="Q117" s="37"/>
      <c r="R117" s="1"/>
      <c r="S117" s="37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7"/>
      <c r="Q118" s="37"/>
      <c r="R118" s="1"/>
      <c r="S118" s="37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7"/>
      <c r="Q119" s="37"/>
      <c r="R119" s="1"/>
      <c r="S119" s="37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7"/>
      <c r="Q120" s="37"/>
      <c r="R120" s="1"/>
      <c r="S120" s="37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7"/>
      <c r="Q121" s="37"/>
      <c r="R121" s="1"/>
      <c r="S121" s="37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7"/>
      <c r="Q122" s="37"/>
      <c r="R122" s="1"/>
      <c r="S122" s="37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7"/>
      <c r="Q123" s="37"/>
      <c r="R123" s="1"/>
      <c r="S123" s="37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7"/>
      <c r="Q124" s="37"/>
      <c r="R124" s="1"/>
      <c r="S124" s="37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7"/>
      <c r="Q125" s="37"/>
      <c r="R125" s="1"/>
      <c r="S125" s="37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7"/>
      <c r="Q126" s="37"/>
      <c r="R126" s="1"/>
      <c r="S126" s="37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7"/>
      <c r="Q127" s="37"/>
      <c r="R127" s="1"/>
      <c r="S127" s="37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7"/>
      <c r="Q128" s="37"/>
      <c r="R128" s="1"/>
      <c r="S128" s="37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7"/>
      <c r="Q129" s="37"/>
      <c r="R129" s="1"/>
      <c r="S129" s="37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7"/>
      <c r="Q130" s="37"/>
      <c r="R130" s="1"/>
      <c r="S130" s="37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7"/>
      <c r="Q131" s="37"/>
      <c r="R131" s="1"/>
      <c r="S131" s="37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7"/>
      <c r="Q132" s="37"/>
      <c r="R132" s="1"/>
      <c r="S132" s="37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7"/>
      <c r="Q133" s="37"/>
      <c r="R133" s="1"/>
      <c r="S133" s="37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7"/>
      <c r="Q134" s="37"/>
      <c r="R134" s="1"/>
      <c r="S134" s="37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7"/>
      <c r="Q135" s="37"/>
      <c r="R135" s="1"/>
      <c r="S135" s="37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7"/>
      <c r="Q136" s="37"/>
      <c r="R136" s="1"/>
      <c r="S136" s="37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7"/>
      <c r="Q137" s="37"/>
      <c r="R137" s="1"/>
      <c r="S137" s="37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7"/>
      <c r="Q138" s="37"/>
      <c r="R138" s="1"/>
      <c r="S138" s="37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7"/>
      <c r="Q139" s="37"/>
      <c r="R139" s="1"/>
      <c r="S139" s="37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7"/>
      <c r="Q140" s="37"/>
      <c r="R140" s="1"/>
      <c r="S140" s="37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7"/>
      <c r="Q141" s="37"/>
      <c r="R141" s="1"/>
      <c r="S141" s="37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7"/>
      <c r="Q142" s="37"/>
      <c r="R142" s="1"/>
      <c r="S142" s="37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7"/>
      <c r="Q143" s="37"/>
      <c r="R143" s="1"/>
      <c r="S143" s="37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7"/>
      <c r="Q144" s="37"/>
      <c r="R144" s="1"/>
      <c r="S144" s="37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7"/>
      <c r="Q145" s="37"/>
      <c r="R145" s="1"/>
      <c r="S145" s="37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7"/>
      <c r="Q146" s="37"/>
      <c r="R146" s="1"/>
      <c r="S146" s="37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7"/>
      <c r="Q147" s="37"/>
      <c r="R147" s="1"/>
      <c r="S147" s="37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7"/>
      <c r="Q148" s="37"/>
      <c r="R148" s="1"/>
      <c r="S148" s="37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7"/>
      <c r="Q149" s="37"/>
      <c r="R149" s="1"/>
      <c r="S149" s="37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7"/>
      <c r="Q150" s="37"/>
      <c r="R150" s="1"/>
      <c r="S150" s="37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7"/>
      <c r="Q151" s="37"/>
      <c r="R151" s="1"/>
      <c r="S151" s="37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7"/>
      <c r="Q152" s="37"/>
      <c r="R152" s="1"/>
      <c r="S152" s="37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7"/>
      <c r="Q153" s="37"/>
      <c r="R153" s="1"/>
      <c r="S153" s="37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7"/>
      <c r="Q154" s="37"/>
      <c r="R154" s="1"/>
      <c r="S154" s="37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7"/>
      <c r="Q155" s="37"/>
      <c r="R155" s="1"/>
      <c r="S155" s="37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7"/>
      <c r="Q156" s="37"/>
      <c r="R156" s="1"/>
      <c r="S156" s="37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7"/>
      <c r="Q157" s="37"/>
      <c r="R157" s="1"/>
      <c r="S157" s="37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7"/>
      <c r="Q158" s="37"/>
      <c r="R158" s="1"/>
      <c r="S158" s="37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7"/>
      <c r="Q159" s="37"/>
      <c r="R159" s="1"/>
      <c r="S159" s="37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7"/>
      <c r="Q160" s="37"/>
      <c r="R160" s="1"/>
      <c r="S160" s="37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7"/>
      <c r="Q161" s="37"/>
      <c r="R161" s="1"/>
      <c r="S161" s="37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7"/>
      <c r="Q162" s="37"/>
      <c r="R162" s="1"/>
      <c r="S162" s="37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7"/>
      <c r="Q163" s="37"/>
      <c r="R163" s="1"/>
      <c r="S163" s="37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7"/>
      <c r="Q164" s="37"/>
      <c r="R164" s="1"/>
      <c r="S164" s="37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7"/>
      <c r="Q165" s="37"/>
      <c r="R165" s="1"/>
      <c r="S165" s="37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7"/>
      <c r="Q166" s="37"/>
      <c r="R166" s="1"/>
      <c r="S166" s="37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7"/>
      <c r="Q167" s="37"/>
      <c r="R167" s="1"/>
      <c r="S167" s="37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7"/>
      <c r="Q168" s="37"/>
      <c r="R168" s="1"/>
      <c r="S168" s="37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7"/>
      <c r="Q169" s="37"/>
      <c r="R169" s="1"/>
      <c r="S169" s="37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7"/>
      <c r="Q170" s="37"/>
      <c r="R170" s="1"/>
      <c r="S170" s="37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7"/>
      <c r="Q171" s="37"/>
      <c r="R171" s="1"/>
      <c r="S171" s="37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7"/>
      <c r="Q172" s="37"/>
      <c r="R172" s="1"/>
      <c r="S172" s="37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7"/>
      <c r="Q173" s="37"/>
      <c r="R173" s="1"/>
      <c r="S173" s="37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7"/>
      <c r="Q174" s="37"/>
      <c r="R174" s="1"/>
      <c r="S174" s="37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7"/>
      <c r="Q175" s="37"/>
      <c r="R175" s="1"/>
      <c r="S175" s="37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7"/>
      <c r="Q176" s="37"/>
      <c r="R176" s="1"/>
      <c r="S176" s="37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7"/>
      <c r="Q177" s="37"/>
      <c r="R177" s="1"/>
      <c r="S177" s="37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7"/>
      <c r="Q178" s="37"/>
      <c r="R178" s="1"/>
      <c r="S178" s="37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7"/>
      <c r="Q179" s="37"/>
      <c r="R179" s="1"/>
      <c r="S179" s="37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7"/>
      <c r="Q180" s="37"/>
      <c r="R180" s="1"/>
      <c r="S180" s="37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7"/>
      <c r="Q181" s="37"/>
      <c r="R181" s="1"/>
      <c r="S181" s="37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7"/>
      <c r="Q182" s="37"/>
      <c r="R182" s="1"/>
      <c r="S182" s="37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7"/>
      <c r="Q183" s="37"/>
      <c r="R183" s="1"/>
      <c r="S183" s="37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7"/>
      <c r="Q184" s="37"/>
      <c r="R184" s="1"/>
      <c r="S184" s="37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7"/>
      <c r="Q185" s="37"/>
      <c r="R185" s="1"/>
      <c r="S185" s="37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7"/>
      <c r="Q186" s="37"/>
      <c r="R186" s="1"/>
      <c r="S186" s="37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7"/>
      <c r="Q187" s="37"/>
      <c r="R187" s="1"/>
      <c r="S187" s="37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7"/>
      <c r="Q188" s="37"/>
      <c r="R188" s="1"/>
      <c r="S188" s="37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7"/>
      <c r="Q189" s="37"/>
      <c r="R189" s="1"/>
      <c r="S189" s="37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7"/>
      <c r="Q190" s="37"/>
      <c r="R190" s="1"/>
      <c r="S190" s="37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7"/>
      <c r="Q191" s="37"/>
      <c r="R191" s="1"/>
      <c r="S191" s="37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7"/>
      <c r="Q192" s="37"/>
      <c r="R192" s="1"/>
      <c r="S192" s="37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7"/>
      <c r="Q193" s="37"/>
      <c r="R193" s="1"/>
      <c r="S193" s="37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7"/>
      <c r="Q194" s="37"/>
      <c r="R194" s="1"/>
      <c r="S194" s="37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7"/>
      <c r="Q195" s="37"/>
      <c r="R195" s="1"/>
      <c r="S195" s="37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7"/>
      <c r="Q196" s="37"/>
      <c r="R196" s="1"/>
      <c r="S196" s="37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7"/>
      <c r="Q197" s="37"/>
      <c r="R197" s="1"/>
      <c r="S197" s="37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7"/>
      <c r="Q198" s="37"/>
      <c r="R198" s="1"/>
      <c r="S198" s="37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7"/>
      <c r="Q199" s="37"/>
      <c r="R199" s="1"/>
      <c r="S199" s="37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7"/>
      <c r="Q200" s="37"/>
      <c r="R200" s="1"/>
      <c r="S200" s="37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7"/>
      <c r="Q201" s="37"/>
      <c r="R201" s="1"/>
      <c r="S201" s="37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7"/>
      <c r="Q202" s="37"/>
      <c r="R202" s="1"/>
      <c r="S202" s="37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7"/>
      <c r="Q203" s="37"/>
      <c r="R203" s="1"/>
      <c r="S203" s="37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7"/>
      <c r="Q204" s="37"/>
      <c r="R204" s="1"/>
      <c r="S204" s="37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7"/>
      <c r="Q205" s="37"/>
      <c r="R205" s="1"/>
      <c r="S205" s="37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7"/>
      <c r="Q206" s="37"/>
      <c r="R206" s="1"/>
      <c r="S206" s="37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7"/>
      <c r="Q207" s="37"/>
      <c r="R207" s="1"/>
      <c r="S207" s="37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7"/>
      <c r="Q208" s="37"/>
      <c r="R208" s="1"/>
      <c r="S208" s="37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7"/>
      <c r="Q209" s="37"/>
      <c r="R209" s="1"/>
      <c r="S209" s="37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7"/>
      <c r="Q210" s="37"/>
      <c r="R210" s="1"/>
      <c r="S210" s="37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7"/>
      <c r="Q211" s="37"/>
      <c r="R211" s="1"/>
      <c r="S211" s="37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7"/>
      <c r="Q212" s="37"/>
      <c r="R212" s="1"/>
      <c r="S212" s="37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7"/>
      <c r="Q213" s="37"/>
      <c r="R213" s="1"/>
      <c r="S213" s="37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7"/>
      <c r="Q214" s="37"/>
      <c r="R214" s="1"/>
      <c r="S214" s="37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7"/>
      <c r="Q215" s="37"/>
      <c r="R215" s="1"/>
      <c r="S215" s="37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7"/>
      <c r="Q216" s="37"/>
      <c r="R216" s="1"/>
      <c r="S216" s="37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7"/>
      <c r="Q217" s="37"/>
      <c r="R217" s="1"/>
      <c r="S217" s="37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7"/>
      <c r="Q218" s="37"/>
      <c r="R218" s="1"/>
      <c r="S218" s="37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7"/>
      <c r="Q219" s="37"/>
      <c r="R219" s="1"/>
      <c r="S219" s="37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7"/>
      <c r="Q220" s="37"/>
      <c r="R220" s="1"/>
      <c r="S220" s="37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1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1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1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1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1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1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1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1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1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1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1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1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1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1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1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1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1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1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1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1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1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1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1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1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1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1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1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1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1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1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1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1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1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1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1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1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1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1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1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1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1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1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1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1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1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1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1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1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1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1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1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1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1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1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1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1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1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1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1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1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1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1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1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1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1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1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1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1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1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1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1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1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1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1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1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1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1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1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1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1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1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1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1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1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1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1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1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1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1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1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1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1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1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1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1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1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1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1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1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1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1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1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1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1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1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1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1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1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1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1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1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1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1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1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1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1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1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1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1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1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1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1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1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1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1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1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1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1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1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1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1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1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1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1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1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1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1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1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1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1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1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1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1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1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1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1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1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1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1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1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1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1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1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1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1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1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1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1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1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1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1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1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1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1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1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1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1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1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1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1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1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1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1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1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1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1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1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1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1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1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1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1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1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1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1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1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1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1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1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1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1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1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1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1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1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1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1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1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1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1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1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1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1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1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1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1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1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1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1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1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1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1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1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1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1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1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1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1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1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1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1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1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1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1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1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1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1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1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1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1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1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1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1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1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1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1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1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1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1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1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1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1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1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1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1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1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1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1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1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1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1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1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1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1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1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1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1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1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1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1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1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1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1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1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1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1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1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1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1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1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1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1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1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1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1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1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1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1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1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1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1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1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1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1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1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1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1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1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1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1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1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1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1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1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1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1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1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1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1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1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1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1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1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1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1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1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1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1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1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1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1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1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1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1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1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1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1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1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1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1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1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1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1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1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1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1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1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1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1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1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1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1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1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1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1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1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1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1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1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1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1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1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1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1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1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1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1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1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1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1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1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1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1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1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1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1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1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1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1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1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1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1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1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1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1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1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1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1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1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1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1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1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1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1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1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1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1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1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1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1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1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1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1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1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1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1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1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1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1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1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1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1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1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1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1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1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1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1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1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1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1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1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1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1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1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1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1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1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1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1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1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1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1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1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1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1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1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1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1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1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1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1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1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1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1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1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1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1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1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1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1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1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1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1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1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1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1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1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1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1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1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1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1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1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1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1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1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1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1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1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1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1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1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1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1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1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1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1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1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1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1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1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1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1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1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1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1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1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1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1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1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1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1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1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1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1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1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1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1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1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1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1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1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1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1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1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1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1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1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1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1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1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1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1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1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1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1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1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1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1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1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1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1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1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1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1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1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1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1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1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1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1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1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1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1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1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1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1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1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1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1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1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1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1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1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1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1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1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1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1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1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1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1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1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1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1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1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1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1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1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1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1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1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1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1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1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1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1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1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1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1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1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1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1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1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1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1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1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1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1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1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1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1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1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1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1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1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1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1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1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1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1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1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1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1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1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1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1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1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1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1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1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1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1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1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1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1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1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1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1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1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1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1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1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1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1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1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1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1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1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1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1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1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1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1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1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1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1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1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1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1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1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1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1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1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1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1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1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1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1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1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1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1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1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1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1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1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1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1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1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1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1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1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1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1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1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1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1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1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1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1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1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1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1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1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1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1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1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1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1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1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1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1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1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1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1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1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1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1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1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1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1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1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1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1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1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1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1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1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1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1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1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1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1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1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1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1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1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1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1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1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1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1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1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1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1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1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1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1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1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1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1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1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1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1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1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1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1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1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1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1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1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1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1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1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1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1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1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1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1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1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1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1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1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1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1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1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1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1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1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1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1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1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1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1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1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1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1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1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1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1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1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1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1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1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1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1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1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1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1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1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1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1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1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1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1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1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1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1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1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1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1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1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1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1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1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1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1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1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1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1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1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1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1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1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1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1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1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1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1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1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1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1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1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1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1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1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1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1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1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129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2.88"/>
    <col customWidth="1" min="15" max="16" width="10.13"/>
    <col customWidth="1" min="17" max="17" width="10.88"/>
    <col customWidth="1" min="18" max="18" width="17.88"/>
    <col customWidth="1" min="19" max="24" width="12.63"/>
    <col customWidth="1" min="25" max="34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3" t="s">
        <v>114</v>
      </c>
      <c r="H1" s="26" t="s">
        <v>115</v>
      </c>
      <c r="I1" s="33" t="s">
        <v>116</v>
      </c>
      <c r="J1" s="33" t="s">
        <v>117</v>
      </c>
      <c r="K1" s="33" t="s">
        <v>118</v>
      </c>
      <c r="L1" s="33" t="s">
        <v>119</v>
      </c>
      <c r="M1" s="33" t="s">
        <v>120</v>
      </c>
      <c r="N1" s="34" t="s">
        <v>121</v>
      </c>
      <c r="O1" s="33" t="s">
        <v>122</v>
      </c>
      <c r="P1" s="35" t="s">
        <v>123</v>
      </c>
      <c r="Q1" s="35" t="s">
        <v>124</v>
      </c>
      <c r="R1" s="1" t="s">
        <v>125</v>
      </c>
      <c r="S1" s="35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131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6">
        <f>README!$B$33</f>
        <v>-1</v>
      </c>
      <c r="O2" s="36" t="str">
        <f>JOIN(", ", 0, 0, 0)</f>
        <v>0, 0, 0</v>
      </c>
      <c r="P2" s="37">
        <f>README!$T$2</f>
        <v>-1</v>
      </c>
      <c r="Q2" s="37">
        <f>README!$J$2</f>
        <v>-1</v>
      </c>
      <c r="R2" s="14" t="str">
        <f>JOIN(", ", README!$L$21, README!$B$27, -1, README!$B$10, 0)</f>
        <v>300000000, -1, -1, 0, 0</v>
      </c>
      <c r="S2" s="37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7"/>
      <c r="Q3" s="37"/>
      <c r="R3" s="1"/>
      <c r="S3" s="37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7"/>
      <c r="Q4" s="37"/>
      <c r="R4" s="1"/>
      <c r="S4" s="37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7"/>
      <c r="Q5" s="37"/>
      <c r="R5" s="1"/>
      <c r="S5" s="37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7"/>
      <c r="Q6" s="37"/>
      <c r="R6" s="1"/>
      <c r="S6" s="37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7"/>
      <c r="Q7" s="37"/>
      <c r="R7" s="1"/>
      <c r="S7" s="37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7"/>
      <c r="Q8" s="37"/>
      <c r="R8" s="1"/>
      <c r="S8" s="37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7"/>
      <c r="Q9" s="37"/>
      <c r="R9" s="1"/>
      <c r="S9" s="37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7"/>
      <c r="Q10" s="37"/>
      <c r="R10" s="1"/>
      <c r="S10" s="37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7"/>
      <c r="Q11" s="37"/>
      <c r="R11" s="1"/>
      <c r="S11" s="37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7"/>
      <c r="Q12" s="37"/>
      <c r="R12" s="1"/>
      <c r="S12" s="37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7"/>
      <c r="Q13" s="37"/>
      <c r="R13" s="1"/>
      <c r="S13" s="37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7"/>
      <c r="Q14" s="37"/>
      <c r="R14" s="1"/>
      <c r="S14" s="37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7"/>
      <c r="Q15" s="37"/>
      <c r="R15" s="1"/>
      <c r="S15" s="37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7"/>
      <c r="Q16" s="37"/>
      <c r="R16" s="1"/>
      <c r="S16" s="37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7"/>
      <c r="Q17" s="37"/>
      <c r="R17" s="1"/>
      <c r="S17" s="37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7"/>
      <c r="Q18" s="37"/>
      <c r="R18" s="1"/>
      <c r="S18" s="37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7"/>
      <c r="Q19" s="37"/>
      <c r="R19" s="1"/>
      <c r="S19" s="37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7"/>
      <c r="Q20" s="37"/>
      <c r="R20" s="1"/>
      <c r="S20" s="37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7"/>
      <c r="Q21" s="37"/>
      <c r="R21" s="1"/>
      <c r="S21" s="37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7"/>
      <c r="Q22" s="37"/>
      <c r="R22" s="1"/>
      <c r="S22" s="37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7"/>
      <c r="Q23" s="37"/>
      <c r="R23" s="1"/>
      <c r="S23" s="37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7"/>
      <c r="Q24" s="37"/>
      <c r="R24" s="1"/>
      <c r="S24" s="37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7"/>
      <c r="Q25" s="37"/>
      <c r="R25" s="1"/>
      <c r="S25" s="37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7"/>
      <c r="Q26" s="37"/>
      <c r="R26" s="1"/>
      <c r="S26" s="37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7"/>
      <c r="Q27" s="37"/>
      <c r="R27" s="1"/>
      <c r="S27" s="37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7"/>
      <c r="Q28" s="37"/>
      <c r="R28" s="1"/>
      <c r="S28" s="37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7"/>
      <c r="Q29" s="37"/>
      <c r="R29" s="1"/>
      <c r="S29" s="37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7"/>
      <c r="Q30" s="37"/>
      <c r="R30" s="1"/>
      <c r="S30" s="37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7"/>
      <c r="Q31" s="37"/>
      <c r="R31" s="1"/>
      <c r="S31" s="37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7"/>
      <c r="Q32" s="37"/>
      <c r="R32" s="1"/>
      <c r="S32" s="37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7"/>
      <c r="Q33" s="37"/>
      <c r="R33" s="1"/>
      <c r="S33" s="37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7"/>
      <c r="Q34" s="37"/>
      <c r="R34" s="1"/>
      <c r="S34" s="37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7"/>
      <c r="Q35" s="37"/>
      <c r="R35" s="1"/>
      <c r="S35" s="37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7"/>
      <c r="Q36" s="37"/>
      <c r="R36" s="1"/>
      <c r="S36" s="37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7"/>
      <c r="Q37" s="37"/>
      <c r="R37" s="1"/>
      <c r="S37" s="37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7"/>
      <c r="Q38" s="37"/>
      <c r="R38" s="1"/>
      <c r="S38" s="37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7"/>
      <c r="Q39" s="37"/>
      <c r="R39" s="1"/>
      <c r="S39" s="37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7"/>
      <c r="Q40" s="37"/>
      <c r="R40" s="1"/>
      <c r="S40" s="37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7"/>
      <c r="Q41" s="37"/>
      <c r="R41" s="1"/>
      <c r="S41" s="37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7"/>
      <c r="Q42" s="37"/>
      <c r="R42" s="1"/>
      <c r="S42" s="37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7"/>
      <c r="Q43" s="37"/>
      <c r="R43" s="1"/>
      <c r="S43" s="37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7"/>
      <c r="Q44" s="37"/>
      <c r="R44" s="1"/>
      <c r="S44" s="37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7"/>
      <c r="Q45" s="37"/>
      <c r="R45" s="1"/>
      <c r="S45" s="37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7"/>
      <c r="Q46" s="37"/>
      <c r="R46" s="1"/>
      <c r="S46" s="37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7"/>
      <c r="Q47" s="37"/>
      <c r="R47" s="1"/>
      <c r="S47" s="37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7"/>
      <c r="Q48" s="37"/>
      <c r="R48" s="1"/>
      <c r="S48" s="37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7"/>
      <c r="Q49" s="37"/>
      <c r="R49" s="1"/>
      <c r="S49" s="37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7"/>
      <c r="Q50" s="37"/>
      <c r="R50" s="1"/>
      <c r="S50" s="37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7"/>
      <c r="Q51" s="37"/>
      <c r="R51" s="1"/>
      <c r="S51" s="37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7"/>
      <c r="Q52" s="37"/>
      <c r="R52" s="1"/>
      <c r="S52" s="37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7"/>
      <c r="Q53" s="37"/>
      <c r="R53" s="1"/>
      <c r="S53" s="37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7"/>
      <c r="Q54" s="37"/>
      <c r="R54" s="1"/>
      <c r="S54" s="37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7"/>
      <c r="Q55" s="37"/>
      <c r="R55" s="1"/>
      <c r="S55" s="37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7"/>
      <c r="Q56" s="37"/>
      <c r="R56" s="1"/>
      <c r="S56" s="37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7"/>
      <c r="Q57" s="37"/>
      <c r="R57" s="1"/>
      <c r="S57" s="37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7"/>
      <c r="Q58" s="37"/>
      <c r="R58" s="1"/>
      <c r="S58" s="37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7"/>
      <c r="Q59" s="37"/>
      <c r="R59" s="1"/>
      <c r="S59" s="37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7"/>
      <c r="Q60" s="37"/>
      <c r="R60" s="1"/>
      <c r="S60" s="37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7"/>
      <c r="Q61" s="37"/>
      <c r="R61" s="1"/>
      <c r="S61" s="37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7"/>
      <c r="Q62" s="37"/>
      <c r="R62" s="1"/>
      <c r="S62" s="37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7"/>
      <c r="Q63" s="37"/>
      <c r="R63" s="1"/>
      <c r="S63" s="37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7"/>
      <c r="Q64" s="37"/>
      <c r="R64" s="1"/>
      <c r="S64" s="37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7"/>
      <c r="Q65" s="37"/>
      <c r="R65" s="1"/>
      <c r="S65" s="37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7"/>
      <c r="Q66" s="37"/>
      <c r="R66" s="1"/>
      <c r="S66" s="37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7"/>
      <c r="Q67" s="37"/>
      <c r="R67" s="1"/>
      <c r="S67" s="37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7"/>
      <c r="Q68" s="37"/>
      <c r="R68" s="1"/>
      <c r="S68" s="37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7"/>
      <c r="Q69" s="37"/>
      <c r="R69" s="1"/>
      <c r="S69" s="37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7"/>
      <c r="Q70" s="37"/>
      <c r="R70" s="1"/>
      <c r="S70" s="37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7"/>
      <c r="Q71" s="37"/>
      <c r="R71" s="1"/>
      <c r="S71" s="37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7"/>
      <c r="Q72" s="37"/>
      <c r="R72" s="1"/>
      <c r="S72" s="37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7"/>
      <c r="Q73" s="37"/>
      <c r="R73" s="1"/>
      <c r="S73" s="37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7"/>
      <c r="Q74" s="37"/>
      <c r="R74" s="1"/>
      <c r="S74" s="37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7"/>
      <c r="Q75" s="37"/>
      <c r="R75" s="1"/>
      <c r="S75" s="37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7"/>
      <c r="Q76" s="37"/>
      <c r="R76" s="1"/>
      <c r="S76" s="37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7"/>
      <c r="Q77" s="37"/>
      <c r="R77" s="1"/>
      <c r="S77" s="37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7"/>
      <c r="Q78" s="37"/>
      <c r="R78" s="1"/>
      <c r="S78" s="37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7"/>
      <c r="Q79" s="37"/>
      <c r="R79" s="1"/>
      <c r="S79" s="37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7"/>
      <c r="Q80" s="37"/>
      <c r="R80" s="1"/>
      <c r="S80" s="37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7"/>
      <c r="Q81" s="37"/>
      <c r="R81" s="1"/>
      <c r="S81" s="37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7"/>
      <c r="Q82" s="37"/>
      <c r="R82" s="1"/>
      <c r="S82" s="37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7"/>
      <c r="Q83" s="37"/>
      <c r="R83" s="1"/>
      <c r="S83" s="37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7"/>
      <c r="Q84" s="37"/>
      <c r="R84" s="1"/>
      <c r="S84" s="37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7"/>
      <c r="Q85" s="37"/>
      <c r="R85" s="1"/>
      <c r="S85" s="37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7"/>
      <c r="Q86" s="37"/>
      <c r="R86" s="1"/>
      <c r="S86" s="37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7"/>
      <c r="Q87" s="37"/>
      <c r="R87" s="1"/>
      <c r="S87" s="37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7"/>
      <c r="Q88" s="37"/>
      <c r="R88" s="1"/>
      <c r="S88" s="37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7"/>
      <c r="Q89" s="37"/>
      <c r="R89" s="1"/>
      <c r="S89" s="37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7"/>
      <c r="Q90" s="37"/>
      <c r="R90" s="1"/>
      <c r="S90" s="37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7"/>
      <c r="Q91" s="37"/>
      <c r="R91" s="1"/>
      <c r="S91" s="37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7"/>
      <c r="Q92" s="37"/>
      <c r="R92" s="1"/>
      <c r="S92" s="37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7"/>
      <c r="Q93" s="37"/>
      <c r="R93" s="1"/>
      <c r="S93" s="37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7"/>
      <c r="Q94" s="37"/>
      <c r="R94" s="1"/>
      <c r="S94" s="37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7"/>
      <c r="Q95" s="37"/>
      <c r="R95" s="1"/>
      <c r="S95" s="37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7"/>
      <c r="Q96" s="37"/>
      <c r="R96" s="1"/>
      <c r="S96" s="37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7"/>
      <c r="Q97" s="37"/>
      <c r="R97" s="1"/>
      <c r="S97" s="37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7"/>
      <c r="Q98" s="37"/>
      <c r="R98" s="1"/>
      <c r="S98" s="37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7"/>
      <c r="Q99" s="37"/>
      <c r="R99" s="1"/>
      <c r="S99" s="37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7"/>
      <c r="Q100" s="37"/>
      <c r="R100" s="1"/>
      <c r="S100" s="37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7"/>
      <c r="Q101" s="37"/>
      <c r="R101" s="1"/>
      <c r="S101" s="37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7"/>
      <c r="Q102" s="37"/>
      <c r="R102" s="1"/>
      <c r="S102" s="37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7"/>
      <c r="Q103" s="37"/>
      <c r="R103" s="1"/>
      <c r="S103" s="37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7"/>
      <c r="Q104" s="37"/>
      <c r="R104" s="1"/>
      <c r="S104" s="37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7"/>
      <c r="Q105" s="37"/>
      <c r="R105" s="1"/>
      <c r="S105" s="37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7"/>
      <c r="Q106" s="37"/>
      <c r="R106" s="1"/>
      <c r="S106" s="37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7"/>
      <c r="Q107" s="37"/>
      <c r="R107" s="1"/>
      <c r="S107" s="37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7"/>
      <c r="Q108" s="37"/>
      <c r="R108" s="1"/>
      <c r="S108" s="37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7"/>
      <c r="Q109" s="37"/>
      <c r="R109" s="1"/>
      <c r="S109" s="37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7"/>
      <c r="Q110" s="37"/>
      <c r="R110" s="1"/>
      <c r="S110" s="37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7"/>
      <c r="Q111" s="37"/>
      <c r="R111" s="1"/>
      <c r="S111" s="37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7"/>
      <c r="Q112" s="37"/>
      <c r="R112" s="1"/>
      <c r="S112" s="37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7"/>
      <c r="Q113" s="37"/>
      <c r="R113" s="1"/>
      <c r="S113" s="37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7"/>
      <c r="Q114" s="37"/>
      <c r="R114" s="1"/>
      <c r="S114" s="37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7"/>
      <c r="Q115" s="37"/>
      <c r="R115" s="1"/>
      <c r="S115" s="37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7"/>
      <c r="Q116" s="37"/>
      <c r="R116" s="1"/>
      <c r="S116" s="37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7"/>
      <c r="Q117" s="37"/>
      <c r="R117" s="1"/>
      <c r="S117" s="37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7"/>
      <c r="Q118" s="37"/>
      <c r="R118" s="1"/>
      <c r="S118" s="37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7"/>
      <c r="Q119" s="37"/>
      <c r="R119" s="1"/>
      <c r="S119" s="37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7"/>
      <c r="Q120" s="37"/>
      <c r="R120" s="1"/>
      <c r="S120" s="37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7"/>
      <c r="Q121" s="37"/>
      <c r="R121" s="1"/>
      <c r="S121" s="37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7"/>
      <c r="Q122" s="37"/>
      <c r="R122" s="1"/>
      <c r="S122" s="37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7"/>
      <c r="Q123" s="37"/>
      <c r="R123" s="1"/>
      <c r="S123" s="37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7"/>
      <c r="Q124" s="37"/>
      <c r="R124" s="1"/>
      <c r="S124" s="37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7"/>
      <c r="Q125" s="37"/>
      <c r="R125" s="1"/>
      <c r="S125" s="37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7"/>
      <c r="Q126" s="37"/>
      <c r="R126" s="1"/>
      <c r="S126" s="37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7"/>
      <c r="Q127" s="37"/>
      <c r="R127" s="1"/>
      <c r="S127" s="37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7"/>
      <c r="Q128" s="37"/>
      <c r="R128" s="1"/>
      <c r="S128" s="37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7"/>
      <c r="Q129" s="37"/>
      <c r="R129" s="1"/>
      <c r="S129" s="37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7"/>
      <c r="Q130" s="37"/>
      <c r="R130" s="1"/>
      <c r="S130" s="37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7"/>
      <c r="Q131" s="37"/>
      <c r="R131" s="1"/>
      <c r="S131" s="37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7"/>
      <c r="Q132" s="37"/>
      <c r="R132" s="1"/>
      <c r="S132" s="37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7"/>
      <c r="Q133" s="37"/>
      <c r="R133" s="1"/>
      <c r="S133" s="37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7"/>
      <c r="Q134" s="37"/>
      <c r="R134" s="1"/>
      <c r="S134" s="37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7"/>
      <c r="Q135" s="37"/>
      <c r="R135" s="1"/>
      <c r="S135" s="37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7"/>
      <c r="Q136" s="37"/>
      <c r="R136" s="1"/>
      <c r="S136" s="37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7"/>
      <c r="Q137" s="37"/>
      <c r="R137" s="1"/>
      <c r="S137" s="37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7"/>
      <c r="Q138" s="37"/>
      <c r="R138" s="1"/>
      <c r="S138" s="37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7"/>
      <c r="Q139" s="37"/>
      <c r="R139" s="1"/>
      <c r="S139" s="37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7"/>
      <c r="Q140" s="37"/>
      <c r="R140" s="1"/>
      <c r="S140" s="37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7"/>
      <c r="Q141" s="37"/>
      <c r="R141" s="1"/>
      <c r="S141" s="37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7"/>
      <c r="Q142" s="37"/>
      <c r="R142" s="1"/>
      <c r="S142" s="37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7"/>
      <c r="Q143" s="37"/>
      <c r="R143" s="1"/>
      <c r="S143" s="37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7"/>
      <c r="Q144" s="37"/>
      <c r="R144" s="1"/>
      <c r="S144" s="37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7"/>
      <c r="Q145" s="37"/>
      <c r="R145" s="1"/>
      <c r="S145" s="37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7"/>
      <c r="Q146" s="37"/>
      <c r="R146" s="1"/>
      <c r="S146" s="37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7"/>
      <c r="Q147" s="37"/>
      <c r="R147" s="1"/>
      <c r="S147" s="37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7"/>
      <c r="Q148" s="37"/>
      <c r="R148" s="1"/>
      <c r="S148" s="37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7"/>
      <c r="Q149" s="37"/>
      <c r="R149" s="1"/>
      <c r="S149" s="37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7"/>
      <c r="Q150" s="37"/>
      <c r="R150" s="1"/>
      <c r="S150" s="37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7"/>
      <c r="Q151" s="37"/>
      <c r="R151" s="1"/>
      <c r="S151" s="37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7"/>
      <c r="Q152" s="37"/>
      <c r="R152" s="1"/>
      <c r="S152" s="37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7"/>
      <c r="Q153" s="37"/>
      <c r="R153" s="1"/>
      <c r="S153" s="37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7"/>
      <c r="Q154" s="37"/>
      <c r="R154" s="1"/>
      <c r="S154" s="37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7"/>
      <c r="Q155" s="37"/>
      <c r="R155" s="1"/>
      <c r="S155" s="37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7"/>
      <c r="Q156" s="37"/>
      <c r="R156" s="1"/>
      <c r="S156" s="37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7"/>
      <c r="Q157" s="37"/>
      <c r="R157" s="1"/>
      <c r="S157" s="37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7"/>
      <c r="Q158" s="37"/>
      <c r="R158" s="1"/>
      <c r="S158" s="37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7"/>
      <c r="Q159" s="37"/>
      <c r="R159" s="1"/>
      <c r="S159" s="37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7"/>
      <c r="Q160" s="37"/>
      <c r="R160" s="1"/>
      <c r="S160" s="37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7"/>
      <c r="Q161" s="37"/>
      <c r="R161" s="1"/>
      <c r="S161" s="37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7"/>
      <c r="Q162" s="37"/>
      <c r="R162" s="1"/>
      <c r="S162" s="37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7"/>
      <c r="Q163" s="37"/>
      <c r="R163" s="1"/>
      <c r="S163" s="37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7"/>
      <c r="Q164" s="37"/>
      <c r="R164" s="1"/>
      <c r="S164" s="37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7"/>
      <c r="Q165" s="37"/>
      <c r="R165" s="1"/>
      <c r="S165" s="37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7"/>
      <c r="Q166" s="37"/>
      <c r="R166" s="1"/>
      <c r="S166" s="37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7"/>
      <c r="Q167" s="37"/>
      <c r="R167" s="1"/>
      <c r="S167" s="37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7"/>
      <c r="Q168" s="37"/>
      <c r="R168" s="1"/>
      <c r="S168" s="37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7"/>
      <c r="Q169" s="37"/>
      <c r="R169" s="1"/>
      <c r="S169" s="37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7"/>
      <c r="Q170" s="37"/>
      <c r="R170" s="1"/>
      <c r="S170" s="37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7"/>
      <c r="Q171" s="37"/>
      <c r="R171" s="1"/>
      <c r="S171" s="37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7"/>
      <c r="Q172" s="37"/>
      <c r="R172" s="1"/>
      <c r="S172" s="37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7"/>
      <c r="Q173" s="37"/>
      <c r="R173" s="1"/>
      <c r="S173" s="37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7"/>
      <c r="Q174" s="37"/>
      <c r="R174" s="1"/>
      <c r="S174" s="37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7"/>
      <c r="Q175" s="37"/>
      <c r="R175" s="1"/>
      <c r="S175" s="37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7"/>
      <c r="Q176" s="37"/>
      <c r="R176" s="1"/>
      <c r="S176" s="37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7"/>
      <c r="Q177" s="37"/>
      <c r="R177" s="1"/>
      <c r="S177" s="37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7"/>
      <c r="Q178" s="37"/>
      <c r="R178" s="1"/>
      <c r="S178" s="37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7"/>
      <c r="Q179" s="37"/>
      <c r="R179" s="1"/>
      <c r="S179" s="37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7"/>
      <c r="Q180" s="37"/>
      <c r="R180" s="1"/>
      <c r="S180" s="37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7"/>
      <c r="Q181" s="37"/>
      <c r="R181" s="1"/>
      <c r="S181" s="37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7"/>
      <c r="Q182" s="37"/>
      <c r="R182" s="1"/>
      <c r="S182" s="37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7"/>
      <c r="Q183" s="37"/>
      <c r="R183" s="1"/>
      <c r="S183" s="37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7"/>
      <c r="Q184" s="37"/>
      <c r="R184" s="1"/>
      <c r="S184" s="37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7"/>
      <c r="Q185" s="37"/>
      <c r="R185" s="1"/>
      <c r="S185" s="37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7"/>
      <c r="Q186" s="37"/>
      <c r="R186" s="1"/>
      <c r="S186" s="37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7"/>
      <c r="Q187" s="37"/>
      <c r="R187" s="1"/>
      <c r="S187" s="37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7"/>
      <c r="Q188" s="37"/>
      <c r="R188" s="1"/>
      <c r="S188" s="37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7"/>
      <c r="Q189" s="37"/>
      <c r="R189" s="1"/>
      <c r="S189" s="37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7"/>
      <c r="Q190" s="37"/>
      <c r="R190" s="1"/>
      <c r="S190" s="37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7"/>
      <c r="Q191" s="37"/>
      <c r="R191" s="1"/>
      <c r="S191" s="37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7"/>
      <c r="Q192" s="37"/>
      <c r="R192" s="1"/>
      <c r="S192" s="37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7"/>
      <c r="Q193" s="37"/>
      <c r="R193" s="1"/>
      <c r="S193" s="37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7"/>
      <c r="Q194" s="37"/>
      <c r="R194" s="1"/>
      <c r="S194" s="37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7"/>
      <c r="Q195" s="37"/>
      <c r="R195" s="1"/>
      <c r="S195" s="37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7"/>
      <c r="Q196" s="37"/>
      <c r="R196" s="1"/>
      <c r="S196" s="37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7"/>
      <c r="Q197" s="37"/>
      <c r="R197" s="1"/>
      <c r="S197" s="37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7"/>
      <c r="Q198" s="37"/>
      <c r="R198" s="1"/>
      <c r="S198" s="37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7"/>
      <c r="Q199" s="37"/>
      <c r="R199" s="1"/>
      <c r="S199" s="37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7"/>
      <c r="Q200" s="37"/>
      <c r="R200" s="1"/>
      <c r="S200" s="37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7"/>
      <c r="Q201" s="37"/>
      <c r="R201" s="1"/>
      <c r="S201" s="37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7"/>
      <c r="Q202" s="37"/>
      <c r="R202" s="1"/>
      <c r="S202" s="37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7"/>
      <c r="Q203" s="37"/>
      <c r="R203" s="1"/>
      <c r="S203" s="37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7"/>
      <c r="Q204" s="37"/>
      <c r="R204" s="1"/>
      <c r="S204" s="37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7"/>
      <c r="Q205" s="37"/>
      <c r="R205" s="1"/>
      <c r="S205" s="37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7"/>
      <c r="Q206" s="37"/>
      <c r="R206" s="1"/>
      <c r="S206" s="37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7"/>
      <c r="Q207" s="37"/>
      <c r="R207" s="1"/>
      <c r="S207" s="37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7"/>
      <c r="Q208" s="37"/>
      <c r="R208" s="1"/>
      <c r="S208" s="37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7"/>
      <c r="Q209" s="37"/>
      <c r="R209" s="1"/>
      <c r="S209" s="37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7"/>
      <c r="Q210" s="37"/>
      <c r="R210" s="1"/>
      <c r="S210" s="37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7"/>
      <c r="Q211" s="37"/>
      <c r="R211" s="1"/>
      <c r="S211" s="37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7"/>
      <c r="Q212" s="37"/>
      <c r="R212" s="1"/>
      <c r="S212" s="37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7"/>
      <c r="Q213" s="37"/>
      <c r="R213" s="1"/>
      <c r="S213" s="37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7"/>
      <c r="Q214" s="37"/>
      <c r="R214" s="1"/>
      <c r="S214" s="37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7"/>
      <c r="Q215" s="37"/>
      <c r="R215" s="1"/>
      <c r="S215" s="37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7"/>
      <c r="Q216" s="37"/>
      <c r="R216" s="1"/>
      <c r="S216" s="37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7"/>
      <c r="Q217" s="37"/>
      <c r="R217" s="1"/>
      <c r="S217" s="37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7"/>
      <c r="Q218" s="37"/>
      <c r="R218" s="1"/>
      <c r="S218" s="37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7"/>
      <c r="Q219" s="37"/>
      <c r="R219" s="1"/>
      <c r="S219" s="37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7"/>
      <c r="Q220" s="37"/>
      <c r="R220" s="1"/>
      <c r="S220" s="37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1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1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1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1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1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1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1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1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1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1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1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1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1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1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1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1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1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1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1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1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1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1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1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1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1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1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1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1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1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1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1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1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1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1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1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1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1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1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1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1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1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1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1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1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1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1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1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1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1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1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1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1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1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1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1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1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1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1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1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1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1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1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1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1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1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1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1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1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1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1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1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1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1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1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1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1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1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1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1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1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1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1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1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1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1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1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1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1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1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1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1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1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1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1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1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1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1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1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1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1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1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1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1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1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1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1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1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1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1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1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1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1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1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1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1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1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1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1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1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1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1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1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1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1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1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1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1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1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1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1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1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1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1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1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1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1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1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1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1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1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1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1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1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1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1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1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1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1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1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1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1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1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1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1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1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1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1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1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1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1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1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1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1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1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1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1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1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1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1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1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1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1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1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1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1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1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1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1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1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1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1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1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1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1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1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1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1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1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1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1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1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1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1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1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1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1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1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1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1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1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1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1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1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1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1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1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1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1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1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1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1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1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1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1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1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1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1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1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1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1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1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1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1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1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1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1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1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1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1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1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1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1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1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1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1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1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1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1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1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1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1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1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1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1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1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1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1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1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1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1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1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1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1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1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1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1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1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1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1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1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1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1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1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1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1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1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1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1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1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1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1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1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1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1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1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1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1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1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1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1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1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1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1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1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1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1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1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1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1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1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1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1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1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1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1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1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1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1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1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1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1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1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1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1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1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1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1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1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1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1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1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1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1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1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1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1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1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1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1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1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1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1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1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1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1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1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1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1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1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1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1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1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1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1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1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1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1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1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1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1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1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1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1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1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1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1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1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1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1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1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1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1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1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1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1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1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1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1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1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1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1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1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1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1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1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1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1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1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1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1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1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1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1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1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1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1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1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1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1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1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1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1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1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1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1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1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1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1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1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1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1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1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1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1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1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1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1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1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1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1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1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1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1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1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1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1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1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1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1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1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1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1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1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1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1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1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1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1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1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1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1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1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1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1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1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1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1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1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1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1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1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1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1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1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1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1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1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1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1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1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1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1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1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1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1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1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1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1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1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1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1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1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1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1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1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1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1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1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1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1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1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1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1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1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1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1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1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1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1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1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1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1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1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1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1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1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1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1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1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1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1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1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1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1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1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1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1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1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1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1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1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1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1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1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1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1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1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1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1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1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1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1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1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1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1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1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1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1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1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1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1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1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1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1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1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1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1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1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1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1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1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1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1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1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1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1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1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1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1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1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1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1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1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1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1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1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1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1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1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1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1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1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1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1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1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1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1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1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1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1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1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1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1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1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1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1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1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1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1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1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1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1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1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1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1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1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1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1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1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1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1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1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1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1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1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1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1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1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1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1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1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1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1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1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1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1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1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1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1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1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1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1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1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1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1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1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1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1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1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1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1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1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1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1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1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1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1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1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1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1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1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1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1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1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1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1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1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1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1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1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1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1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1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1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1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1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1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1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1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1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1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1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1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1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1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1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1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1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1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1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1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1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1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1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1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1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1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1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1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1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1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1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1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1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1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1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1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1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1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1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1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1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1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1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1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1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1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1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1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1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1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1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1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1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1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1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1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1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1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1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1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1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1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1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1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1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1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1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1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1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1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1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1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1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1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1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1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1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1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1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1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1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1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1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1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1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1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1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1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1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1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1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1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1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1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1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1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1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1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1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1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1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1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1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1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1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1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1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1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1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1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1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1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1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1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1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1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1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1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1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1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1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1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1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1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1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1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1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1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1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1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1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1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1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1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1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1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1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1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1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1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1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1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1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1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1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1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1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1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1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1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1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1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1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1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1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1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1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1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1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2.88"/>
    <col customWidth="1" min="15" max="16" width="10.13"/>
    <col customWidth="1" min="17" max="17" width="10.88"/>
    <col customWidth="1" min="18" max="18" width="17.88"/>
    <col customWidth="1" min="19" max="31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3" t="s">
        <v>114</v>
      </c>
      <c r="H1" s="26" t="s">
        <v>115</v>
      </c>
      <c r="I1" s="33" t="s">
        <v>116</v>
      </c>
      <c r="J1" s="33" t="s">
        <v>117</v>
      </c>
      <c r="K1" s="33" t="s">
        <v>118</v>
      </c>
      <c r="L1" s="33" t="s">
        <v>119</v>
      </c>
      <c r="M1" s="33" t="s">
        <v>120</v>
      </c>
      <c r="N1" s="34" t="s">
        <v>121</v>
      </c>
      <c r="O1" s="33" t="s">
        <v>122</v>
      </c>
      <c r="P1" s="35" t="s">
        <v>123</v>
      </c>
      <c r="Q1" s="35" t="s">
        <v>124</v>
      </c>
      <c r="R1" s="1" t="s">
        <v>125</v>
      </c>
      <c r="S1" s="35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</row>
    <row r="2">
      <c r="A2" s="33" t="s">
        <v>135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6">
        <f>README!$B$33</f>
        <v>-1</v>
      </c>
      <c r="O2" s="36" t="str">
        <f>JOIN(", ", 0, 0, 0)</f>
        <v>0, 0, 0</v>
      </c>
      <c r="P2" s="37">
        <f>README!$T$2</f>
        <v>-1</v>
      </c>
      <c r="Q2" s="37">
        <f>README!$J$2</f>
        <v>-1</v>
      </c>
      <c r="R2" s="14" t="str">
        <f>JOIN(", ", README!$L$21, README!$B$27, -1, README!$B$10, 0)</f>
        <v>300000000, -1, -1, 0, 0</v>
      </c>
      <c r="S2" s="37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7"/>
      <c r="Q3" s="37"/>
      <c r="R3" s="1"/>
      <c r="S3" s="37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7"/>
      <c r="Q4" s="37"/>
      <c r="R4" s="1"/>
      <c r="S4" s="37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7"/>
      <c r="Q5" s="37"/>
      <c r="R5" s="1"/>
      <c r="S5" s="37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7"/>
      <c r="Q6" s="37"/>
      <c r="R6" s="1"/>
      <c r="S6" s="37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7"/>
      <c r="Q7" s="37"/>
      <c r="R7" s="1"/>
      <c r="S7" s="37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7"/>
      <c r="Q8" s="37"/>
      <c r="R8" s="1"/>
      <c r="S8" s="37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7"/>
      <c r="Q9" s="37"/>
      <c r="R9" s="1"/>
      <c r="S9" s="37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7"/>
      <c r="Q10" s="37"/>
      <c r="R10" s="1"/>
      <c r="S10" s="37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7"/>
      <c r="Q11" s="37"/>
      <c r="R11" s="1"/>
      <c r="S11" s="37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7"/>
      <c r="Q12" s="37"/>
      <c r="R12" s="1"/>
      <c r="S12" s="37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7"/>
      <c r="Q13" s="37"/>
      <c r="R13" s="1"/>
      <c r="S13" s="37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7"/>
      <c r="Q14" s="37"/>
      <c r="R14" s="1"/>
      <c r="S14" s="37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7"/>
      <c r="Q15" s="37"/>
      <c r="R15" s="1"/>
      <c r="S15" s="37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7"/>
      <c r="Q16" s="37"/>
      <c r="R16" s="1"/>
      <c r="S16" s="37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7"/>
      <c r="Q17" s="37"/>
      <c r="R17" s="1"/>
      <c r="S17" s="37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7"/>
      <c r="Q18" s="37"/>
      <c r="R18" s="1"/>
      <c r="S18" s="37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7"/>
      <c r="Q19" s="37"/>
      <c r="R19" s="1"/>
      <c r="S19" s="37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7"/>
      <c r="Q20" s="37"/>
      <c r="R20" s="1"/>
      <c r="S20" s="37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7"/>
      <c r="Q21" s="37"/>
      <c r="R21" s="1"/>
      <c r="S21" s="37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7"/>
      <c r="Q22" s="37"/>
      <c r="R22" s="1"/>
      <c r="S22" s="37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7"/>
      <c r="Q23" s="37"/>
      <c r="R23" s="1"/>
      <c r="S23" s="37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7"/>
      <c r="Q24" s="37"/>
      <c r="R24" s="1"/>
      <c r="S24" s="37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7"/>
      <c r="Q25" s="37"/>
      <c r="R25" s="1"/>
      <c r="S25" s="37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7"/>
      <c r="Q26" s="37"/>
      <c r="R26" s="1"/>
      <c r="S26" s="37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7"/>
      <c r="Q27" s="37"/>
      <c r="R27" s="1"/>
      <c r="S27" s="37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7"/>
      <c r="Q28" s="37"/>
      <c r="R28" s="1"/>
      <c r="S28" s="37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7"/>
      <c r="Q29" s="37"/>
      <c r="R29" s="1"/>
      <c r="S29" s="37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7"/>
      <c r="Q30" s="37"/>
      <c r="R30" s="1"/>
      <c r="S30" s="37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7"/>
      <c r="Q31" s="37"/>
      <c r="R31" s="1"/>
      <c r="S31" s="37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7"/>
      <c r="Q32" s="37"/>
      <c r="R32" s="1"/>
      <c r="S32" s="37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7"/>
      <c r="Q33" s="37"/>
      <c r="R33" s="1"/>
      <c r="S33" s="37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7"/>
      <c r="Q34" s="37"/>
      <c r="R34" s="1"/>
      <c r="S34" s="37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7"/>
      <c r="Q35" s="37"/>
      <c r="R35" s="1"/>
      <c r="S35" s="37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7"/>
      <c r="Q36" s="37"/>
      <c r="R36" s="1"/>
      <c r="S36" s="37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7"/>
      <c r="Q37" s="37"/>
      <c r="R37" s="1"/>
      <c r="S37" s="37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7"/>
      <c r="Q38" s="37"/>
      <c r="R38" s="1"/>
      <c r="S38" s="37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7"/>
      <c r="Q39" s="37"/>
      <c r="R39" s="1"/>
      <c r="S39" s="37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7"/>
      <c r="Q40" s="37"/>
      <c r="R40" s="1"/>
      <c r="S40" s="37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7"/>
      <c r="Q41" s="37"/>
      <c r="R41" s="1"/>
      <c r="S41" s="37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7"/>
      <c r="Q42" s="37"/>
      <c r="R42" s="1"/>
      <c r="S42" s="37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7"/>
      <c r="Q43" s="37"/>
      <c r="R43" s="1"/>
      <c r="S43" s="37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7"/>
      <c r="Q44" s="37"/>
      <c r="R44" s="1"/>
      <c r="S44" s="37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7"/>
      <c r="Q45" s="37"/>
      <c r="R45" s="1"/>
      <c r="S45" s="37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7"/>
      <c r="Q46" s="37"/>
      <c r="R46" s="1"/>
      <c r="S46" s="37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7"/>
      <c r="Q47" s="37"/>
      <c r="R47" s="1"/>
      <c r="S47" s="37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7"/>
      <c r="Q48" s="37"/>
      <c r="R48" s="1"/>
      <c r="S48" s="37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7"/>
      <c r="Q49" s="37"/>
      <c r="R49" s="1"/>
      <c r="S49" s="37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7"/>
      <c r="Q50" s="37"/>
      <c r="R50" s="1"/>
      <c r="S50" s="37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7"/>
      <c r="Q51" s="37"/>
      <c r="R51" s="1"/>
      <c r="S51" s="37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7"/>
      <c r="Q52" s="37"/>
      <c r="R52" s="1"/>
      <c r="S52" s="37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7"/>
      <c r="Q53" s="37"/>
      <c r="R53" s="1"/>
      <c r="S53" s="37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7"/>
      <c r="Q54" s="37"/>
      <c r="R54" s="1"/>
      <c r="S54" s="37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7"/>
      <c r="Q55" s="37"/>
      <c r="R55" s="1"/>
      <c r="S55" s="37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7"/>
      <c r="Q56" s="37"/>
      <c r="R56" s="1"/>
      <c r="S56" s="37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7"/>
      <c r="Q57" s="37"/>
      <c r="R57" s="1"/>
      <c r="S57" s="37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7"/>
      <c r="Q58" s="37"/>
      <c r="R58" s="1"/>
      <c r="S58" s="37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7"/>
      <c r="Q59" s="37"/>
      <c r="R59" s="1"/>
      <c r="S59" s="37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7"/>
      <c r="Q60" s="37"/>
      <c r="R60" s="1"/>
      <c r="S60" s="37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7"/>
      <c r="Q61" s="37"/>
      <c r="R61" s="1"/>
      <c r="S61" s="37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7"/>
      <c r="Q62" s="37"/>
      <c r="R62" s="1"/>
      <c r="S62" s="37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7"/>
      <c r="Q63" s="37"/>
      <c r="R63" s="1"/>
      <c r="S63" s="37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7"/>
      <c r="Q64" s="37"/>
      <c r="R64" s="1"/>
      <c r="S64" s="37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7"/>
      <c r="Q65" s="37"/>
      <c r="R65" s="1"/>
      <c r="S65" s="37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7"/>
      <c r="Q66" s="37"/>
      <c r="R66" s="1"/>
      <c r="S66" s="37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7"/>
      <c r="Q67" s="37"/>
      <c r="R67" s="1"/>
      <c r="S67" s="37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7"/>
      <c r="Q68" s="37"/>
      <c r="R68" s="1"/>
      <c r="S68" s="37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7"/>
      <c r="Q69" s="37"/>
      <c r="R69" s="1"/>
      <c r="S69" s="37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7"/>
      <c r="Q70" s="37"/>
      <c r="R70" s="1"/>
      <c r="S70" s="37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7"/>
      <c r="Q71" s="37"/>
      <c r="R71" s="1"/>
      <c r="S71" s="37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7"/>
      <c r="Q72" s="37"/>
      <c r="R72" s="1"/>
      <c r="S72" s="37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7"/>
      <c r="Q73" s="37"/>
      <c r="R73" s="1"/>
      <c r="S73" s="37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7"/>
      <c r="Q74" s="37"/>
      <c r="R74" s="1"/>
      <c r="S74" s="37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7"/>
      <c r="Q75" s="37"/>
      <c r="R75" s="1"/>
      <c r="S75" s="37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7"/>
      <c r="Q76" s="37"/>
      <c r="R76" s="1"/>
      <c r="S76" s="37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7"/>
      <c r="Q77" s="37"/>
      <c r="R77" s="1"/>
      <c r="S77" s="37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7"/>
      <c r="Q78" s="37"/>
      <c r="R78" s="1"/>
      <c r="S78" s="37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7"/>
      <c r="Q79" s="37"/>
      <c r="R79" s="1"/>
      <c r="S79" s="37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7"/>
      <c r="Q80" s="37"/>
      <c r="R80" s="1"/>
      <c r="S80" s="37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7"/>
      <c r="Q81" s="37"/>
      <c r="R81" s="1"/>
      <c r="S81" s="37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7"/>
      <c r="Q82" s="37"/>
      <c r="R82" s="1"/>
      <c r="S82" s="37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7"/>
      <c r="Q83" s="37"/>
      <c r="R83" s="1"/>
      <c r="S83" s="37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7"/>
      <c r="Q84" s="37"/>
      <c r="R84" s="1"/>
      <c r="S84" s="37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7"/>
      <c r="Q85" s="37"/>
      <c r="R85" s="1"/>
      <c r="S85" s="37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7"/>
      <c r="Q86" s="37"/>
      <c r="R86" s="1"/>
      <c r="S86" s="37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7"/>
      <c r="Q87" s="37"/>
      <c r="R87" s="1"/>
      <c r="S87" s="37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7"/>
      <c r="Q88" s="37"/>
      <c r="R88" s="1"/>
      <c r="S88" s="37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7"/>
      <c r="Q89" s="37"/>
      <c r="R89" s="1"/>
      <c r="S89" s="37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7"/>
      <c r="Q90" s="37"/>
      <c r="R90" s="1"/>
      <c r="S90" s="37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7"/>
      <c r="Q91" s="37"/>
      <c r="R91" s="1"/>
      <c r="S91" s="37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7"/>
      <c r="Q92" s="37"/>
      <c r="R92" s="1"/>
      <c r="S92" s="37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7"/>
      <c r="Q93" s="37"/>
      <c r="R93" s="1"/>
      <c r="S93" s="37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7"/>
      <c r="Q94" s="37"/>
      <c r="R94" s="1"/>
      <c r="S94" s="37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7"/>
      <c r="Q95" s="37"/>
      <c r="R95" s="1"/>
      <c r="S95" s="37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7"/>
      <c r="Q96" s="37"/>
      <c r="R96" s="1"/>
      <c r="S96" s="37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7"/>
      <c r="Q97" s="37"/>
      <c r="R97" s="1"/>
      <c r="S97" s="37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7"/>
      <c r="Q98" s="37"/>
      <c r="R98" s="1"/>
      <c r="S98" s="37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7"/>
      <c r="Q99" s="37"/>
      <c r="R99" s="1"/>
      <c r="S99" s="37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7"/>
      <c r="Q100" s="37"/>
      <c r="R100" s="1"/>
      <c r="S100" s="37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7"/>
      <c r="Q101" s="37"/>
      <c r="R101" s="1"/>
      <c r="S101" s="37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7"/>
      <c r="Q102" s="37"/>
      <c r="R102" s="1"/>
      <c r="S102" s="37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7"/>
      <c r="Q103" s="37"/>
      <c r="R103" s="1"/>
      <c r="S103" s="37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7"/>
      <c r="Q104" s="37"/>
      <c r="R104" s="1"/>
      <c r="S104" s="37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7"/>
      <c r="Q105" s="37"/>
      <c r="R105" s="1"/>
      <c r="S105" s="37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7"/>
      <c r="Q106" s="37"/>
      <c r="R106" s="1"/>
      <c r="S106" s="37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7"/>
      <c r="Q107" s="37"/>
      <c r="R107" s="1"/>
      <c r="S107" s="37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7"/>
      <c r="Q108" s="37"/>
      <c r="R108" s="1"/>
      <c r="S108" s="37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7"/>
      <c r="Q109" s="37"/>
      <c r="R109" s="1"/>
      <c r="S109" s="37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7"/>
      <c r="Q110" s="37"/>
      <c r="R110" s="1"/>
      <c r="S110" s="37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7"/>
      <c r="Q111" s="37"/>
      <c r="R111" s="1"/>
      <c r="S111" s="37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7"/>
      <c r="Q112" s="37"/>
      <c r="R112" s="1"/>
      <c r="S112" s="37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7"/>
      <c r="Q113" s="37"/>
      <c r="R113" s="1"/>
      <c r="S113" s="37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7"/>
      <c r="Q114" s="37"/>
      <c r="R114" s="1"/>
      <c r="S114" s="37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7"/>
      <c r="Q115" s="37"/>
      <c r="R115" s="1"/>
      <c r="S115" s="37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7"/>
      <c r="Q116" s="37"/>
      <c r="R116" s="1"/>
      <c r="S116" s="37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7"/>
      <c r="Q117" s="37"/>
      <c r="R117" s="1"/>
      <c r="S117" s="37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7"/>
      <c r="Q118" s="37"/>
      <c r="R118" s="1"/>
      <c r="S118" s="37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7"/>
      <c r="Q119" s="37"/>
      <c r="R119" s="1"/>
      <c r="S119" s="37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7"/>
      <c r="Q120" s="37"/>
      <c r="R120" s="1"/>
      <c r="S120" s="37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7"/>
      <c r="Q121" s="37"/>
      <c r="R121" s="1"/>
      <c r="S121" s="37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7"/>
      <c r="Q122" s="37"/>
      <c r="R122" s="1"/>
      <c r="S122" s="37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7"/>
      <c r="Q123" s="37"/>
      <c r="R123" s="1"/>
      <c r="S123" s="37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7"/>
      <c r="Q124" s="37"/>
      <c r="R124" s="1"/>
      <c r="S124" s="37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7"/>
      <c r="Q125" s="37"/>
      <c r="R125" s="1"/>
      <c r="S125" s="37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7"/>
      <c r="Q126" s="37"/>
      <c r="R126" s="1"/>
      <c r="S126" s="37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7"/>
      <c r="Q127" s="37"/>
      <c r="R127" s="1"/>
      <c r="S127" s="37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7"/>
      <c r="Q128" s="37"/>
      <c r="R128" s="1"/>
      <c r="S128" s="37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7"/>
      <c r="Q129" s="37"/>
      <c r="R129" s="1"/>
      <c r="S129" s="37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7"/>
      <c r="Q130" s="37"/>
      <c r="R130" s="1"/>
      <c r="S130" s="37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7"/>
      <c r="Q131" s="37"/>
      <c r="R131" s="1"/>
      <c r="S131" s="37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7"/>
      <c r="Q132" s="37"/>
      <c r="R132" s="1"/>
      <c r="S132" s="37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7"/>
      <c r="Q133" s="37"/>
      <c r="R133" s="1"/>
      <c r="S133" s="37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7"/>
      <c r="Q134" s="37"/>
      <c r="R134" s="1"/>
      <c r="S134" s="37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7"/>
      <c r="Q135" s="37"/>
      <c r="R135" s="1"/>
      <c r="S135" s="37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7"/>
      <c r="Q136" s="37"/>
      <c r="R136" s="1"/>
      <c r="S136" s="37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7"/>
      <c r="Q137" s="37"/>
      <c r="R137" s="1"/>
      <c r="S137" s="37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7"/>
      <c r="Q138" s="37"/>
      <c r="R138" s="1"/>
      <c r="S138" s="37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7"/>
      <c r="Q139" s="37"/>
      <c r="R139" s="1"/>
      <c r="S139" s="37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7"/>
      <c r="Q140" s="37"/>
      <c r="R140" s="1"/>
      <c r="S140" s="37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7"/>
      <c r="Q141" s="37"/>
      <c r="R141" s="1"/>
      <c r="S141" s="37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7"/>
      <c r="Q142" s="37"/>
      <c r="R142" s="1"/>
      <c r="S142" s="37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7"/>
      <c r="Q143" s="37"/>
      <c r="R143" s="1"/>
      <c r="S143" s="37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7"/>
      <c r="Q144" s="37"/>
      <c r="R144" s="1"/>
      <c r="S144" s="37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7"/>
      <c r="Q145" s="37"/>
      <c r="R145" s="1"/>
      <c r="S145" s="37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7"/>
      <c r="Q146" s="37"/>
      <c r="R146" s="1"/>
      <c r="S146" s="37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7"/>
      <c r="Q147" s="37"/>
      <c r="R147" s="1"/>
      <c r="S147" s="37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7"/>
      <c r="Q148" s="37"/>
      <c r="R148" s="1"/>
      <c r="S148" s="37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7"/>
      <c r="Q149" s="37"/>
      <c r="R149" s="1"/>
      <c r="S149" s="37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7"/>
      <c r="Q150" s="37"/>
      <c r="R150" s="1"/>
      <c r="S150" s="37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7"/>
      <c r="Q151" s="37"/>
      <c r="R151" s="1"/>
      <c r="S151" s="37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7"/>
      <c r="Q152" s="37"/>
      <c r="R152" s="1"/>
      <c r="S152" s="37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7"/>
      <c r="Q153" s="37"/>
      <c r="R153" s="1"/>
      <c r="S153" s="37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7"/>
      <c r="Q154" s="37"/>
      <c r="R154" s="1"/>
      <c r="S154" s="37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7"/>
      <c r="Q155" s="37"/>
      <c r="R155" s="1"/>
      <c r="S155" s="37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7"/>
      <c r="Q156" s="37"/>
      <c r="R156" s="1"/>
      <c r="S156" s="37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7"/>
      <c r="Q157" s="37"/>
      <c r="R157" s="1"/>
      <c r="S157" s="37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7"/>
      <c r="Q158" s="37"/>
      <c r="R158" s="1"/>
      <c r="S158" s="37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7"/>
      <c r="Q159" s="37"/>
      <c r="R159" s="1"/>
      <c r="S159" s="37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7"/>
      <c r="Q160" s="37"/>
      <c r="R160" s="1"/>
      <c r="S160" s="37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7"/>
      <c r="Q161" s="37"/>
      <c r="R161" s="1"/>
      <c r="S161" s="37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7"/>
      <c r="Q162" s="37"/>
      <c r="R162" s="1"/>
      <c r="S162" s="37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7"/>
      <c r="Q163" s="37"/>
      <c r="R163" s="1"/>
      <c r="S163" s="37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7"/>
      <c r="Q164" s="37"/>
      <c r="R164" s="1"/>
      <c r="S164" s="37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7"/>
      <c r="Q165" s="37"/>
      <c r="R165" s="1"/>
      <c r="S165" s="37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7"/>
      <c r="Q166" s="37"/>
      <c r="R166" s="1"/>
      <c r="S166" s="37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7"/>
      <c r="Q167" s="37"/>
      <c r="R167" s="1"/>
      <c r="S167" s="37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7"/>
      <c r="Q168" s="37"/>
      <c r="R168" s="1"/>
      <c r="S168" s="37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7"/>
      <c r="Q169" s="37"/>
      <c r="R169" s="1"/>
      <c r="S169" s="37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7"/>
      <c r="Q170" s="37"/>
      <c r="R170" s="1"/>
      <c r="S170" s="37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7"/>
      <c r="Q171" s="37"/>
      <c r="R171" s="1"/>
      <c r="S171" s="37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7"/>
      <c r="Q172" s="37"/>
      <c r="R172" s="1"/>
      <c r="S172" s="37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7"/>
      <c r="Q173" s="37"/>
      <c r="R173" s="1"/>
      <c r="S173" s="37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7"/>
      <c r="Q174" s="37"/>
      <c r="R174" s="1"/>
      <c r="S174" s="37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7"/>
      <c r="Q175" s="37"/>
      <c r="R175" s="1"/>
      <c r="S175" s="37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7"/>
      <c r="Q176" s="37"/>
      <c r="R176" s="1"/>
      <c r="S176" s="37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7"/>
      <c r="Q177" s="37"/>
      <c r="R177" s="1"/>
      <c r="S177" s="37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7"/>
      <c r="Q178" s="37"/>
      <c r="R178" s="1"/>
      <c r="S178" s="37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7"/>
      <c r="Q179" s="37"/>
      <c r="R179" s="1"/>
      <c r="S179" s="37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7"/>
      <c r="Q180" s="37"/>
      <c r="R180" s="1"/>
      <c r="S180" s="37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7"/>
      <c r="Q181" s="37"/>
      <c r="R181" s="1"/>
      <c r="S181" s="37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7"/>
      <c r="Q182" s="37"/>
      <c r="R182" s="1"/>
      <c r="S182" s="37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7"/>
      <c r="Q183" s="37"/>
      <c r="R183" s="1"/>
      <c r="S183" s="37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7"/>
      <c r="Q184" s="37"/>
      <c r="R184" s="1"/>
      <c r="S184" s="37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7"/>
      <c r="Q185" s="37"/>
      <c r="R185" s="1"/>
      <c r="S185" s="37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7"/>
      <c r="Q186" s="37"/>
      <c r="R186" s="1"/>
      <c r="S186" s="37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7"/>
      <c r="Q187" s="37"/>
      <c r="R187" s="1"/>
      <c r="S187" s="37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7"/>
      <c r="Q188" s="37"/>
      <c r="R188" s="1"/>
      <c r="S188" s="37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7"/>
      <c r="Q189" s="37"/>
      <c r="R189" s="1"/>
      <c r="S189" s="37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7"/>
      <c r="Q190" s="37"/>
      <c r="R190" s="1"/>
      <c r="S190" s="37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7"/>
      <c r="Q191" s="37"/>
      <c r="R191" s="1"/>
      <c r="S191" s="37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7"/>
      <c r="Q192" s="37"/>
      <c r="R192" s="1"/>
      <c r="S192" s="37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7"/>
      <c r="Q193" s="37"/>
      <c r="R193" s="1"/>
      <c r="S193" s="37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7"/>
      <c r="Q194" s="37"/>
      <c r="R194" s="1"/>
      <c r="S194" s="37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7"/>
      <c r="Q195" s="37"/>
      <c r="R195" s="1"/>
      <c r="S195" s="37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7"/>
      <c r="Q196" s="37"/>
      <c r="R196" s="1"/>
      <c r="S196" s="37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7"/>
      <c r="Q197" s="37"/>
      <c r="R197" s="1"/>
      <c r="S197" s="37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7"/>
      <c r="Q198" s="37"/>
      <c r="R198" s="1"/>
      <c r="S198" s="37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7"/>
      <c r="Q199" s="37"/>
      <c r="R199" s="1"/>
      <c r="S199" s="37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7"/>
      <c r="Q200" s="37"/>
      <c r="R200" s="1"/>
      <c r="S200" s="37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7"/>
      <c r="Q201" s="37"/>
      <c r="R201" s="1"/>
      <c r="S201" s="37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7"/>
      <c r="Q202" s="37"/>
      <c r="R202" s="1"/>
      <c r="S202" s="37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7"/>
      <c r="Q203" s="37"/>
      <c r="R203" s="1"/>
      <c r="S203" s="37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7"/>
      <c r="Q204" s="37"/>
      <c r="R204" s="1"/>
      <c r="S204" s="37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7"/>
      <c r="Q205" s="37"/>
      <c r="R205" s="1"/>
      <c r="S205" s="37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7"/>
      <c r="Q206" s="37"/>
      <c r="R206" s="1"/>
      <c r="S206" s="37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7"/>
      <c r="Q207" s="37"/>
      <c r="R207" s="1"/>
      <c r="S207" s="37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7"/>
      <c r="Q208" s="37"/>
      <c r="R208" s="1"/>
      <c r="S208" s="37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7"/>
      <c r="Q209" s="37"/>
      <c r="R209" s="1"/>
      <c r="S209" s="37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7"/>
      <c r="Q210" s="37"/>
      <c r="R210" s="1"/>
      <c r="S210" s="37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7"/>
      <c r="Q211" s="37"/>
      <c r="R211" s="1"/>
      <c r="S211" s="37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7"/>
      <c r="Q212" s="37"/>
      <c r="R212" s="1"/>
      <c r="S212" s="37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7"/>
      <c r="Q213" s="37"/>
      <c r="R213" s="1"/>
      <c r="S213" s="37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7"/>
      <c r="Q214" s="37"/>
      <c r="R214" s="1"/>
      <c r="S214" s="37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7"/>
      <c r="Q215" s="37"/>
      <c r="R215" s="1"/>
      <c r="S215" s="37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7"/>
      <c r="Q216" s="37"/>
      <c r="R216" s="1"/>
      <c r="S216" s="37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7"/>
      <c r="Q217" s="37"/>
      <c r="R217" s="1"/>
      <c r="S217" s="37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7"/>
      <c r="Q218" s="37"/>
      <c r="R218" s="1"/>
      <c r="S218" s="37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7"/>
      <c r="Q219" s="37"/>
      <c r="R219" s="1"/>
      <c r="S219" s="37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7"/>
      <c r="Q220" s="37"/>
      <c r="R220" s="1"/>
      <c r="S220" s="37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1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1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1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1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1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1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1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1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1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1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1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1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1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1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1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1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1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1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1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1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1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1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1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1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1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1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1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1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1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1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1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1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1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1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1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1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1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1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1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1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1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1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1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1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1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1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1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1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1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1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1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1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1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1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1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1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1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1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1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1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1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1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1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1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1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1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1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1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1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1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1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1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1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1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1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1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1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1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1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1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1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1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1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1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1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1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1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1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1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1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1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1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1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1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1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1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1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1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1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1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1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1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1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1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1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1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1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1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1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1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1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1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1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1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1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1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1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1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1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1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1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1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1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1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1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1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1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1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1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1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1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1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1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1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1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1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1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1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1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1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1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1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1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1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1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1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1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1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1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1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1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1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1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1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1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1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1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1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1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1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1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1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1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1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1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1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1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1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1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1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1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1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1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1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1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1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1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1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1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1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1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1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1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1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1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1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1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1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1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1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1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1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1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1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1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1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1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1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1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1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1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1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1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1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1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1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1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1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1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1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1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1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1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1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1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1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1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1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1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1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1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1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1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1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1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1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1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1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1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1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1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1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1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1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1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1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1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1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1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1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1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1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1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1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1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1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1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1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1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1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1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1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1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1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1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1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1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1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1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1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1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1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1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1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1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1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1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1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1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1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1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1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1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1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1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1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1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1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1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1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1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1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1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1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1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1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1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1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1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1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1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1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1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1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1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1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1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1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1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1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1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1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1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1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1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1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1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1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1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1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1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1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1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1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1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1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1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1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1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1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1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1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1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1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1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1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1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1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1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1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1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1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1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1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1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1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1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1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1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1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1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1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1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1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1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1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1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1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1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1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1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1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1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1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1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1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1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1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1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1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1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1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1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1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1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1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1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1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1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1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1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1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1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1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1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1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1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1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1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1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1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1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1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1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1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1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1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1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1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1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1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1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1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1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1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1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1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1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1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1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1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1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1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1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1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1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1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1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1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1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1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1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1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1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1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1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1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1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1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1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1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1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1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1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1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1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1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1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1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1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1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1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1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1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1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1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1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1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1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1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1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1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1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1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1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1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1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1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1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1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1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1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1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1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1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1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1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1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1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1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1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1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1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1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1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1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1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1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1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1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1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1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1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1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1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1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1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1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1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1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1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1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1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1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1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1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1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1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1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1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1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1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1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1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1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1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1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1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1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1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1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1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1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1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1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1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1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1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1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1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1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1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1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1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1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1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1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1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1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1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1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1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1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1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1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1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1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1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1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1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1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1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1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1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1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1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1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1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1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1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1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1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1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1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1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1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1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1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1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1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1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1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1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1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1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1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1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1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1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1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1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1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1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1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1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1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1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1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1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1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1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1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1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1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1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1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1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1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1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1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1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1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1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1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1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1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1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1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1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1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1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1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1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1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1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1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1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1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1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1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1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1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1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1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1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1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1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1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1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1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1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1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1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1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1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1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1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1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1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1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1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1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1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1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1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1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1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1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1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1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1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1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1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1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1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1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1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1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1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1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1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1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1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1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1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1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1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1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1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1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1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1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1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1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1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1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1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1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1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1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1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1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1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1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1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1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1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1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1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1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1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1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1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1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1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1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1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1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1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1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1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1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1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1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1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1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1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1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1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1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1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1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1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1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1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1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1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1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1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1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1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1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1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1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1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1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1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1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1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1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1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1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1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1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1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1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1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1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1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1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1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1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1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1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1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1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1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1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1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1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1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1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1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1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1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1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1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1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1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1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1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1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1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1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1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1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1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1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1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1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1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1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1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1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1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1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1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1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1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1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1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1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1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1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1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1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1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1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1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1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1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1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1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1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1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1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1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1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1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1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