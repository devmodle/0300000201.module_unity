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<sst xmlns="http://schemas.openxmlformats.org/spreadsheetml/2006/main" count="288" uniqueCount="210">
  <si>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</si>
  <si>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</si>
  <si>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</si>
  <si>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</si>
  <si>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</si>
  <si>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</si>
  <si>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</si>
  <si>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</si>
  <si>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</si>
  <si>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</si>
  <si>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</si>
  <si>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</si>
  <si>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</si>
  <si>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</si>
  <si>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</si>
  <si>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</si>
  <si>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</si>
  <si>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</si>
  <si>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</si>
  <si>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</si>
  <si>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</si>
  <si>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</si>
  <si>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</si>
  <si>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</si>
  <si>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</si>
  <si>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</si>
  <si>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</si>
  <si>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</si>
  <si>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</si>
  <si>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</si>
  <si>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</si>
  <si>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</si>
  <si>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</si>
  <si>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</si>
  <si>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</si>
  <si>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</si>
  <si>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</si>
  <si>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</si>
  <si>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</si>
  <si>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</si>
  <si>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</si>
  <si>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</si>
  <si>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</si>
  <si>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</si>
  <si>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</si>
  <si>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</si>
  <si>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</si>
  <si>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</si>
  <si>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</si>
  <si>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</si>
  <si>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</si>
  <si>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</si>
  <si>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</si>
  <si>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</si>
  <si>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</si>
  <si>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</si>
  <si>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</si>
  <si>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</si>
  <si>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</si>
  <si>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</si>
  <si>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</si>
  <si>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</si>
  <si>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</si>
  <si>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</si>
  <si>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</si>
  <si>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</si>
  <si>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</si>
  <si>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</si>
  <si>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</si>
  <si>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</si>
  <si>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</si>
  <si>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</si>
  <si>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</si>
  <si>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</si>
  <si>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</si>
  <si>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</si>
  <si>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</si>
  <si>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</si>
  <si>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</si>
  <si>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</si>
  <si>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</si>
  <si>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</si>
  <si>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</si>
  <si>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</si>
  <si>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</si>
  <si>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</si>
  <si>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</si>
  <si>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</si>
  <si>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</si>
  <si>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</si>
  <si>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</si>
  <si>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</si>
  <si>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</si>
  <si>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</si>
  <si>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</si>
  <si>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</si>
  <si>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</si>
  <si>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</si>
  <si>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</si>
  <si>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</si>
  <si>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</si>
  <si>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</si>
  <si>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</si>
  <si>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</si>
  <si>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</si>
  <si>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</si>
  <si>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</si>
  <si>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</si>
  <si>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</si>
  <si>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</si>
  <si>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</si>
  <si>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</si>
  <si>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</si>
  <si>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</si>
  <si>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</si>
  <si>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</si>
  <si>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</si>
  <si>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</si>
  <si>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</si>
  <si>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</si>
  <si>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</si>
  <si>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</si>
  <si>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</si>
  <si>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</si>
  <si>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</si>
  <si>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</si>
  <si>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</si>
  <si>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</si>
  <si>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</si>
  <si>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</si>
  <si>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</si>
  <si>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</si>
  <si>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</si>
  <si>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</si>
  <si>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</si>
  <si>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</si>
  <si>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</si>
  <si>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</si>
  <si>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</si>
  <si>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</si>
  <si>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</si>
  <si>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</si>
  <si>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</si>
  <si>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</si>
  <si>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</si>
  <si>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</si>
  <si>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</si>
  <si>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</si>
  <si>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</si>
  <si>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</si>
  <si>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</si>
  <si>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</si>
  <si>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</si>
  <si>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</si>
  <si>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</si>
  <si>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</si>
  <si>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</si>
  <si>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</si>
  <si>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</si>
  <si>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</si>
  <si>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</si>
  <si>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</si>
  <si>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</si>
  <si>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</si>
  <si>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</si>
  <si>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</si>
  <si>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</si>
  <si>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</si>
  <si>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</si>
  <si>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</si>
  <si>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</si>
  <si>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</si>
  <si>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</si>
  <si>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</si>
  <si>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</si>
  <si>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</si>
  <si>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</si>
  <si>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</si>
  <si>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</si>
  <si>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</si>
  <si>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</si>
  <si>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</si>
  <si>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</si>
  <si>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</si>
  <si>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</si>
  <si>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</si>
  <si>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</si>
  <si>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</si>
  <si>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</si>
  <si>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무기 아이템 샘플</t>
  </si>
  <si>
    <t>방어구 아이템 샘플</t>
  </si>
  <si>
    <t>악세서리 아이템 샘플</t>
  </si>
  <si>
    <t>PayTargetInfo_01</t>
  </si>
  <si>
    <t>AcquireTargetInfo_01</t>
  </si>
  <si>
    <t>재화 아이템 구입 샘플</t>
  </si>
  <si>
    <t>비소모 아이템 구입 샘플</t>
  </si>
  <si>
    <t>무기 아이템 구입 샘플</t>
  </si>
  <si>
    <t>방어구 아이템 구입 샘플</t>
  </si>
  <si>
    <t>악세서리 아이템 구입 샘플</t>
  </si>
  <si>
    <t>재화 아이템 판매 샘플</t>
  </si>
  <si>
    <t>비소모 아이템 판매 샘플</t>
  </si>
  <si>
    <t>무기 아이템 판매 샘플</t>
  </si>
  <si>
    <t>방어구 아이템 판매 샘플</t>
  </si>
  <si>
    <t>악세서리 아이템 판매 샘플</t>
  </si>
  <si>
    <t>재화 아이템 강화 샘플</t>
  </si>
  <si>
    <t>소모 아이템 강화 샘플</t>
  </si>
  <si>
    <t>비소모 아이템 강화 샘플</t>
  </si>
  <si>
    <t>무기 아이템 강화 샘플</t>
  </si>
  <si>
    <t>방어구 아이템 강화 샘플</t>
  </si>
  <si>
    <t>악세서리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</si>
</sst>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1" fillId="0" fontId="1" numFmtId="0" xfId="0" applyBorder="1" applyFont="1"/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/>
    </xf>
    <xf borderId="1" fillId="13" fontId="1" numFmtId="1" xfId="0" applyAlignment="1" applyBorder="1" applyFont="1" applyNumberFormat="1">
      <alignment horizontal="right" vertical="bottom"/>
    </xf>
    <xf borderId="0" fillId="3" fontId="1" numFmtId="0" xfId="0" applyFont="1"/>
    <xf borderId="1" fillId="2" fontId="1" numFmtId="1" xfId="0" applyAlignment="1" applyBorder="1" applyFont="1" applyNumberFormat="1">
      <alignment horizontal="left" readingOrder="0" vertical="bottom"/>
    </xf>
    <xf borderId="1" fillId="2" fontId="1" numFmtId="1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2" t="s">
        <v>181</v>
      </c>
      <c r="L1" s="32" t="s">
        <v>182</v>
      </c>
      <c r="M1" s="32" t="s">
        <v>183</v>
      </c>
      <c r="N1" s="32" t="s">
        <v>184</v>
      </c>
      <c r="O1" s="32" t="s">
        <v>185</v>
      </c>
      <c r="P1" s="33" t="s">
        <v>186</v>
      </c>
      <c r="Q1" s="33" t="s">
        <v>187</v>
      </c>
      <c r="R1" s="33" t="s">
        <v>188</v>
      </c>
      <c r="S1" s="33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1.0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6" t="s">
        <v>20</v>
      </c>
      <c r="B3" s="37">
        <v>0.0</v>
      </c>
      <c r="C3" s="37">
        <v>0.0</v>
      </c>
      <c r="D3" s="37">
        <v>1.0</v>
      </c>
      <c r="E3" s="37">
        <v>0.0</v>
      </c>
      <c r="F3" s="37">
        <v>0.0</v>
      </c>
      <c r="G3" s="38">
        <v>0.0</v>
      </c>
      <c r="H3" s="39">
        <v>1.0</v>
      </c>
      <c r="I3" s="39">
        <v>0.0</v>
      </c>
      <c r="J3" s="39">
        <v>0.0</v>
      </c>
      <c r="K3" s="40"/>
      <c r="L3" s="40"/>
      <c r="M3" s="39">
        <f>IF($A3="", -1, ($B3*README!$B$2)+($C3*README!$B$3)+($D3*README!$B$4)+($E3*README!$B$5)+($F3*README!$B$6))</f>
        <v>100000</v>
      </c>
      <c r="N3" s="39">
        <f>IF($A3="", -1, ($B3*README!$B$2)+($C3*README!$B$3)+($D3*README!$B$4)+($E3*README!$B$5)+($F3*README!$B$6)-1)</f>
        <v>99999</v>
      </c>
      <c r="O3" s="39">
        <f>IF($A3="", -1, ($B3*README!$B$2)+($C3*README!$B$3)+($D3*README!$B$4)+($E3*README!$B$5)+($F3*README!$B$6)+1)</f>
        <v>100001</v>
      </c>
      <c r="P3" s="39" t="str">
        <f>JOIN(", ", README!$L$3, README!$B$27, -1, README!$B$10, 0)</f>
        <v>0, -1, -1, 0, 0</v>
      </c>
      <c r="Q3" s="39" t="str">
        <f>JOIN(", ", README!$L$9, README!$B$27, -1, README!$B$10, 0)</f>
        <v>100000000, -1, -1, 0, 0</v>
      </c>
      <c r="R3" s="39" t="str">
        <f>JOIN(", ", README!$L$21, README!$B$27, -1, README!$B$10, 0)</f>
        <v>300000000, -1, -1, 0, 0</v>
      </c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2" t="s">
        <v>29</v>
      </c>
      <c r="B4" s="15">
        <v>1.0</v>
      </c>
      <c r="C4" s="15">
        <v>0.0</v>
      </c>
      <c r="D4" s="15">
        <v>1.0</v>
      </c>
      <c r="E4" s="15">
        <v>0.0</v>
      </c>
      <c r="F4" s="15">
        <v>0.0</v>
      </c>
      <c r="G4" s="34">
        <v>0.0</v>
      </c>
      <c r="H4" s="14">
        <v>1.0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100100000</v>
      </c>
      <c r="N4" s="14">
        <f>IF($A4="", -1, ($B4*README!$B$2)+($C4*README!$B$3)+($D4*README!$B$4)+($E4*README!$B$5)+($F4*README!$B$6)-1)</f>
        <v>100099999</v>
      </c>
      <c r="O4" s="14">
        <f>IF($A4="", -1, ($B4*README!$B$2)+($C4*README!$B$3)+($D4*README!$B$4)+($E4*README!$B$5)+($F4*README!$B$6)+1)</f>
        <v>100100001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 t="s">
        <v>31</v>
      </c>
      <c r="B5" s="15">
        <v>1.0</v>
      </c>
      <c r="C5" s="15">
        <v>0.0</v>
      </c>
      <c r="D5" s="15">
        <v>1.0</v>
      </c>
      <c r="E5" s="15">
        <v>1.0</v>
      </c>
      <c r="F5" s="15">
        <v>0.0</v>
      </c>
      <c r="G5" s="34">
        <v>0.0</v>
      </c>
      <c r="H5" s="14">
        <v>1.0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100100100</v>
      </c>
      <c r="N5" s="14">
        <f>IF($A5="", -1, ($B5*README!$B$2)+($C5*README!$B$3)+($D5*README!$B$4)+($E5*README!$B$5)+($F5*README!$B$6)-1)</f>
        <v>100100099</v>
      </c>
      <c r="O5" s="14">
        <f>IF($A5="", -1, ($B5*README!$B$2)+($C5*README!$B$3)+($D5*README!$B$4)+($E5*README!$B$5)+($F5*README!$B$6)+1)</f>
        <v>100100101</v>
      </c>
      <c r="P5" s="14" t="str">
        <f>JOIN(", ", README!$L$3, README!$B$27, -1, README!$B$10, 0)</f>
        <v>0, -1, -1, 0, 0</v>
      </c>
      <c r="Q5" s="14" t="str">
        <f>JOIN(", ", README!$L$9, README!$B$27, -1, README!$B$10, 0)</f>
        <v>100000000, -1, -1, 0, 0</v>
      </c>
      <c r="R5" s="14" t="str">
        <f>JOIN(", ", README!$L$21, README!$B$27, -1, README!$B$10, 0)</f>
        <v>300000000, -1, -1, 0, 0</v>
      </c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40" t="s">
        <v>34</v>
      </c>
      <c r="B6" s="37">
        <v>1.0</v>
      </c>
      <c r="C6" s="37">
        <v>0.0</v>
      </c>
      <c r="D6" s="37">
        <v>1.0</v>
      </c>
      <c r="E6" s="37">
        <v>2.0</v>
      </c>
      <c r="F6" s="37">
        <v>0.0</v>
      </c>
      <c r="G6" s="38">
        <v>0.0</v>
      </c>
      <c r="H6" s="39">
        <v>1.0</v>
      </c>
      <c r="I6" s="39">
        <v>0.0</v>
      </c>
      <c r="J6" s="39">
        <v>0.0</v>
      </c>
      <c r="K6" s="40"/>
      <c r="L6" s="40"/>
      <c r="M6" s="39">
        <f>IF($A6="", -1, ($B6*README!$B$2)+($C6*README!$B$3)+($D6*README!$B$4)+($E6*README!$B$5)+($F6*README!$B$6))</f>
        <v>100100200</v>
      </c>
      <c r="N6" s="39">
        <f>IF($A6="", -1, ($B6*README!$B$2)+($C6*README!$B$3)+($D6*README!$B$4)+($E6*README!$B$5)+($F6*README!$B$6)-1)</f>
        <v>100100199</v>
      </c>
      <c r="O6" s="39">
        <f>IF($A6="", -1, ($B6*README!$B$2)+($C6*README!$B$3)+($D6*README!$B$4)+($E6*README!$B$5)+($F6*README!$B$6)+1)</f>
        <v>100100201</v>
      </c>
      <c r="P6" s="39" t="str">
        <f>JOIN(", ", README!$L$3, README!$B$27, -1, README!$B$10, 0)</f>
        <v>0, -1, -1, 0, 0</v>
      </c>
      <c r="Q6" s="39" t="str">
        <f>JOIN(", ", README!$L$9, README!$B$27, -1, README!$B$10, 0)</f>
        <v>100000000, -1, -1, 0, 0</v>
      </c>
      <c r="R6" s="39" t="str">
        <f>JOIN(", ", README!$L$21, README!$B$27, -1, README!$B$10, 0)</f>
        <v>300000000, -1, -1, 0, 0</v>
      </c>
      <c r="S6" s="41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>
      <c r="A7" s="40" t="s">
        <v>40</v>
      </c>
      <c r="B7" s="37">
        <v>2.0</v>
      </c>
      <c r="C7" s="37">
        <v>0.0</v>
      </c>
      <c r="D7" s="37">
        <v>0.0</v>
      </c>
      <c r="E7" s="37">
        <v>0.0</v>
      </c>
      <c r="F7" s="37">
        <v>0.0</v>
      </c>
      <c r="G7" s="38">
        <v>0.0</v>
      </c>
      <c r="H7" s="39">
        <v>0.0</v>
      </c>
      <c r="I7" s="39">
        <v>0.0</v>
      </c>
      <c r="J7" s="39">
        <v>0.0</v>
      </c>
      <c r="K7" s="40"/>
      <c r="L7" s="40"/>
      <c r="M7" s="39">
        <f>IF($A7="", -1, ($B7*README!$B$2)+($C7*README!$B$3)+($D7*README!$B$4)+($E7*README!$B$5)+($F7*README!$B$6))</f>
        <v>200000000</v>
      </c>
      <c r="N7" s="39">
        <f>IF($A7="", -1, ($B7*README!$B$2)+($C7*README!$B$3)+($D7*README!$B$4)+($E7*README!$B$5)+($F7*README!$B$6)-1)</f>
        <v>199999999</v>
      </c>
      <c r="O7" s="39">
        <f>IF($A7="", -1, ($B7*README!$B$2)+($C7*README!$B$3)+($D7*README!$B$4)+($E7*README!$B$5)+($F7*README!$B$6)+1)</f>
        <v>200000001</v>
      </c>
      <c r="P7" s="39" t="str">
        <f>JOIN(", ", README!$L$3, README!$B$27, -1, README!$B$10, 0)</f>
        <v>0, -1, -1, 0, 0</v>
      </c>
      <c r="Q7" s="39" t="str">
        <f>JOIN(", ", README!$L$9, README!$B$27, -1, README!$B$10, 0)</f>
        <v>100000000, -1, -1, 0, 0</v>
      </c>
      <c r="R7" s="39" t="str">
        <f>JOIN(", ", README!$L$21, README!$B$27, -1, README!$B$10, 0)</f>
        <v>300000000, -1, -1, 0, 0</v>
      </c>
      <c r="S7" s="41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>
      <c r="A8" s="40" t="s">
        <v>189</v>
      </c>
      <c r="B8" s="37">
        <v>3.0</v>
      </c>
      <c r="C8" s="37">
        <v>0.0</v>
      </c>
      <c r="D8" s="37">
        <v>0.0</v>
      </c>
      <c r="E8" s="37">
        <v>0.0</v>
      </c>
      <c r="F8" s="37">
        <v>0.0</v>
      </c>
      <c r="G8" s="38">
        <v>0.0</v>
      </c>
      <c r="H8" s="39">
        <v>0.0</v>
      </c>
      <c r="I8" s="39">
        <v>0.0</v>
      </c>
      <c r="J8" s="39">
        <v>0.0</v>
      </c>
      <c r="K8" s="40"/>
      <c r="L8" s="40"/>
      <c r="M8" s="39">
        <f>IF($A8="", -1, ($B8*README!$B$2)+($C8*README!$B$3)+($D8*README!$B$4)+($E8*README!$B$5)+($F8*README!$B$6))</f>
        <v>300000000</v>
      </c>
      <c r="N8" s="39">
        <f>IF($A8="", -1, ($B8*README!$B$2)+($C8*README!$B$3)+($D8*README!$B$4)+($E8*README!$B$5)+($F8*README!$B$6)-1)</f>
        <v>299999999</v>
      </c>
      <c r="O8" s="39">
        <f>IF($A8="", -1, ($B8*README!$B$2)+($C8*README!$B$3)+($D8*README!$B$4)+($E8*README!$B$5)+($F8*README!$B$6)+1)</f>
        <v>300000001</v>
      </c>
      <c r="P8" s="39" t="str">
        <f>JOIN(", ", README!$L$3, README!$B$27, -1, README!$B$10, 0)</f>
        <v>0, -1, -1, 0, 0</v>
      </c>
      <c r="Q8" s="39" t="str">
        <f>JOIN(", ", README!$L$9, README!$B$27, -1, README!$B$10, 0)</f>
        <v>100000000, -1, -1, 0, 0</v>
      </c>
      <c r="R8" s="39" t="str">
        <f>JOIN(", ", README!$L$21, README!$B$27, -1, README!$B$10, 0)</f>
        <v>300000000, -1, -1, 0, 0</v>
      </c>
      <c r="S8" s="41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>
      <c r="A9" s="40" t="s">
        <v>190</v>
      </c>
      <c r="B9" s="37">
        <v>4.0</v>
      </c>
      <c r="C9" s="37">
        <v>0.0</v>
      </c>
      <c r="D9" s="37">
        <v>0.0</v>
      </c>
      <c r="E9" s="37">
        <v>0.0</v>
      </c>
      <c r="F9" s="37">
        <v>0.0</v>
      </c>
      <c r="G9" s="38">
        <v>0.0</v>
      </c>
      <c r="H9" s="39">
        <v>0.0</v>
      </c>
      <c r="I9" s="39">
        <v>0.0</v>
      </c>
      <c r="J9" s="39">
        <v>0.0</v>
      </c>
      <c r="K9" s="40"/>
      <c r="L9" s="40"/>
      <c r="M9" s="39">
        <f>IF($A9="", -1, ($B9*README!$B$2)+($C9*README!$B$3)+($D9*README!$B$4)+($E9*README!$B$5)+($F9*README!$B$6))</f>
        <v>400000000</v>
      </c>
      <c r="N9" s="39">
        <f>IF($A9="", -1, ($B9*README!$B$2)+($C9*README!$B$3)+($D9*README!$B$4)+($E9*README!$B$5)+($F9*README!$B$6)-1)</f>
        <v>399999999</v>
      </c>
      <c r="O9" s="39">
        <f>IF($A9="", -1, ($B9*README!$B$2)+($C9*README!$B$3)+($D9*README!$B$4)+($E9*README!$B$5)+($F9*README!$B$6)+1)</f>
        <v>400000001</v>
      </c>
      <c r="P9" s="39" t="str">
        <f>JOIN(", ", README!$L$3, README!$B$27, -1, README!$B$10, 0)</f>
        <v>0, -1, -1, 0, 0</v>
      </c>
      <c r="Q9" s="39" t="str">
        <f>JOIN(", ", README!$L$9, README!$B$27, -1, README!$B$10, 0)</f>
        <v>100000000, -1, -1, 0, 0</v>
      </c>
      <c r="R9" s="39" t="str">
        <f>JOIN(", ", README!$L$21, README!$B$27, -1, README!$B$10, 0)</f>
        <v>300000000, -1, -1, 0, 0</v>
      </c>
      <c r="S9" s="41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>
      <c r="A10" s="32" t="s">
        <v>191</v>
      </c>
      <c r="B10" s="15">
        <v>5.0</v>
      </c>
      <c r="C10" s="15">
        <v>0.0</v>
      </c>
      <c r="D10" s="15">
        <v>0.0</v>
      </c>
      <c r="E10" s="15">
        <v>0.0</v>
      </c>
      <c r="F10" s="15">
        <v>0.0</v>
      </c>
      <c r="G10" s="34">
        <v>0.0</v>
      </c>
      <c r="H10" s="14">
        <v>0.0</v>
      </c>
      <c r="I10" s="14">
        <v>0.0</v>
      </c>
      <c r="J10" s="14">
        <v>0.0</v>
      </c>
      <c r="K10" s="32"/>
      <c r="L10" s="32"/>
      <c r="M10" s="14">
        <f>IF($A10="", -1, ($B10*README!$B$2)+($C10*README!$B$3)+($D10*README!$B$4)+($E10*README!$B$5)+($F10*README!$B$6))</f>
        <v>500000000</v>
      </c>
      <c r="N10" s="14">
        <f>IF($A10="", -1, ($B10*README!$B$2)+($C10*README!$B$3)+($D10*README!$B$4)+($E10*README!$B$5)+($F10*README!$B$6)-1)</f>
        <v>499999999</v>
      </c>
      <c r="O10" s="14">
        <f>IF($A10="", -1, ($B10*README!$B$2)+($C10*README!$B$3)+($D10*README!$B$4)+($E10*README!$B$5)+($F10*README!$B$6)+1)</f>
        <v>500000001</v>
      </c>
      <c r="P10" s="14" t="str">
        <f>JOIN(", ", README!$L$3, README!$B$27, -1, README!$B$10, 0)</f>
        <v>0, -1, -1, 0, 0</v>
      </c>
      <c r="Q10" s="14" t="str">
        <f>JOIN(", ", README!$L$9, README!$B$27, -1, README!$B$10, 0)</f>
        <v>100000000, -1, -1, 0, 0</v>
      </c>
      <c r="R10" s="14" t="str">
        <f>JOIN(", ", README!$L$21, README!$B$27, -1, README!$B$10, 0)</f>
        <v>300000000, -1, -1, 0, 0</v>
      </c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14"/>
      <c r="N11" s="14"/>
      <c r="O11" s="14"/>
      <c r="P11" s="14"/>
      <c r="Q11" s="14"/>
      <c r="R11" s="14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B12" s="42"/>
      <c r="C12" s="42"/>
      <c r="D12" s="42"/>
      <c r="E12" s="42"/>
      <c r="F12" s="42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14"/>
      <c r="N13" s="14"/>
      <c r="O13" s="14"/>
      <c r="P13" s="14"/>
      <c r="Q13" s="14"/>
      <c r="R13" s="14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B14" s="42"/>
      <c r="C14" s="42"/>
      <c r="D14" s="42"/>
      <c r="E14" s="42"/>
      <c r="F14" s="42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14"/>
      <c r="N15" s="14"/>
      <c r="O15" s="14"/>
      <c r="P15" s="14"/>
      <c r="Q15" s="14"/>
      <c r="R15" s="14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B16" s="42"/>
      <c r="C16" s="42"/>
      <c r="D16" s="42"/>
      <c r="E16" s="42"/>
      <c r="F16" s="42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 ht="15.75" customHeight="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 ht="15.75" customHeight="1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 ht="15.75" customHeight="1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3" t="s">
        <v>194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9">
        <v>0.0</v>
      </c>
      <c r="H2" s="39">
        <v>0.0</v>
      </c>
      <c r="I2" s="39">
        <v>0.0</v>
      </c>
      <c r="J2" s="39">
        <v>0.0</v>
      </c>
      <c r="K2" s="44"/>
      <c r="L2" s="4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100100000</v>
      </c>
      <c r="N3" s="14">
        <f>IF($A3="", -1, ($B3*README!$B$2)+($C3*README!$B$3)+($D3*README!$B$4)+($E3*README!$B$5)+($F3*README!$B$6)-1)</f>
        <v>100099999</v>
      </c>
      <c r="O3" s="14">
        <f>IF($A3="", -1, ($B3*README!$B$2)+($C3*README!$B$3)+($D3*README!$B$4)+($E3*README!$B$5)+($F3*README!$B$6)+1)</f>
        <v>100100001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31</v>
      </c>
      <c r="B4" s="15">
        <v>1.0</v>
      </c>
      <c r="C4" s="15">
        <v>0.0</v>
      </c>
      <c r="D4" s="15">
        <v>1.0</v>
      </c>
      <c r="E4" s="15">
        <v>1.0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100100100</v>
      </c>
      <c r="N4" s="14">
        <f>IF($A4="", -1, ($B4*README!$B$2)+($C4*README!$B$3)+($D4*README!$B$4)+($E4*README!$B$5)+($F4*README!$B$6)-1)</f>
        <v>100100099</v>
      </c>
      <c r="O4" s="14">
        <f>IF($A4="", -1, ($B4*README!$B$2)+($C4*README!$B$3)+($D4*README!$B$4)+($E4*README!$B$5)+($F4*README!$B$6)+1)</f>
        <v>100100101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44" t="s">
        <v>34</v>
      </c>
      <c r="B5" s="37">
        <v>1.0</v>
      </c>
      <c r="C5" s="37">
        <v>0.0</v>
      </c>
      <c r="D5" s="37">
        <v>1.0</v>
      </c>
      <c r="E5" s="37">
        <v>2.0</v>
      </c>
      <c r="F5" s="37">
        <v>0.0</v>
      </c>
      <c r="G5" s="39">
        <v>0.0</v>
      </c>
      <c r="H5" s="39">
        <v>0.0</v>
      </c>
      <c r="I5" s="39">
        <v>0.0</v>
      </c>
      <c r="J5" s="39">
        <v>0.0</v>
      </c>
      <c r="K5" s="44"/>
      <c r="L5" s="44"/>
      <c r="M5" s="39">
        <f>IF($A5="", -1, ($B5*README!$B$2)+($C5*README!$B$3)+($D5*README!$B$4)+($E5*README!$B$5)+($F5*README!$B$6))</f>
        <v>100100200</v>
      </c>
      <c r="N5" s="39">
        <f>IF($A5="", -1, ($B5*README!$B$2)+($C5*README!$B$3)+($D5*README!$B$4)+($E5*README!$B$5)+($F5*README!$B$6)-1)</f>
        <v>100100199</v>
      </c>
      <c r="O5" s="39">
        <f>IF($A5="", -1, ($B5*README!$B$2)+($C5*README!$B$3)+($D5*README!$B$4)+($E5*README!$B$5)+($F5*README!$B$6)+1)</f>
        <v>100100201</v>
      </c>
      <c r="P5" s="39" t="str">
        <f>JOIN(", ", README!$L$2, README!$B$27, -1, README!$B$9, 0)</f>
        <v>-1, -1, -1, -1, 0</v>
      </c>
      <c r="Q5" s="39" t="str">
        <f>JOIN(", ", README!$L$2, README!$B$27, -1, README!$B$9, 0)</f>
        <v>-1, -1, -1, -1, 0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44" t="s">
        <v>195</v>
      </c>
      <c r="B6" s="37">
        <v>2.0</v>
      </c>
      <c r="C6" s="37">
        <v>0.0</v>
      </c>
      <c r="D6" s="37">
        <v>0.0</v>
      </c>
      <c r="E6" s="37">
        <v>0.0</v>
      </c>
      <c r="F6" s="37">
        <v>0.0</v>
      </c>
      <c r="G6" s="39">
        <v>0.0</v>
      </c>
      <c r="H6" s="39">
        <v>0.0</v>
      </c>
      <c r="I6" s="39">
        <v>0.0</v>
      </c>
      <c r="J6" s="39">
        <v>0.0</v>
      </c>
      <c r="K6" s="44"/>
      <c r="L6" s="44"/>
      <c r="M6" s="39">
        <f>IF($A6="", -1, ($B6*README!$B$2)+($C6*README!$B$3)+($D6*README!$B$4)+($E6*README!$B$5)+($F6*README!$B$6))</f>
        <v>200000000</v>
      </c>
      <c r="N6" s="39">
        <f>IF($A6="", -1, ($B6*README!$B$2)+($C6*README!$B$3)+($D6*README!$B$4)+($E6*README!$B$5)+($F6*README!$B$6)-1)</f>
        <v>199999999</v>
      </c>
      <c r="O6" s="39">
        <f>IF($A6="", -1, ($B6*README!$B$2)+($C6*README!$B$3)+($D6*README!$B$4)+($E6*README!$B$5)+($F6*README!$B$6)+1)</f>
        <v>200000001</v>
      </c>
      <c r="P6" s="39" t="str">
        <f>JOIN(", ", README!$L$2, README!$B$27, -1, README!$B$9, 0)</f>
        <v>-1, -1, -1, -1, 0</v>
      </c>
      <c r="Q6" s="39" t="str">
        <f>JOIN(", ", README!$L$2, README!$B$27, -1, README!$B$9, 0)</f>
        <v>-1, -1, -1, -1, 0</v>
      </c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>
      <c r="A7" s="44" t="s">
        <v>196</v>
      </c>
      <c r="B7" s="37">
        <v>3.0</v>
      </c>
      <c r="C7" s="37">
        <v>0.0</v>
      </c>
      <c r="D7" s="37">
        <v>0.0</v>
      </c>
      <c r="E7" s="37">
        <v>0.0</v>
      </c>
      <c r="F7" s="37">
        <v>0.0</v>
      </c>
      <c r="G7" s="39">
        <v>0.0</v>
      </c>
      <c r="H7" s="39">
        <v>0.0</v>
      </c>
      <c r="I7" s="39">
        <v>0.0</v>
      </c>
      <c r="J7" s="39">
        <v>0.0</v>
      </c>
      <c r="K7" s="44"/>
      <c r="L7" s="44"/>
      <c r="M7" s="39">
        <f>IF($A7="", -1, ($B7*README!$B$2)+($C7*README!$B$3)+($D7*README!$B$4)+($E7*README!$B$5)+($F7*README!$B$6))</f>
        <v>300000000</v>
      </c>
      <c r="N7" s="39">
        <f>IF($A7="", -1, ($B7*README!$B$2)+($C7*README!$B$3)+($D7*README!$B$4)+($E7*README!$B$5)+($F7*README!$B$6)-1)</f>
        <v>299999999</v>
      </c>
      <c r="O7" s="39">
        <f>IF($A7="", -1, ($B7*README!$B$2)+($C7*README!$B$3)+($D7*README!$B$4)+($E7*README!$B$5)+($F7*README!$B$6)+1)</f>
        <v>300000001</v>
      </c>
      <c r="P7" s="39" t="str">
        <f>JOIN(", ", README!$L$2, README!$B$27, -1, README!$B$9, 0)</f>
        <v>-1, -1, -1, -1, 0</v>
      </c>
      <c r="Q7" s="39" t="str">
        <f>JOIN(", ", README!$L$2, README!$B$27, -1, README!$B$9, 0)</f>
        <v>-1, -1, -1, -1, 0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</row>
    <row r="8">
      <c r="A8" s="44" t="s">
        <v>197</v>
      </c>
      <c r="B8" s="37">
        <v>4.0</v>
      </c>
      <c r="C8" s="37">
        <v>0.0</v>
      </c>
      <c r="D8" s="37">
        <v>0.0</v>
      </c>
      <c r="E8" s="37">
        <v>0.0</v>
      </c>
      <c r="F8" s="37">
        <v>0.0</v>
      </c>
      <c r="G8" s="39">
        <v>0.0</v>
      </c>
      <c r="H8" s="39">
        <v>0.0</v>
      </c>
      <c r="I8" s="39">
        <v>0.0</v>
      </c>
      <c r="J8" s="39">
        <v>0.0</v>
      </c>
      <c r="K8" s="44"/>
      <c r="L8" s="44"/>
      <c r="M8" s="39">
        <f>IF($A8="", -1, ($B8*README!$B$2)+($C8*README!$B$3)+($D8*README!$B$4)+($E8*README!$B$5)+($F8*README!$B$6))</f>
        <v>400000000</v>
      </c>
      <c r="N8" s="39">
        <f>IF($A8="", -1, ($B8*README!$B$2)+($C8*README!$B$3)+($D8*README!$B$4)+($E8*README!$B$5)+($F8*README!$B$6)-1)</f>
        <v>399999999</v>
      </c>
      <c r="O8" s="39">
        <f>IF($A8="", -1, ($B8*README!$B$2)+($C8*README!$B$3)+($D8*README!$B$4)+($E8*README!$B$5)+($F8*README!$B$6)+1)</f>
        <v>400000001</v>
      </c>
      <c r="P8" s="39" t="str">
        <f>JOIN(", ", README!$L$2, README!$B$27, -1, README!$B$9, 0)</f>
        <v>-1, -1, -1, -1, 0</v>
      </c>
      <c r="Q8" s="39" t="str">
        <f>JOIN(", ", README!$L$2, README!$B$27, -1, README!$B$9, 0)</f>
        <v>-1, -1, -1, -1, 0</v>
      </c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</row>
    <row r="9">
      <c r="A9" s="26" t="s">
        <v>198</v>
      </c>
      <c r="B9" s="15">
        <v>5.0</v>
      </c>
      <c r="C9" s="15">
        <v>0.0</v>
      </c>
      <c r="D9" s="15">
        <v>0.0</v>
      </c>
      <c r="E9" s="15">
        <v>0.0</v>
      </c>
      <c r="F9" s="15">
        <v>0.0</v>
      </c>
      <c r="G9" s="14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500000000</v>
      </c>
      <c r="N9" s="14">
        <f>IF($A9="", -1, ($B9*README!$B$2)+($C9*README!$B$3)+($D9*README!$B$4)+($E9*README!$B$5)+($F9*README!$B$6)-1)</f>
        <v>499999999</v>
      </c>
      <c r="O9" s="14">
        <f>IF($A9="", -1, ($B9*README!$B$2)+($C9*README!$B$3)+($D9*README!$B$4)+($E9*README!$B$5)+($F9*README!$B$6)+1)</f>
        <v>500000001</v>
      </c>
      <c r="P9" s="14" t="str">
        <f>JOIN(", ", README!$L$2, README!$B$27, -1, README!$B$9, 0)</f>
        <v>-1, -1, -1, -1, 0</v>
      </c>
      <c r="Q9" s="14" t="str">
        <f>JOIN(", ", README!$L$2, README!$B$27, -1, README!$B$9, 0)</f>
        <v>-1, -1, -1, -1, 0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2"/>
      <c r="C10" s="42"/>
      <c r="D10" s="42"/>
      <c r="E10" s="42"/>
      <c r="F10" s="42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2"/>
      <c r="C12" s="42"/>
      <c r="D12" s="42"/>
      <c r="E12" s="42"/>
      <c r="F12" s="42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42"/>
      <c r="C14" s="42"/>
      <c r="D14" s="42"/>
      <c r="E14" s="42"/>
      <c r="F14" s="42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B16" s="42"/>
      <c r="C16" s="42"/>
      <c r="D16" s="42"/>
      <c r="E16" s="42"/>
      <c r="F16" s="42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3" t="s">
        <v>199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9">
        <v>0.0</v>
      </c>
      <c r="H2" s="39">
        <v>0.0</v>
      </c>
      <c r="I2" s="39">
        <v>0.0</v>
      </c>
      <c r="J2" s="39">
        <v>0.0</v>
      </c>
      <c r="K2" s="44"/>
      <c r="L2" s="4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100100000</v>
      </c>
      <c r="N3" s="14">
        <f>IF($A3="", -1, ($B3*README!$B$2)+($C3*README!$B$3)+($D3*README!$B$4)+($E3*README!$B$5)+($F3*README!$B$6)-1)</f>
        <v>100099999</v>
      </c>
      <c r="O3" s="14">
        <f>IF($A3="", -1, ($B3*README!$B$2)+($C3*README!$B$3)+($D3*README!$B$4)+($E3*README!$B$5)+($F3*README!$B$6)+1)</f>
        <v>100100001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31</v>
      </c>
      <c r="B4" s="15">
        <v>1.0</v>
      </c>
      <c r="C4" s="15">
        <v>0.0</v>
      </c>
      <c r="D4" s="15">
        <v>1.0</v>
      </c>
      <c r="E4" s="15">
        <v>1.0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100100100</v>
      </c>
      <c r="N4" s="14">
        <f>IF($A4="", -1, ($B4*README!$B$2)+($C4*README!$B$3)+($D4*README!$B$4)+($E4*README!$B$5)+($F4*README!$B$6)-1)</f>
        <v>100100099</v>
      </c>
      <c r="O4" s="14">
        <f>IF($A4="", -1, ($B4*README!$B$2)+($C4*README!$B$3)+($D4*README!$B$4)+($E4*README!$B$5)+($F4*README!$B$6)+1)</f>
        <v>100100101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44" t="s">
        <v>34</v>
      </c>
      <c r="B5" s="37">
        <v>1.0</v>
      </c>
      <c r="C5" s="37">
        <v>0.0</v>
      </c>
      <c r="D5" s="37">
        <v>1.0</v>
      </c>
      <c r="E5" s="37">
        <v>2.0</v>
      </c>
      <c r="F5" s="37">
        <v>0.0</v>
      </c>
      <c r="G5" s="39">
        <v>0.0</v>
      </c>
      <c r="H5" s="39">
        <v>0.0</v>
      </c>
      <c r="I5" s="39">
        <v>0.0</v>
      </c>
      <c r="J5" s="39">
        <v>0.0</v>
      </c>
      <c r="K5" s="44"/>
      <c r="L5" s="44"/>
      <c r="M5" s="39">
        <f>IF($A5="", -1, ($B5*README!$B$2)+($C5*README!$B$3)+($D5*README!$B$4)+($E5*README!$B$5)+($F5*README!$B$6))</f>
        <v>100100200</v>
      </c>
      <c r="N5" s="39">
        <f>IF($A5="", -1, ($B5*README!$B$2)+($C5*README!$B$3)+($D5*README!$B$4)+($E5*README!$B$5)+($F5*README!$B$6)-1)</f>
        <v>100100199</v>
      </c>
      <c r="O5" s="39">
        <f>IF($A5="", -1, ($B5*README!$B$2)+($C5*README!$B$3)+($D5*README!$B$4)+($E5*README!$B$5)+($F5*README!$B$6)+1)</f>
        <v>100100201</v>
      </c>
      <c r="P5" s="39" t="str">
        <f>JOIN(", ", README!$L$2, README!$B$27, -1, README!$B$9, 0)</f>
        <v>-1, -1, -1, -1, 0</v>
      </c>
      <c r="Q5" s="39" t="str">
        <f>JOIN(", ", README!$L$2, README!$B$27, -1, README!$B$9, 0)</f>
        <v>-1, -1, -1, -1, 0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44" t="s">
        <v>200</v>
      </c>
      <c r="B6" s="37">
        <v>2.0</v>
      </c>
      <c r="C6" s="37">
        <v>0.0</v>
      </c>
      <c r="D6" s="37">
        <v>0.0</v>
      </c>
      <c r="E6" s="37">
        <v>0.0</v>
      </c>
      <c r="F6" s="37">
        <v>0.0</v>
      </c>
      <c r="G6" s="39">
        <v>0.0</v>
      </c>
      <c r="H6" s="39">
        <v>0.0</v>
      </c>
      <c r="I6" s="39">
        <v>0.0</v>
      </c>
      <c r="J6" s="39">
        <v>0.0</v>
      </c>
      <c r="K6" s="44"/>
      <c r="L6" s="44"/>
      <c r="M6" s="39">
        <f>IF($A6="", -1, ($B6*README!$B$2)+($C6*README!$B$3)+($D6*README!$B$4)+($E6*README!$B$5)+($F6*README!$B$6))</f>
        <v>200000000</v>
      </c>
      <c r="N6" s="39">
        <f>IF($A6="", -1, ($B6*README!$B$2)+($C6*README!$B$3)+($D6*README!$B$4)+($E6*README!$B$5)+($F6*README!$B$6)-1)</f>
        <v>199999999</v>
      </c>
      <c r="O6" s="39">
        <f>IF($A6="", -1, ($B6*README!$B$2)+($C6*README!$B$3)+($D6*README!$B$4)+($E6*README!$B$5)+($F6*README!$B$6)+1)</f>
        <v>200000001</v>
      </c>
      <c r="P6" s="39" t="str">
        <f>JOIN(", ", README!$L$2, README!$B$27, -1, README!$B$9, 0)</f>
        <v>-1, -1, -1, -1, 0</v>
      </c>
      <c r="Q6" s="39" t="str">
        <f>JOIN(", ", README!$L$2, README!$B$27, -1, README!$B$9, 0)</f>
        <v>-1, -1, -1, -1, 0</v>
      </c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>
      <c r="A7" s="44" t="s">
        <v>201</v>
      </c>
      <c r="B7" s="37">
        <v>3.0</v>
      </c>
      <c r="C7" s="37">
        <v>0.0</v>
      </c>
      <c r="D7" s="37">
        <v>0.0</v>
      </c>
      <c r="E7" s="37">
        <v>0.0</v>
      </c>
      <c r="F7" s="37">
        <v>0.0</v>
      </c>
      <c r="G7" s="39">
        <v>0.0</v>
      </c>
      <c r="H7" s="39">
        <v>0.0</v>
      </c>
      <c r="I7" s="39">
        <v>0.0</v>
      </c>
      <c r="J7" s="39">
        <v>0.0</v>
      </c>
      <c r="K7" s="44"/>
      <c r="L7" s="44"/>
      <c r="M7" s="39">
        <f>IF($A7="", -1, ($B7*README!$B$2)+($C7*README!$B$3)+($D7*README!$B$4)+($E7*README!$B$5)+($F7*README!$B$6))</f>
        <v>300000000</v>
      </c>
      <c r="N7" s="39">
        <f>IF($A7="", -1, ($B7*README!$B$2)+($C7*README!$B$3)+($D7*README!$B$4)+($E7*README!$B$5)+($F7*README!$B$6)-1)</f>
        <v>299999999</v>
      </c>
      <c r="O7" s="39">
        <f>IF($A7="", -1, ($B7*README!$B$2)+($C7*README!$B$3)+($D7*README!$B$4)+($E7*README!$B$5)+($F7*README!$B$6)+1)</f>
        <v>300000001</v>
      </c>
      <c r="P7" s="39" t="str">
        <f>JOIN(", ", README!$L$2, README!$B$27, -1, README!$B$9, 0)</f>
        <v>-1, -1, -1, -1, 0</v>
      </c>
      <c r="Q7" s="39" t="str">
        <f>JOIN(", ", README!$L$2, README!$B$27, -1, README!$B$9, 0)</f>
        <v>-1, -1, -1, -1, 0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</row>
    <row r="8">
      <c r="A8" s="44" t="s">
        <v>202</v>
      </c>
      <c r="B8" s="37">
        <v>4.0</v>
      </c>
      <c r="C8" s="37">
        <v>0.0</v>
      </c>
      <c r="D8" s="37">
        <v>0.0</v>
      </c>
      <c r="E8" s="37">
        <v>0.0</v>
      </c>
      <c r="F8" s="37">
        <v>0.0</v>
      </c>
      <c r="G8" s="39">
        <v>0.0</v>
      </c>
      <c r="H8" s="39">
        <v>0.0</v>
      </c>
      <c r="I8" s="39">
        <v>0.0</v>
      </c>
      <c r="J8" s="39">
        <v>0.0</v>
      </c>
      <c r="K8" s="44"/>
      <c r="L8" s="44"/>
      <c r="M8" s="39">
        <f>IF($A8="", -1, ($B8*README!$B$2)+($C8*README!$B$3)+($D8*README!$B$4)+($E8*README!$B$5)+($F8*README!$B$6))</f>
        <v>400000000</v>
      </c>
      <c r="N8" s="39">
        <f>IF($A8="", -1, ($B8*README!$B$2)+($C8*README!$B$3)+($D8*README!$B$4)+($E8*README!$B$5)+($F8*README!$B$6)-1)</f>
        <v>399999999</v>
      </c>
      <c r="O8" s="39">
        <f>IF($A8="", -1, ($B8*README!$B$2)+($C8*README!$B$3)+($D8*README!$B$4)+($E8*README!$B$5)+($F8*README!$B$6)+1)</f>
        <v>400000001</v>
      </c>
      <c r="P8" s="39" t="str">
        <f>JOIN(", ", README!$L$2, README!$B$27, -1, README!$B$9, 0)</f>
        <v>-1, -1, -1, -1, 0</v>
      </c>
      <c r="Q8" s="39" t="str">
        <f>JOIN(", ", README!$L$2, README!$B$27, -1, README!$B$9, 0)</f>
        <v>-1, -1, -1, -1, 0</v>
      </c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</row>
    <row r="9">
      <c r="A9" s="26" t="s">
        <v>203</v>
      </c>
      <c r="B9" s="15">
        <v>5.0</v>
      </c>
      <c r="C9" s="15">
        <v>0.0</v>
      </c>
      <c r="D9" s="15">
        <v>0.0</v>
      </c>
      <c r="E9" s="15">
        <v>0.0</v>
      </c>
      <c r="F9" s="15">
        <v>0.0</v>
      </c>
      <c r="G9" s="14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500000000</v>
      </c>
      <c r="N9" s="14">
        <f>IF($A9="", -1, ($B9*README!$B$2)+($C9*README!$B$3)+($D9*README!$B$4)+($E9*README!$B$5)+($F9*README!$B$6)-1)</f>
        <v>499999999</v>
      </c>
      <c r="O9" s="14">
        <f>IF($A9="", -1, ($B9*README!$B$2)+($C9*README!$B$3)+($D9*README!$B$4)+($E9*README!$B$5)+($F9*README!$B$6)+1)</f>
        <v>500000001</v>
      </c>
      <c r="P9" s="14" t="str">
        <f>JOIN(", ", README!$L$2, README!$B$27, -1, README!$B$9, 0)</f>
        <v>-1, -1, -1, -1, 0</v>
      </c>
      <c r="Q9" s="14" t="str">
        <f>JOIN(", ", README!$L$2, README!$B$27, -1, README!$B$9, 0)</f>
        <v>-1, -1, -1, -1, 0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2"/>
      <c r="C12" s="42"/>
      <c r="D12" s="42"/>
      <c r="E12" s="42"/>
      <c r="F12" s="42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42"/>
      <c r="C14" s="42"/>
      <c r="D14" s="42"/>
      <c r="E14" s="42"/>
      <c r="F14" s="42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B16" s="42"/>
      <c r="C16" s="42"/>
      <c r="D16" s="42"/>
      <c r="E16" s="42"/>
      <c r="F16" s="42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4" t="s">
        <v>204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9">
        <v>0.0</v>
      </c>
      <c r="H2" s="39">
        <v>0.0</v>
      </c>
      <c r="I2" s="39">
        <v>0.0</v>
      </c>
      <c r="J2" s="39">
        <v>0.0</v>
      </c>
      <c r="K2" s="44"/>
      <c r="L2" s="4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44" t="s">
        <v>205</v>
      </c>
      <c r="B3" s="37">
        <v>1.0</v>
      </c>
      <c r="C3" s="37">
        <v>0.0</v>
      </c>
      <c r="D3" s="37">
        <v>0.0</v>
      </c>
      <c r="E3" s="37">
        <v>0.0</v>
      </c>
      <c r="F3" s="37">
        <v>0.0</v>
      </c>
      <c r="G3" s="39">
        <v>0.0</v>
      </c>
      <c r="H3" s="39">
        <v>0.0</v>
      </c>
      <c r="I3" s="39">
        <v>0.0</v>
      </c>
      <c r="J3" s="39">
        <v>0.0</v>
      </c>
      <c r="K3" s="44"/>
      <c r="L3" s="44"/>
      <c r="M3" s="39">
        <f>IF($A3="", -1, ($B3*README!$B$2)+($C3*README!$B$3)+($D3*README!$B$4)+($E3*README!$B$5)+($F3*README!$B$6))</f>
        <v>100000000</v>
      </c>
      <c r="N3" s="39">
        <f>IF($A3="", -1, ($B3*README!$B$2)+($C3*README!$B$3)+($D3*README!$B$4)+($E3*README!$B$5)+($F3*README!$B$6)-1)</f>
        <v>99999999</v>
      </c>
      <c r="O3" s="39">
        <f>IF($A3="", -1, ($B3*README!$B$2)+($C3*README!$B$3)+($D3*README!$B$4)+($E3*README!$B$5)+($F3*README!$B$6)+1)</f>
        <v>100000001</v>
      </c>
      <c r="P3" s="39" t="str">
        <f>JOIN(", ", README!$L$2, README!$B$27, -1, README!$B$9, 0)</f>
        <v>-1, -1, -1, -1, 0</v>
      </c>
      <c r="Q3" s="39" t="str">
        <f>JOIN(", ", README!$L$2, README!$B$27, -1, README!$B$9, 0)</f>
        <v>-1, -1, -1, -1, 0</v>
      </c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</row>
    <row r="4">
      <c r="A4" s="44" t="s">
        <v>206</v>
      </c>
      <c r="B4" s="37">
        <v>2.0</v>
      </c>
      <c r="C4" s="37">
        <v>0.0</v>
      </c>
      <c r="D4" s="37">
        <v>0.0</v>
      </c>
      <c r="E4" s="37">
        <v>0.0</v>
      </c>
      <c r="F4" s="37">
        <v>0.0</v>
      </c>
      <c r="G4" s="39">
        <v>0.0</v>
      </c>
      <c r="H4" s="39">
        <v>0.0</v>
      </c>
      <c r="I4" s="39">
        <v>0.0</v>
      </c>
      <c r="J4" s="39">
        <v>0.0</v>
      </c>
      <c r="K4" s="44"/>
      <c r="L4" s="44"/>
      <c r="M4" s="39">
        <f>IF($A4="", -1, ($B4*README!$B$2)+($C4*README!$B$3)+($D4*README!$B$4)+($E4*README!$B$5)+($F4*README!$B$6))</f>
        <v>200000000</v>
      </c>
      <c r="N4" s="39">
        <f>IF($A4="", -1, ($B4*README!$B$2)+($C4*README!$B$3)+($D4*README!$B$4)+($E4*README!$B$5)+($F4*README!$B$6)-1)</f>
        <v>199999999</v>
      </c>
      <c r="O4" s="39">
        <f>IF($A4="", -1, ($B4*README!$B$2)+($C4*README!$B$3)+($D4*README!$B$4)+($E4*README!$B$5)+($F4*README!$B$6)+1)</f>
        <v>200000001</v>
      </c>
      <c r="P4" s="39" t="str">
        <f>JOIN(", ", README!$L$2, README!$B$27, -1, README!$B$9, 0)</f>
        <v>-1, -1, -1, -1, 0</v>
      </c>
      <c r="Q4" s="39" t="str">
        <f>JOIN(", ", README!$L$2, README!$B$27, -1, README!$B$9, 0)</f>
        <v>-1, -1, -1, -1, 0</v>
      </c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</row>
    <row r="5">
      <c r="A5" s="44" t="s">
        <v>207</v>
      </c>
      <c r="B5" s="37">
        <v>3.0</v>
      </c>
      <c r="C5" s="37">
        <v>0.0</v>
      </c>
      <c r="D5" s="37">
        <v>0.0</v>
      </c>
      <c r="E5" s="37">
        <v>0.0</v>
      </c>
      <c r="F5" s="37">
        <v>0.0</v>
      </c>
      <c r="G5" s="39">
        <v>0.0</v>
      </c>
      <c r="H5" s="39">
        <v>0.0</v>
      </c>
      <c r="I5" s="39">
        <v>0.0</v>
      </c>
      <c r="J5" s="39">
        <v>0.0</v>
      </c>
      <c r="K5" s="44"/>
      <c r="L5" s="44"/>
      <c r="M5" s="39">
        <f>IF($A5="", -1, ($B5*README!$B$2)+($C5*README!$B$3)+($D5*README!$B$4)+($E5*README!$B$5)+($F5*README!$B$6))</f>
        <v>300000000</v>
      </c>
      <c r="N5" s="39">
        <f>IF($A5="", -1, ($B5*README!$B$2)+($C5*README!$B$3)+($D5*README!$B$4)+($E5*README!$B$5)+($F5*README!$B$6)-1)</f>
        <v>299999999</v>
      </c>
      <c r="O5" s="39">
        <f>IF($A5="", -1, ($B5*README!$B$2)+($C5*README!$B$3)+($D5*README!$B$4)+($E5*README!$B$5)+($F5*README!$B$6)+1)</f>
        <v>300000001</v>
      </c>
      <c r="P5" s="39" t="str">
        <f>JOIN(", ", README!$L$2, README!$B$27, -1, README!$B$9, 0)</f>
        <v>-1, -1, -1, -1, 0</v>
      </c>
      <c r="Q5" s="39" t="str">
        <f>JOIN(", ", README!$L$2, README!$B$27, -1, README!$B$9, 0)</f>
        <v>-1, -1, -1, -1, 0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44" t="s">
        <v>208</v>
      </c>
      <c r="B6" s="37">
        <v>4.0</v>
      </c>
      <c r="C6" s="37">
        <v>0.0</v>
      </c>
      <c r="D6" s="37">
        <v>0.0</v>
      </c>
      <c r="E6" s="37">
        <v>0.0</v>
      </c>
      <c r="F6" s="37">
        <v>0.0</v>
      </c>
      <c r="G6" s="39">
        <v>0.0</v>
      </c>
      <c r="H6" s="39">
        <v>0.0</v>
      </c>
      <c r="I6" s="39">
        <v>0.0</v>
      </c>
      <c r="J6" s="39">
        <v>0.0</v>
      </c>
      <c r="K6" s="44"/>
      <c r="L6" s="44"/>
      <c r="M6" s="39">
        <f>IF($A6="", -1, ($B6*README!$B$2)+($C6*README!$B$3)+($D6*README!$B$4)+($E6*README!$B$5)+($F6*README!$B$6))</f>
        <v>400000000</v>
      </c>
      <c r="N6" s="39">
        <f>IF($A6="", -1, ($B6*README!$B$2)+($C6*README!$B$3)+($D6*README!$B$4)+($E6*README!$B$5)+($F6*README!$B$6)-1)</f>
        <v>399999999</v>
      </c>
      <c r="O6" s="39">
        <f>IF($A6="", -1, ($B6*README!$B$2)+($C6*README!$B$3)+($D6*README!$B$4)+($E6*README!$B$5)+($F6*README!$B$6)+1)</f>
        <v>400000001</v>
      </c>
      <c r="P6" s="39" t="str">
        <f>JOIN(", ", README!$L$2, README!$B$27, -1, README!$B$9, 0)</f>
        <v>-1, -1, -1, -1, 0</v>
      </c>
      <c r="Q6" s="39" t="str">
        <f>JOIN(", ", README!$L$2, README!$B$27, -1, README!$B$9, 0)</f>
        <v>-1, -1, -1, -1, 0</v>
      </c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>
      <c r="A7" s="26" t="s">
        <v>209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2"/>
      <c r="C10" s="42"/>
      <c r="D10" s="42"/>
      <c r="E10" s="42"/>
      <c r="F10" s="42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2"/>
      <c r="C12" s="42"/>
      <c r="D12" s="42"/>
      <c r="E12" s="42"/>
      <c r="F12" s="42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42"/>
      <c r="C14" s="42"/>
      <c r="D14" s="42"/>
      <c r="E14" s="42"/>
      <c r="F14" s="42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