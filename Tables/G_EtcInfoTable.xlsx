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<sst xmlns="http://schemas.openxmlformats.org/spreadsheetml/2006/main" count="674" uniqueCount="516">
  <si>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</si>
  <si>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</si>
  <si>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</si>
  <si>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</si>
  <si>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</si>
  <si>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</si>
  <si>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</si>
  <si>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</si>
  <si>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</si>
  <si>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</si>
  <si>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</si>
  <si>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</si>
  <si>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</si>
  <si>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</si>
  <si>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</si>
  <si>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</si>
  <si>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</si>
  <si>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</si>
  <si>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</si>
  <si>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</si>
  <si>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</si>
  <si>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</si>
  <si>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</si>
  <si>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</si>
  <si>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</si>
  <si>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</si>
  <si>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</si>
  <si>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</si>
  <si>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</si>
  <si>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</si>
  <si>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</si>
  <si>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</si>
  <si>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</si>
  <si>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</si>
  <si>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</si>
  <si>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</si>
  <si>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</si>
  <si>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</si>
  <si>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</si>
  <si>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</si>
  <si>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</si>
  <si>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</si>
  <si>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</si>
  <si>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</si>
  <si>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</si>
  <si>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</si>
  <si>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</si>
  <si>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</si>
  <si>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</si>
  <si>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</si>
  <si>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</si>
  <si>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</si>
  <si>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</si>
  <si>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</si>
  <si>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</si>
  <si>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</si>
  <si>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</si>
  <si>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</si>
  <si>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</si>
  <si>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</si>
  <si>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</si>
  <si>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</si>
  <si>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</si>
  <si>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</si>
  <si>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</si>
  <si>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</si>
  <si>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</si>
  <si>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</si>
  <si>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</si>
  <si>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</si>
  <si>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</si>
  <si>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</si>
  <si>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</si>
  <si>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</si>
  <si>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</si>
  <si>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</si>
  <si>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</si>
  <si>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</si>
  <si>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</si>
  <si>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</si>
  <si>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</si>
  <si>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</si>
  <si>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</si>
  <si>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</si>
  <si>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</si>
  <si>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</si>
  <si>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</si>
  <si>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</si>
  <si>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</si>
  <si>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</si>
  <si>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</si>
  <si>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</si>
  <si>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</si>
  <si>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</si>
  <si>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인식 범위 - 1</t>
  </si>
  <si>
    <t>튜토리얼 레벨</t>
  </si>
  <si>
    <t>인식 범위 - 2</t>
  </si>
  <si>
    <t>튜토리얼 보스 레벨</t>
  </si>
  <si>
    <t>공격 범위 - 1</t>
  </si>
  <si>
    <t>공격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</si>
  <si>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</si>
  <si>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</si>
  <si>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</si>
  <si>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</si>
  <si>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</si>
  <si>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</si>
  <si>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</si>
  <si>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</si>
  <si>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</si>
  <si>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</si>
  <si>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</si>
  <si>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</si>
  <si>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확률 - 1</t>
  </si>
  <si>
    <t>Norm</t>
  </si>
  <si>
    <t>확률 - 2</t>
  </si>
  <si>
    <t>Hard</t>
  </si>
  <si>
    <t>명중 확률 - 1</t>
  </si>
  <si>
    <t>Very Hard</t>
  </si>
  <si>
    <t>명중 확률 - 2</t>
  </si>
  <si>
    <t>Super Hard</t>
  </si>
  <si>
    <t>회피 확룰 - 1</t>
  </si>
  <si>
    <t>Ultra Hard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</si>
  <si>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</si>
  <si>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</si>
  <si>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</si>
  <si>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</si>
  <si>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</si>
  <si>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</si>
  <si>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</si>
  <si>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</si>
  <si>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</si>
  <si>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</si>
  <si>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</si>
  <si>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</si>
  <si>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</si>
  <si>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</si>
  <si>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</si>
  <si>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</si>
  <si>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</si>
  <si>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</si>
  <si>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</si>
  <si>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</si>
  <si>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</si>
  <si>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</si>
  <si>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</si>
  <si>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</si>
  <si>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</si>
  <si>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</si>
  <si>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</si>
  <si>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</si>
  <si>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</si>
  <si>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</si>
  <si>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</si>
  <si>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</si>
  <si>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</si>
  <si>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</si>
  <si>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</si>
  <si>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</si>
  <si>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</si>
  <si>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</si>
  <si>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</si>
  <si>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</si>
  <si>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</si>
  <si>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</si>
  <si>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</si>
  <si>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</si>
  <si>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</si>
  <si>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</si>
  <si>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</si>
  <si>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</si>
  <si>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</si>
  <si>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</si>
  <si>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</si>
  <si>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</si>
  <si>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</si>
  <si>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</si>
  <si>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</si>
  <si>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</si>
  <si>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</si>
  <si>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</si>
  <si>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</si>
  <si>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</si>
  <si>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</si>
  <si>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</si>
  <si>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</si>
  <si>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</si>
  <si>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</si>
  <si>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</si>
  <si>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</si>
  <si>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</si>
  <si>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</si>
  <si>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</si>
  <si>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</si>
  <si>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</si>
  <si>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</si>
  <si>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</si>
  <si>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</si>
  <si>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</si>
  <si>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</si>
  <si>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</si>
  <si>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</si>
  <si>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</si>
  <si>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</si>
  <si>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</si>
  <si>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</si>
  <si>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</si>
  <si>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</si>
  <si>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</si>
  <si>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</si>
  <si>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</si>
  <si>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</si>
  <si>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</si>
  <si>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</si>
  <si>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</si>
  <si>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</si>
  <si>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</si>
  <si>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</si>
  <si>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</si>
  <si>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</si>
  <si>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</si>
  <si>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</si>
  <si>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</si>
  <si>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</si>
  <si>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</si>
  <si>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</si>
  <si>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</si>
  <si>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</si>
  <si>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</si>
  <si>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</si>
  <si>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</si>
  <si>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</si>
  <si>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</si>
  <si>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</si>
  <si>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</si>
  <si>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</si>
  <si>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</si>
  <si>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</si>
  <si>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</si>
  <si>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</si>
  <si>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</si>
  <si>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</si>
  <si>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</si>
  <si>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</si>
  <si>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</si>
  <si>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</si>
  <si>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</si>
  <si>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</si>
  <si>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</si>
  <si>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</si>
  <si>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</si>
  <si>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</si>
  <si>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</si>
  <si>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</si>
  <si>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</si>
  <si>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</si>
  <si>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</si>
  <si>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</si>
  <si>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</si>
  <si>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</si>
  <si>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</si>
  <si>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</si>
  <si>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</si>
  <si>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</si>
  <si>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</si>
  <si>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</si>
  <si>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</si>
  <si>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</si>
  <si>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</si>
  <si>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</si>
  <si>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</si>
  <si>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</si>
  <si>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</si>
  <si>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</si>
  <si>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</si>
  <si>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</si>
  <si>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</si>
  <si>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</si>
  <si>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</si>
  <si>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</si>
  <si>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</si>
  <si>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</si>
  <si>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</si>
  <si>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</si>
  <si>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</si>
  <si>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</si>
  <si>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</si>
  <si>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</si>
  <si>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</si>
  <si>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</si>
  <si>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</si>
  <si>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</si>
  <si>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</si>
  <si>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</si>
  <si>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</si>
  <si>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</si>
  <si>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</si>
  <si>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</si>
  <si>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</si>
  <si>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</si>
  <si>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</si>
  <si>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</si>
  <si>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</si>
  <si>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</si>
  <si>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</si>
  <si>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</si>
  <si>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</si>
  <si>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</si>
  <si>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</si>
  <si>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</si>
  <si>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</si>
  <si>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</si>
  <si>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</si>
  <si>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</si>
  <si>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</si>
  <si>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</si>
  <si>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</si>
  <si>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</si>
  <si>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</si>
  <si>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</si>
  <si>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</si>
  <si>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</si>
  <si>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</si>
  <si>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</si>
  <si>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</si>
  <si>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</si>
  <si>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</si>
  <si>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</si>
  <si>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</si>
  <si>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</si>
  <si>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</si>
  <si>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</si>
  <si>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</si>
  <si>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</si>
  <si>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</si>
  <si>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</si>
  <si>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</si>
  <si>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</si>
  <si>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</si>
  <si>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</si>
  <si>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</si>
  <si>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</si>
  <si>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</si>
  <si>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</si>
  <si>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</si>
  <si>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</si>
  <si>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</si>
  <si>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</si>
  <si>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</si>
  <si>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</si>
  <si>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</si>
  <si>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</si>
  <si>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</si>
  <si>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</si>
  <si>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</si>
  <si>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</si>
  <si>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</si>
  <si>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</si>
  <si>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</si>
  <si>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</si>
  <si>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</si>
  <si>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</si>
  <si>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</si>
  <si>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</si>
  <si>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</si>
  <si>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</si>
  <si>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</si>
  <si>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</si>
  <si>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</si>
  <si>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</si>
  <si>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</si>
  <si>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</si>
  <si>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</si>
  <si>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</si>
  <si>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</si>
  <si>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</si>
  <si>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</si>
  <si>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</si>
  <si>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</si>
  <si>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</si>
  <si>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</si>
  <si>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</si>
  <si>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</si>
  <si>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</si>
  <si>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</si>
  <si>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</si>
  <si>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</si>
  <si>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</si>
  <si>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</si>
  <si>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</si>
  <si>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</si>
  <si>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</si>
  <si>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</si>
  <si>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</si>
  <si>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</si>
  <si>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</si>
  <si>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</si>
  <si>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</si>
  <si>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</si>
  <si>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</si>
  <si>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</si>
  <si>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</si>
  <si>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</si>
  <si>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</si>
  <si>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</si>
  <si>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</si>
  <si>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</si>
  <si>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</si>
  <si>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</si>
  <si>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</si>
  <si>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</si>
  <si>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</si>
  <si>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</si>
  <si>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</si>
  <si>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</si>
  <si>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</si>
  <si>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</si>
  <si>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</si>
  <si>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</si>
  <si>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</si>
  <si>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</si>
  <si>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</si>
  <si>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</si>
  <si>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</si>
  <si>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</si>
  <si>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</si>
  <si>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</si>
  <si>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</si>
  <si>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</si>
  <si>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</si>
  <si>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</si>
  <si>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</si>
  <si>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</si>
  <si>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</si>
  <si>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</si>
  <si>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</si>
  <si>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</si>
  <si>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</si>
  <si>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</si>
  <si>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</si>
  <si>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</si>
  <si>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</si>
  <si>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</si>
  <si>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</si>
  <si>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</si>
  <si>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</si>
  <si>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</si>
  <si>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</si>
  <si>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</si>
  <si>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</si>
  <si>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</si>
  <si>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</si>
  <si>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</si>
  <si>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</si>
  <si>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</si>
  <si>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</si>
  <si>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</si>
  <si>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</si>
  <si>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</si>
  <si>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</si>
  <si>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</si>
  <si>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</si>
  <si>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</si>
  <si>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</si>
  <si>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</si>
  <si>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</si>
  <si>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NOEX_Description</t>
  </si>
  <si>
    <t>NOEX_T</t>
  </si>
  <si>
    <t>NOEX_ST</t>
  </si>
  <si>
    <t>NOEX_KT</t>
  </si>
  <si>
    <t>NOEX_SKT</t>
  </si>
  <si>
    <t>NOEX_DSKT</t>
  </si>
  <si>
    <t>Repeat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</si>
  <si>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</si>
  <si>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</si>
  <si>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</si>
  <si>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</si>
  <si>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</si>
  <si>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</si>
  <si>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</si>
  <si>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</si>
  <si>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</si>
  <si>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</si>
  <si>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</si>
  <si>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</si>
  <si>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</si>
  <si>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</si>
  <si>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</si>
  <si>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NumSubEpisodes</t>
  </si>
  <si>
    <t>MaxNumEnemyObjs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</si>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</sst>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readingOrder="0"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 t="s">
        <v>30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31</v>
      </c>
      <c r="L7" s="18">
        <v>400.0</v>
      </c>
      <c r="M7" s="7" t="s">
        <v>32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40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73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74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76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78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80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81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82</v>
      </c>
      <c r="B34" s="12" t="s">
        <v>83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84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85</v>
      </c>
      <c r="B35" s="12" t="s">
        <v>86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87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88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89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90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91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92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93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94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95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96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97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98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99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100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101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102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103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104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105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106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107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108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109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110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111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112</v>
      </c>
      <c r="V52" s="23">
        <v>700000.0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113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114</v>
      </c>
      <c r="V53" s="23">
        <v>700001.0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115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116</v>
      </c>
      <c r="V54" s="23">
        <v>700100.0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117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118</v>
      </c>
      <c r="V55" s="23">
        <v>700101.0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119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120</v>
      </c>
      <c r="V56" s="23">
        <v>700200.0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121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122</v>
      </c>
      <c r="V57" s="23">
        <v>700201.0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123</v>
      </c>
      <c r="V58" s="23">
        <v>700300.0</v>
      </c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124</v>
      </c>
      <c r="V59" s="23">
        <v>700301.0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800000.0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800001.0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127</v>
      </c>
      <c r="V63" s="23">
        <v>800100.0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128</v>
      </c>
      <c r="V64" s="23">
        <v>800101.0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129</v>
      </c>
      <c r="B1" s="27" t="s">
        <v>130</v>
      </c>
      <c r="C1" s="27" t="s">
        <v>131</v>
      </c>
      <c r="D1" s="27" t="s">
        <v>132</v>
      </c>
      <c r="E1" s="27" t="s">
        <v>133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134</v>
      </c>
      <c r="B2" s="13">
        <v>0.0</v>
      </c>
      <c r="C2" s="27" t="s">
        <v>135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136</v>
      </c>
      <c r="B3" s="13">
        <v>0.0</v>
      </c>
      <c r="C3" s="27" t="s">
        <v>137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138</v>
      </c>
      <c r="B4" s="13">
        <v>0.0</v>
      </c>
      <c r="C4" s="27" t="s">
        <v>139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140</v>
      </c>
      <c r="B5" s="13">
        <v>0.0</v>
      </c>
      <c r="C5" s="27" t="s">
        <v>141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142</v>
      </c>
      <c r="B6" s="13">
        <v>0.0</v>
      </c>
      <c r="C6" s="27" t="s">
        <v>143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144</v>
      </c>
      <c r="B7" s="13">
        <v>0.0</v>
      </c>
      <c r="C7" s="27" t="s">
        <v>145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146</v>
      </c>
      <c r="B8" s="13">
        <v>0.0</v>
      </c>
      <c r="C8" s="27" t="s">
        <v>147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148</v>
      </c>
      <c r="B9" s="13">
        <v>0.0</v>
      </c>
      <c r="C9" s="27" t="s">
        <v>149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150</v>
      </c>
      <c r="B10" s="13">
        <v>0.0</v>
      </c>
      <c r="C10" s="27" t="s">
        <v>151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152</v>
      </c>
      <c r="B11" s="13">
        <v>0.0</v>
      </c>
      <c r="C11" s="27" t="s">
        <v>153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7" t="s">
        <v>129</v>
      </c>
      <c r="B1" s="27" t="s">
        <v>130</v>
      </c>
      <c r="C1" s="27" t="s">
        <v>131</v>
      </c>
      <c r="D1" s="27" t="s">
        <v>154</v>
      </c>
      <c r="E1" s="27" t="s">
        <v>155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156</v>
      </c>
      <c r="B2" s="13">
        <v>0.0</v>
      </c>
      <c r="C2" s="27" t="s">
        <v>157</v>
      </c>
      <c r="D2" s="27" t="s">
        <v>158</v>
      </c>
      <c r="E2" s="27" t="s">
        <v>159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160</v>
      </c>
      <c r="B3" s="13">
        <v>0.0</v>
      </c>
      <c r="C3" s="27" t="s">
        <v>161</v>
      </c>
      <c r="D3" s="27" t="s">
        <v>162</v>
      </c>
      <c r="E3" s="27" t="s">
        <v>163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164</v>
      </c>
      <c r="B4" s="13">
        <v>0.0</v>
      </c>
      <c r="C4" s="27" t="s">
        <v>165</v>
      </c>
      <c r="D4" s="27" t="s">
        <v>166</v>
      </c>
      <c r="E4" s="27" t="s">
        <v>167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168</v>
      </c>
      <c r="B5" s="13">
        <v>0.0</v>
      </c>
      <c r="C5" s="27" t="s">
        <v>169</v>
      </c>
      <c r="D5" s="27" t="s">
        <v>170</v>
      </c>
      <c r="E5" s="27" t="s">
        <v>171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172</v>
      </c>
      <c r="B6" s="13">
        <v>0.0</v>
      </c>
      <c r="C6" s="27" t="s">
        <v>173</v>
      </c>
      <c r="D6" s="27" t="s">
        <v>174</v>
      </c>
      <c r="E6" s="27" t="s">
        <v>175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176</v>
      </c>
      <c r="B7" s="13">
        <v>0.0</v>
      </c>
      <c r="C7" s="27" t="s">
        <v>177</v>
      </c>
      <c r="D7" s="27" t="s">
        <v>178</v>
      </c>
      <c r="E7" s="27" t="s">
        <v>179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180</v>
      </c>
      <c r="B8" s="13">
        <v>0.0</v>
      </c>
      <c r="C8" s="27" t="s">
        <v>181</v>
      </c>
      <c r="D8" s="27" t="s">
        <v>182</v>
      </c>
      <c r="E8" s="27" t="s">
        <v>183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184</v>
      </c>
      <c r="B9" s="13">
        <v>0.0</v>
      </c>
      <c r="C9" s="27" t="s">
        <v>185</v>
      </c>
      <c r="D9" s="27" t="s">
        <v>186</v>
      </c>
      <c r="E9" s="27" t="s">
        <v>187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188</v>
      </c>
      <c r="B10" s="13">
        <v>0.0</v>
      </c>
      <c r="C10" s="27" t="s">
        <v>189</v>
      </c>
      <c r="D10" s="27" t="s">
        <v>190</v>
      </c>
      <c r="E10" s="27" t="s">
        <v>191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192</v>
      </c>
      <c r="B11" s="13">
        <v>0.0</v>
      </c>
      <c r="C11" s="27" t="s">
        <v>193</v>
      </c>
      <c r="D11" s="27" t="s">
        <v>194</v>
      </c>
      <c r="E11" s="27" t="s">
        <v>195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196</v>
      </c>
      <c r="B12" s="13">
        <v>0.0</v>
      </c>
      <c r="C12" s="27" t="s">
        <v>197</v>
      </c>
      <c r="D12" s="27" t="s">
        <v>198</v>
      </c>
      <c r="E12" s="27" t="s">
        <v>199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200</v>
      </c>
      <c r="B13" s="13">
        <v>0.0</v>
      </c>
      <c r="C13" s="27" t="s">
        <v>201</v>
      </c>
      <c r="D13" s="27" t="s">
        <v>202</v>
      </c>
      <c r="E13" s="27" t="s">
        <v>203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204</v>
      </c>
      <c r="B14" s="13">
        <v>0.0</v>
      </c>
      <c r="C14" s="27" t="s">
        <v>205</v>
      </c>
      <c r="D14" s="27" t="s">
        <v>206</v>
      </c>
      <c r="E14" s="27" t="s">
        <v>207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208</v>
      </c>
      <c r="B15" s="13">
        <v>0.0</v>
      </c>
      <c r="C15" s="27" t="s">
        <v>209</v>
      </c>
      <c r="D15" s="27" t="s">
        <v>210</v>
      </c>
      <c r="E15" s="27" t="s">
        <v>211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 t="s">
        <v>212</v>
      </c>
      <c r="B16" s="13">
        <v>0.0</v>
      </c>
      <c r="C16" s="27" t="s">
        <v>213</v>
      </c>
      <c r="D16" s="27" t="s">
        <v>214</v>
      </c>
      <c r="E16" s="27" t="s">
        <v>215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216</v>
      </c>
      <c r="B17" s="13">
        <v>0.0</v>
      </c>
      <c r="C17" s="27" t="s">
        <v>217</v>
      </c>
      <c r="D17" s="27" t="s">
        <v>218</v>
      </c>
      <c r="E17" s="27" t="s">
        <v>219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220</v>
      </c>
      <c r="B18" s="13">
        <v>0.0</v>
      </c>
      <c r="C18" s="27" t="s">
        <v>221</v>
      </c>
      <c r="D18" s="27" t="s">
        <v>222</v>
      </c>
      <c r="E18" s="27" t="s">
        <v>223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224</v>
      </c>
      <c r="B19" s="13">
        <v>0.0</v>
      </c>
      <c r="C19" s="27" t="s">
        <v>225</v>
      </c>
      <c r="D19" s="27" t="s">
        <v>226</v>
      </c>
      <c r="E19" s="27" t="s">
        <v>227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228</v>
      </c>
      <c r="B20" s="13">
        <v>0.0</v>
      </c>
      <c r="C20" s="27" t="s">
        <v>229</v>
      </c>
      <c r="D20" s="27" t="s">
        <v>230</v>
      </c>
      <c r="E20" s="27" t="s">
        <v>231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232</v>
      </c>
      <c r="B21" s="13">
        <v>0.0</v>
      </c>
      <c r="C21" s="27" t="s">
        <v>233</v>
      </c>
      <c r="D21" s="27" t="s">
        <v>234</v>
      </c>
      <c r="E21" s="27" t="s">
        <v>235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236</v>
      </c>
      <c r="B22" s="13">
        <v>0.0</v>
      </c>
      <c r="C22" s="27" t="s">
        <v>237</v>
      </c>
      <c r="D22" s="27" t="s">
        <v>238</v>
      </c>
      <c r="E22" s="27" t="s">
        <v>239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240</v>
      </c>
      <c r="B23" s="13">
        <v>0.0</v>
      </c>
      <c r="C23" s="27" t="s">
        <v>241</v>
      </c>
      <c r="D23" s="27" t="s">
        <v>242</v>
      </c>
      <c r="E23" s="27" t="s">
        <v>243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244</v>
      </c>
      <c r="B24" s="13">
        <v>0.0</v>
      </c>
      <c r="C24" s="27" t="s">
        <v>245</v>
      </c>
      <c r="D24" s="27" t="s">
        <v>246</v>
      </c>
      <c r="E24" s="27" t="s">
        <v>247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248</v>
      </c>
      <c r="B25" s="13">
        <v>0.0</v>
      </c>
      <c r="C25" s="27" t="s">
        <v>249</v>
      </c>
      <c r="D25" s="27" t="s">
        <v>250</v>
      </c>
      <c r="E25" s="27" t="s">
        <v>251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252</v>
      </c>
      <c r="B26" s="13">
        <v>0.0</v>
      </c>
      <c r="C26" s="27" t="s">
        <v>253</v>
      </c>
      <c r="D26" s="27" t="s">
        <v>254</v>
      </c>
      <c r="E26" s="27" t="s">
        <v>255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256</v>
      </c>
      <c r="B27" s="13">
        <v>0.0</v>
      </c>
      <c r="C27" s="27" t="s">
        <v>257</v>
      </c>
      <c r="D27" s="27" t="s">
        <v>258</v>
      </c>
      <c r="E27" s="27" t="s">
        <v>259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260</v>
      </c>
      <c r="B28" s="13">
        <v>0.0</v>
      </c>
      <c r="C28" s="27" t="s">
        <v>261</v>
      </c>
      <c r="D28" s="27" t="s">
        <v>262</v>
      </c>
      <c r="E28" s="27" t="s">
        <v>263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 t="s">
        <v>264</v>
      </c>
      <c r="B29" s="13">
        <v>0.0</v>
      </c>
      <c r="C29" s="27" t="s">
        <v>265</v>
      </c>
      <c r="D29" s="27" t="s">
        <v>266</v>
      </c>
      <c r="E29" s="27" t="s">
        <v>267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268</v>
      </c>
      <c r="B30" s="13">
        <v>0.0</v>
      </c>
      <c r="C30" s="27" t="s">
        <v>269</v>
      </c>
      <c r="D30" s="27" t="s">
        <v>270</v>
      </c>
      <c r="E30" s="27" t="s">
        <v>271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272</v>
      </c>
      <c r="B31" s="13">
        <v>0.0</v>
      </c>
      <c r="C31" s="27" t="s">
        <v>273</v>
      </c>
      <c r="D31" s="27" t="s">
        <v>274</v>
      </c>
      <c r="E31" s="27" t="s">
        <v>275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276</v>
      </c>
      <c r="B32" s="13">
        <v>0.0</v>
      </c>
      <c r="C32" s="27" t="s">
        <v>277</v>
      </c>
      <c r="D32" s="27" t="s">
        <v>278</v>
      </c>
      <c r="E32" s="27" t="s">
        <v>279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280</v>
      </c>
      <c r="B33" s="13">
        <v>0.0</v>
      </c>
      <c r="C33" s="27" t="s">
        <v>281</v>
      </c>
      <c r="D33" s="27" t="s">
        <v>282</v>
      </c>
      <c r="E33" s="27" t="s">
        <v>283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284</v>
      </c>
      <c r="B34" s="13">
        <v>0.0</v>
      </c>
      <c r="C34" s="27" t="s">
        <v>285</v>
      </c>
      <c r="D34" s="27" t="s">
        <v>286</v>
      </c>
      <c r="E34" s="27" t="s">
        <v>287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288</v>
      </c>
      <c r="B35" s="13">
        <v>0.0</v>
      </c>
      <c r="C35" s="27" t="s">
        <v>289</v>
      </c>
      <c r="D35" s="27" t="s">
        <v>290</v>
      </c>
      <c r="E35" s="27" t="s">
        <v>291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292</v>
      </c>
      <c r="B36" s="13">
        <v>0.0</v>
      </c>
      <c r="C36" s="27" t="s">
        <v>293</v>
      </c>
      <c r="D36" s="27" t="s">
        <v>294</v>
      </c>
      <c r="E36" s="27" t="s">
        <v>295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296</v>
      </c>
      <c r="B37" s="13">
        <v>0.0</v>
      </c>
      <c r="C37" s="27" t="s">
        <v>297</v>
      </c>
      <c r="D37" s="27" t="s">
        <v>298</v>
      </c>
      <c r="E37" s="27" t="s">
        <v>299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300</v>
      </c>
      <c r="B38" s="13">
        <v>0.0</v>
      </c>
      <c r="C38" s="27" t="s">
        <v>301</v>
      </c>
      <c r="D38" s="27" t="s">
        <v>302</v>
      </c>
      <c r="E38" s="27" t="s">
        <v>303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304</v>
      </c>
      <c r="B39" s="13">
        <v>0.0</v>
      </c>
      <c r="C39" s="27" t="s">
        <v>305</v>
      </c>
      <c r="D39" s="27" t="s">
        <v>306</v>
      </c>
      <c r="E39" s="27" t="s">
        <v>307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308</v>
      </c>
      <c r="B40" s="13">
        <v>0.0</v>
      </c>
      <c r="C40" s="27" t="s">
        <v>309</v>
      </c>
      <c r="D40" s="27" t="s">
        <v>310</v>
      </c>
      <c r="E40" s="27" t="s">
        <v>311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312</v>
      </c>
      <c r="B41" s="13">
        <v>0.0</v>
      </c>
      <c r="C41" s="27" t="s">
        <v>313</v>
      </c>
      <c r="D41" s="27" t="s">
        <v>314</v>
      </c>
      <c r="E41" s="27" t="s">
        <v>315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316</v>
      </c>
      <c r="B42" s="13">
        <v>0.0</v>
      </c>
      <c r="C42" s="27" t="s">
        <v>317</v>
      </c>
      <c r="D42" s="27" t="s">
        <v>318</v>
      </c>
      <c r="E42" s="27" t="s">
        <v>319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320</v>
      </c>
      <c r="B43" s="13">
        <v>0.0</v>
      </c>
      <c r="C43" s="27" t="s">
        <v>321</v>
      </c>
      <c r="D43" s="27" t="s">
        <v>322</v>
      </c>
      <c r="E43" s="27" t="s">
        <v>323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324</v>
      </c>
      <c r="B44" s="13">
        <v>0.0</v>
      </c>
      <c r="C44" s="27" t="s">
        <v>325</v>
      </c>
      <c r="D44" s="27" t="s">
        <v>326</v>
      </c>
      <c r="E44" s="27" t="s">
        <v>327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328</v>
      </c>
      <c r="B45" s="13">
        <v>0.0</v>
      </c>
      <c r="C45" s="27" t="s">
        <v>329</v>
      </c>
      <c r="D45" s="27" t="s">
        <v>330</v>
      </c>
      <c r="E45" s="27" t="s">
        <v>331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332</v>
      </c>
      <c r="B46" s="13">
        <v>0.0</v>
      </c>
      <c r="C46" s="27" t="s">
        <v>333</v>
      </c>
      <c r="D46" s="27" t="s">
        <v>334</v>
      </c>
      <c r="E46" s="27" t="s">
        <v>335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336</v>
      </c>
      <c r="B47" s="13">
        <v>0.0</v>
      </c>
      <c r="C47" s="27" t="s">
        <v>337</v>
      </c>
      <c r="D47" s="27" t="s">
        <v>338</v>
      </c>
      <c r="E47" s="27" t="s">
        <v>339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340</v>
      </c>
      <c r="B48" s="13">
        <v>0.0</v>
      </c>
      <c r="C48" s="27" t="s">
        <v>341</v>
      </c>
      <c r="D48" s="27" t="s">
        <v>342</v>
      </c>
      <c r="E48" s="27" t="s">
        <v>343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344</v>
      </c>
      <c r="B49" s="13">
        <v>0.0</v>
      </c>
      <c r="C49" s="27" t="s">
        <v>345</v>
      </c>
      <c r="D49" s="27" t="s">
        <v>346</v>
      </c>
      <c r="E49" s="27" t="s">
        <v>347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348</v>
      </c>
      <c r="B50" s="13">
        <v>0.0</v>
      </c>
      <c r="C50" s="27" t="s">
        <v>349</v>
      </c>
      <c r="D50" s="27" t="s">
        <v>350</v>
      </c>
      <c r="E50" s="27" t="s">
        <v>351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352</v>
      </c>
      <c r="B51" s="13">
        <v>0.0</v>
      </c>
      <c r="C51" s="27" t="s">
        <v>353</v>
      </c>
      <c r="D51" s="27" t="s">
        <v>354</v>
      </c>
      <c r="E51" s="27" t="s">
        <v>355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356</v>
      </c>
      <c r="B52" s="13">
        <v>0.0</v>
      </c>
      <c r="C52" s="27" t="s">
        <v>357</v>
      </c>
      <c r="D52" s="27" t="s">
        <v>358</v>
      </c>
      <c r="E52" s="27" t="s">
        <v>359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360</v>
      </c>
      <c r="B53" s="13">
        <v>0.0</v>
      </c>
      <c r="C53" s="27" t="s">
        <v>361</v>
      </c>
      <c r="D53" s="27" t="s">
        <v>29</v>
      </c>
      <c r="E53" s="27" t="s">
        <v>362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363</v>
      </c>
      <c r="B54" s="13">
        <v>0.0</v>
      </c>
      <c r="C54" s="27" t="s">
        <v>364</v>
      </c>
      <c r="D54" s="27" t="s">
        <v>214</v>
      </c>
      <c r="E54" s="27" t="s">
        <v>215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365</v>
      </c>
      <c r="B55" s="13">
        <v>0.0</v>
      </c>
      <c r="C55" s="27" t="s">
        <v>366</v>
      </c>
      <c r="D55" s="27" t="s">
        <v>367</v>
      </c>
      <c r="E55" s="27" t="s">
        <v>368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369</v>
      </c>
      <c r="B56" s="13">
        <v>0.0</v>
      </c>
      <c r="C56" s="27" t="s">
        <v>370</v>
      </c>
      <c r="D56" s="27" t="s">
        <v>371</v>
      </c>
      <c r="E56" s="27" t="s">
        <v>372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373</v>
      </c>
      <c r="B57" s="13">
        <v>0.0</v>
      </c>
      <c r="C57" s="27" t="s">
        <v>374</v>
      </c>
      <c r="D57" s="27" t="s">
        <v>375</v>
      </c>
      <c r="E57" s="27" t="s">
        <v>376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377</v>
      </c>
      <c r="B58" s="13">
        <v>0.0</v>
      </c>
      <c r="C58" s="27" t="s">
        <v>378</v>
      </c>
      <c r="D58" s="27" t="s">
        <v>379</v>
      </c>
      <c r="E58" s="27" t="s">
        <v>380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381</v>
      </c>
      <c r="B59" s="13">
        <v>0.0</v>
      </c>
      <c r="C59" s="27" t="s">
        <v>382</v>
      </c>
      <c r="D59" s="27" t="s">
        <v>383</v>
      </c>
      <c r="E59" s="27" t="s">
        <v>384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385</v>
      </c>
      <c r="B60" s="13">
        <v>0.0</v>
      </c>
      <c r="C60" s="27" t="s">
        <v>386</v>
      </c>
      <c r="D60" s="27" t="s">
        <v>36</v>
      </c>
      <c r="E60" s="27" t="s">
        <v>387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388</v>
      </c>
      <c r="B61" s="13">
        <v>0.0</v>
      </c>
      <c r="C61" s="27" t="s">
        <v>389</v>
      </c>
      <c r="D61" s="27" t="s">
        <v>390</v>
      </c>
      <c r="E61" s="27" t="s">
        <v>391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392</v>
      </c>
      <c r="B62" s="13">
        <v>0.0</v>
      </c>
      <c r="C62" s="27" t="s">
        <v>393</v>
      </c>
      <c r="D62" s="27" t="s">
        <v>17</v>
      </c>
      <c r="E62" s="27" t="s">
        <v>394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395</v>
      </c>
      <c r="B63" s="13">
        <v>0.0</v>
      </c>
      <c r="C63" s="27" t="s">
        <v>396</v>
      </c>
      <c r="D63" s="27" t="s">
        <v>82</v>
      </c>
      <c r="E63" s="27" t="s">
        <v>397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398</v>
      </c>
      <c r="B64" s="13">
        <v>0.0</v>
      </c>
      <c r="C64" s="27" t="s">
        <v>399</v>
      </c>
      <c r="D64" s="27" t="s">
        <v>85</v>
      </c>
      <c r="E64" s="27" t="s">
        <v>400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401</v>
      </c>
      <c r="B65" s="13">
        <v>0.0</v>
      </c>
      <c r="C65" s="27" t="s">
        <v>402</v>
      </c>
      <c r="D65" s="27" t="s">
        <v>403</v>
      </c>
      <c r="E65" s="27" t="s">
        <v>404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405</v>
      </c>
      <c r="B66" s="13">
        <v>0.0</v>
      </c>
      <c r="C66" s="27" t="s">
        <v>406</v>
      </c>
      <c r="D66" s="27" t="s">
        <v>407</v>
      </c>
      <c r="E66" s="27" t="s">
        <v>408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409</v>
      </c>
      <c r="B67" s="13">
        <v>0.0</v>
      </c>
      <c r="C67" s="27" t="s">
        <v>410</v>
      </c>
      <c r="D67" s="27" t="s">
        <v>411</v>
      </c>
      <c r="E67" s="27" t="s">
        <v>412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413</v>
      </c>
      <c r="B68" s="13">
        <v>0.0</v>
      </c>
      <c r="C68" s="27" t="s">
        <v>414</v>
      </c>
      <c r="D68" s="27" t="s">
        <v>415</v>
      </c>
      <c r="E68" s="27" t="s">
        <v>416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417</v>
      </c>
      <c r="B69" s="13">
        <v>0.0</v>
      </c>
      <c r="C69" s="27" t="s">
        <v>418</v>
      </c>
      <c r="D69" s="27" t="s">
        <v>419</v>
      </c>
      <c r="E69" s="27" t="s">
        <v>420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421</v>
      </c>
      <c r="B70" s="13">
        <v>0.0</v>
      </c>
      <c r="C70" s="27" t="s">
        <v>422</v>
      </c>
      <c r="D70" s="27" t="s">
        <v>423</v>
      </c>
      <c r="E70" s="27" t="s">
        <v>424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425</v>
      </c>
      <c r="B71" s="13">
        <v>0.0</v>
      </c>
      <c r="C71" s="27" t="s">
        <v>426</v>
      </c>
      <c r="D71" s="27" t="s">
        <v>427</v>
      </c>
      <c r="E71" s="27" t="s">
        <v>428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429</v>
      </c>
      <c r="B72" s="13">
        <v>0.0</v>
      </c>
      <c r="C72" s="27" t="s">
        <v>430</v>
      </c>
      <c r="D72" s="27" t="s">
        <v>431</v>
      </c>
      <c r="E72" s="27" t="s">
        <v>432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433</v>
      </c>
      <c r="B73" s="13">
        <v>0.0</v>
      </c>
      <c r="C73" s="27" t="s">
        <v>434</v>
      </c>
      <c r="D73" s="27" t="s">
        <v>435</v>
      </c>
      <c r="E73" s="27" t="s">
        <v>436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437</v>
      </c>
      <c r="B74" s="13">
        <v>0.0</v>
      </c>
      <c r="C74" s="27" t="s">
        <v>438</v>
      </c>
      <c r="D74" s="27" t="s">
        <v>439</v>
      </c>
      <c r="E74" s="27" t="s">
        <v>440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441</v>
      </c>
      <c r="B75" s="13">
        <v>0.0</v>
      </c>
      <c r="C75" s="27" t="s">
        <v>442</v>
      </c>
      <c r="D75" s="27" t="s">
        <v>443</v>
      </c>
      <c r="E75" s="27" t="s">
        <v>444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445</v>
      </c>
      <c r="B76" s="13">
        <v>0.0</v>
      </c>
      <c r="C76" s="27" t="s">
        <v>446</v>
      </c>
      <c r="D76" s="27" t="s">
        <v>447</v>
      </c>
      <c r="E76" s="27" t="s">
        <v>448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449</v>
      </c>
      <c r="B77" s="13">
        <v>0.0</v>
      </c>
      <c r="C77" s="27" t="s">
        <v>450</v>
      </c>
      <c r="D77" s="27" t="s">
        <v>451</v>
      </c>
      <c r="E77" s="27" t="s">
        <v>452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453</v>
      </c>
      <c r="B78" s="13">
        <v>0.0</v>
      </c>
      <c r="C78" s="27" t="s">
        <v>454</v>
      </c>
      <c r="D78" s="27" t="s">
        <v>455</v>
      </c>
      <c r="E78" s="27" t="s">
        <v>456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457</v>
      </c>
      <c r="B79" s="13">
        <v>0.0</v>
      </c>
      <c r="C79" s="27" t="s">
        <v>458</v>
      </c>
      <c r="D79" s="27" t="s">
        <v>459</v>
      </c>
      <c r="E79" s="27" t="s">
        <v>460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461</v>
      </c>
      <c r="B80" s="13">
        <v>0.0</v>
      </c>
      <c r="C80" s="27" t="s">
        <v>462</v>
      </c>
      <c r="D80" s="27" t="s">
        <v>463</v>
      </c>
      <c r="E80" s="27" t="s">
        <v>464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27"/>
      <c r="E81" s="2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27"/>
      <c r="E82" s="2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27"/>
      <c r="E83" s="2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27"/>
      <c r="E84" s="2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27"/>
      <c r="E85" s="2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27"/>
      <c r="E86" s="2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27"/>
      <c r="E87" s="2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27"/>
      <c r="E88" s="2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27"/>
      <c r="B280" s="13"/>
      <c r="C280" s="27"/>
      <c r="D280" s="27"/>
      <c r="E280" s="27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1"/>
      <c r="E1000" s="31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5"/>
    <col customWidth="1" min="12" max="13" width="11.88"/>
    <col customWidth="1" min="14" max="14" width="4.38"/>
    <col customWidth="1" min="15" max="42" width="12.63"/>
  </cols>
  <sheetData>
    <row r="1">
      <c r="A1" s="1" t="s">
        <v>465</v>
      </c>
      <c r="B1" s="2" t="s">
        <v>466</v>
      </c>
      <c r="C1" s="2" t="s">
        <v>467</v>
      </c>
      <c r="D1" s="2" t="s">
        <v>468</v>
      </c>
      <c r="E1" s="2" t="s">
        <v>469</v>
      </c>
      <c r="F1" s="2" t="s">
        <v>470</v>
      </c>
      <c r="G1" s="34" t="s">
        <v>130</v>
      </c>
      <c r="H1" s="34" t="s">
        <v>471</v>
      </c>
      <c r="I1" s="34" t="s">
        <v>472</v>
      </c>
      <c r="J1" s="34" t="s">
        <v>473</v>
      </c>
      <c r="K1" s="35" t="s">
        <v>474</v>
      </c>
      <c r="L1" s="35" t="s">
        <v>475</v>
      </c>
      <c r="M1" s="35" t="s">
        <v>476</v>
      </c>
      <c r="N1" s="35" t="s">
        <v>477</v>
      </c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6"/>
      <c r="AH1" s="36"/>
      <c r="AI1" s="1"/>
      <c r="AJ1" s="1"/>
      <c r="AK1" s="1"/>
      <c r="AL1" s="1"/>
      <c r="AM1" s="1"/>
      <c r="AN1" s="1"/>
      <c r="AO1" s="1"/>
      <c r="AP1" s="1"/>
    </row>
    <row r="2">
      <c r="A2" s="35" t="s">
        <v>478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9"/>
      <c r="AH2" s="39"/>
      <c r="AI2" s="13"/>
      <c r="AJ2" s="13"/>
      <c r="AK2" s="13"/>
      <c r="AL2" s="13"/>
      <c r="AM2" s="13"/>
      <c r="AN2" s="13"/>
      <c r="AO2" s="13"/>
      <c r="AP2" s="13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9"/>
      <c r="AH3" s="39"/>
      <c r="AI3" s="13"/>
      <c r="AJ3" s="13"/>
      <c r="AK3" s="13"/>
      <c r="AL3" s="13"/>
      <c r="AM3" s="13"/>
      <c r="AN3" s="13"/>
      <c r="AO3" s="13"/>
      <c r="AP3" s="13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9"/>
      <c r="AH4" s="39"/>
      <c r="AI4" s="13"/>
      <c r="AJ4" s="13"/>
      <c r="AK4" s="13"/>
      <c r="AL4" s="13"/>
      <c r="AM4" s="13"/>
      <c r="AN4" s="13"/>
      <c r="AO4" s="13"/>
      <c r="AP4" s="13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9"/>
      <c r="AH5" s="39"/>
      <c r="AI5" s="13"/>
      <c r="AJ5" s="13"/>
      <c r="AK5" s="13"/>
      <c r="AL5" s="13"/>
      <c r="AM5" s="13"/>
      <c r="AN5" s="13"/>
      <c r="AO5" s="13"/>
      <c r="AP5" s="13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9"/>
      <c r="AH6" s="39"/>
      <c r="AI6" s="13"/>
      <c r="AJ6" s="13"/>
      <c r="AK6" s="13"/>
      <c r="AL6" s="13"/>
      <c r="AM6" s="13"/>
      <c r="AN6" s="13"/>
      <c r="AO6" s="13"/>
      <c r="AP6" s="13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9"/>
      <c r="AH7" s="39"/>
      <c r="AI7" s="13"/>
      <c r="AJ7" s="13"/>
      <c r="AK7" s="13"/>
      <c r="AL7" s="13"/>
      <c r="AM7" s="13"/>
      <c r="AN7" s="13"/>
      <c r="AO7" s="13"/>
      <c r="AP7" s="13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9"/>
      <c r="AH8" s="39"/>
      <c r="AI8" s="13"/>
      <c r="AJ8" s="13"/>
      <c r="AK8" s="13"/>
      <c r="AL8" s="13"/>
      <c r="AM8" s="13"/>
      <c r="AN8" s="13"/>
      <c r="AO8" s="13"/>
      <c r="AP8" s="13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9"/>
      <c r="AH9" s="39"/>
      <c r="AI9" s="13"/>
      <c r="AJ9" s="13"/>
      <c r="AK9" s="13"/>
      <c r="AL9" s="13"/>
      <c r="AM9" s="13"/>
      <c r="AN9" s="13"/>
      <c r="AO9" s="13"/>
      <c r="AP9" s="13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9"/>
      <c r="AH10" s="39"/>
      <c r="AI10" s="13"/>
      <c r="AJ10" s="13"/>
      <c r="AK10" s="13"/>
      <c r="AL10" s="13"/>
      <c r="AM10" s="13"/>
      <c r="AN10" s="13"/>
      <c r="AO10" s="13"/>
      <c r="AP10" s="13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9"/>
      <c r="AH11" s="39"/>
      <c r="AI11" s="13"/>
      <c r="AJ11" s="13"/>
      <c r="AK11" s="13"/>
      <c r="AL11" s="13"/>
      <c r="AM11" s="13"/>
      <c r="AN11" s="13"/>
      <c r="AO11" s="13"/>
      <c r="AP11" s="13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9"/>
      <c r="AH12" s="39"/>
      <c r="AI12" s="13"/>
      <c r="AJ12" s="13"/>
      <c r="AK12" s="13"/>
      <c r="AL12" s="13"/>
      <c r="AM12" s="13"/>
      <c r="AN12" s="13"/>
      <c r="AO12" s="13"/>
      <c r="AP12" s="13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9"/>
      <c r="AH13" s="39"/>
      <c r="AI13" s="13"/>
      <c r="AJ13" s="13"/>
      <c r="AK13" s="13"/>
      <c r="AL13" s="13"/>
      <c r="AM13" s="13"/>
      <c r="AN13" s="13"/>
      <c r="AO13" s="13"/>
      <c r="AP13" s="13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9"/>
      <c r="AH14" s="39"/>
      <c r="AI14" s="13"/>
      <c r="AJ14" s="13"/>
      <c r="AK14" s="13"/>
      <c r="AL14" s="13"/>
      <c r="AM14" s="13"/>
      <c r="AN14" s="13"/>
      <c r="AO14" s="13"/>
      <c r="AP14" s="13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9"/>
      <c r="AH15" s="39"/>
      <c r="AI15" s="13"/>
      <c r="AJ15" s="13"/>
      <c r="AK15" s="13"/>
      <c r="AL15" s="13"/>
      <c r="AM15" s="13"/>
      <c r="AN15" s="13"/>
      <c r="AO15" s="13"/>
      <c r="AP15" s="13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9"/>
      <c r="AH16" s="39"/>
      <c r="AI16" s="13"/>
      <c r="AJ16" s="13"/>
      <c r="AK16" s="13"/>
      <c r="AL16" s="13"/>
      <c r="AM16" s="13"/>
      <c r="AN16" s="13"/>
      <c r="AO16" s="13"/>
      <c r="AP16" s="13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9"/>
      <c r="AH17" s="39"/>
      <c r="AI17" s="13"/>
      <c r="AJ17" s="13"/>
      <c r="AK17" s="13"/>
      <c r="AL17" s="13"/>
      <c r="AM17" s="13"/>
      <c r="AN17" s="13"/>
      <c r="AO17" s="13"/>
      <c r="AP17" s="13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9"/>
      <c r="AH18" s="39"/>
      <c r="AI18" s="13"/>
      <c r="AJ18" s="13"/>
      <c r="AK18" s="13"/>
      <c r="AL18" s="13"/>
      <c r="AM18" s="13"/>
      <c r="AN18" s="13"/>
      <c r="AO18" s="13"/>
      <c r="AP18" s="13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9"/>
      <c r="AH19" s="39"/>
      <c r="AI19" s="13"/>
      <c r="AJ19" s="13"/>
      <c r="AK19" s="13"/>
      <c r="AL19" s="13"/>
      <c r="AM19" s="13"/>
      <c r="AN19" s="13"/>
      <c r="AO19" s="13"/>
      <c r="AP19" s="13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9"/>
      <c r="AH20" s="39"/>
      <c r="AI20" s="13"/>
      <c r="AJ20" s="13"/>
      <c r="AK20" s="13"/>
      <c r="AL20" s="13"/>
      <c r="AM20" s="13"/>
      <c r="AN20" s="13"/>
      <c r="AO20" s="13"/>
      <c r="AP20" s="13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9"/>
      <c r="AH21" s="39"/>
      <c r="AI21" s="13"/>
      <c r="AJ21" s="13"/>
      <c r="AK21" s="13"/>
      <c r="AL21" s="13"/>
      <c r="AM21" s="13"/>
      <c r="AN21" s="13"/>
      <c r="AO21" s="13"/>
      <c r="AP21" s="13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9"/>
      <c r="AH22" s="39"/>
      <c r="AI22" s="13"/>
      <c r="AJ22" s="13"/>
      <c r="AK22" s="13"/>
      <c r="AL22" s="13"/>
      <c r="AM22" s="13"/>
      <c r="AN22" s="13"/>
      <c r="AO22" s="13"/>
      <c r="AP22" s="13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9"/>
      <c r="AH23" s="39"/>
      <c r="AI23" s="13"/>
      <c r="AJ23" s="13"/>
      <c r="AK23" s="13"/>
      <c r="AL23" s="13"/>
      <c r="AM23" s="13"/>
      <c r="AN23" s="13"/>
      <c r="AO23" s="13"/>
      <c r="AP23" s="13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9"/>
      <c r="AH24" s="39"/>
      <c r="AI24" s="13"/>
      <c r="AJ24" s="13"/>
      <c r="AK24" s="13"/>
      <c r="AL24" s="13"/>
      <c r="AM24" s="13"/>
      <c r="AN24" s="13"/>
      <c r="AO24" s="13"/>
      <c r="AP24" s="13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9"/>
      <c r="AH25" s="39"/>
      <c r="AI25" s="13"/>
      <c r="AJ25" s="13"/>
      <c r="AK25" s="13"/>
      <c r="AL25" s="13"/>
      <c r="AM25" s="13"/>
      <c r="AN25" s="13"/>
      <c r="AO25" s="13"/>
      <c r="AP25" s="13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9"/>
      <c r="AH26" s="39"/>
      <c r="AI26" s="13"/>
      <c r="AJ26" s="13"/>
      <c r="AK26" s="13"/>
      <c r="AL26" s="13"/>
      <c r="AM26" s="13"/>
      <c r="AN26" s="13"/>
      <c r="AO26" s="13"/>
      <c r="AP26" s="13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9"/>
      <c r="AH27" s="39"/>
      <c r="AI27" s="13"/>
      <c r="AJ27" s="13"/>
      <c r="AK27" s="13"/>
      <c r="AL27" s="13"/>
      <c r="AM27" s="13"/>
      <c r="AN27" s="13"/>
      <c r="AO27" s="13"/>
      <c r="AP27" s="13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9"/>
      <c r="AH28" s="39"/>
      <c r="AI28" s="13"/>
      <c r="AJ28" s="13"/>
      <c r="AK28" s="13"/>
      <c r="AL28" s="13"/>
      <c r="AM28" s="13"/>
      <c r="AN28" s="13"/>
      <c r="AO28" s="13"/>
      <c r="AP28" s="13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9"/>
      <c r="AH29" s="39"/>
      <c r="AI29" s="13"/>
      <c r="AJ29" s="13"/>
      <c r="AK29" s="13"/>
      <c r="AL29" s="13"/>
      <c r="AM29" s="13"/>
      <c r="AN29" s="13"/>
      <c r="AO29" s="13"/>
      <c r="AP29" s="13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9"/>
      <c r="AH30" s="39"/>
      <c r="AI30" s="13"/>
      <c r="AJ30" s="13"/>
      <c r="AK30" s="13"/>
      <c r="AL30" s="13"/>
      <c r="AM30" s="13"/>
      <c r="AN30" s="13"/>
      <c r="AO30" s="13"/>
      <c r="AP30" s="13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9"/>
      <c r="AH31" s="39"/>
      <c r="AI31" s="13"/>
      <c r="AJ31" s="13"/>
      <c r="AK31" s="13"/>
      <c r="AL31" s="13"/>
      <c r="AM31" s="13"/>
      <c r="AN31" s="13"/>
      <c r="AO31" s="13"/>
      <c r="AP31" s="13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9"/>
      <c r="AH32" s="39"/>
      <c r="AI32" s="13"/>
      <c r="AJ32" s="13"/>
      <c r="AK32" s="13"/>
      <c r="AL32" s="13"/>
      <c r="AM32" s="13"/>
      <c r="AN32" s="13"/>
      <c r="AO32" s="13"/>
      <c r="AP32" s="13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9"/>
      <c r="AH33" s="39"/>
      <c r="AI33" s="13"/>
      <c r="AJ33" s="13"/>
      <c r="AK33" s="13"/>
      <c r="AL33" s="13"/>
      <c r="AM33" s="13"/>
      <c r="AN33" s="13"/>
      <c r="AO33" s="13"/>
      <c r="AP33" s="13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9"/>
      <c r="AH34" s="39"/>
      <c r="AI34" s="13"/>
      <c r="AJ34" s="13"/>
      <c r="AK34" s="13"/>
      <c r="AL34" s="13"/>
      <c r="AM34" s="13"/>
      <c r="AN34" s="13"/>
      <c r="AO34" s="13"/>
      <c r="AP34" s="13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9"/>
      <c r="AH35" s="39"/>
      <c r="AI35" s="13"/>
      <c r="AJ35" s="13"/>
      <c r="AK35" s="13"/>
      <c r="AL35" s="13"/>
      <c r="AM35" s="13"/>
      <c r="AN35" s="13"/>
      <c r="AO35" s="13"/>
      <c r="AP35" s="13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9"/>
      <c r="AH36" s="39"/>
      <c r="AI36" s="13"/>
      <c r="AJ36" s="13"/>
      <c r="AK36" s="13"/>
      <c r="AL36" s="13"/>
      <c r="AM36" s="13"/>
      <c r="AN36" s="13"/>
      <c r="AO36" s="13"/>
      <c r="AP36" s="13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9"/>
      <c r="AH37" s="39"/>
      <c r="AI37" s="13"/>
      <c r="AJ37" s="13"/>
      <c r="AK37" s="13"/>
      <c r="AL37" s="13"/>
      <c r="AM37" s="13"/>
      <c r="AN37" s="13"/>
      <c r="AO37" s="13"/>
      <c r="AP37" s="13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9"/>
      <c r="AH38" s="39"/>
      <c r="AI38" s="13"/>
      <c r="AJ38" s="13"/>
      <c r="AK38" s="13"/>
      <c r="AL38" s="13"/>
      <c r="AM38" s="13"/>
      <c r="AN38" s="13"/>
      <c r="AO38" s="13"/>
      <c r="AP38" s="13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9"/>
      <c r="AH39" s="39"/>
      <c r="AI39" s="13"/>
      <c r="AJ39" s="13"/>
      <c r="AK39" s="13"/>
      <c r="AL39" s="13"/>
      <c r="AM39" s="13"/>
      <c r="AN39" s="13"/>
      <c r="AO39" s="13"/>
      <c r="AP39" s="13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9"/>
      <c r="AH40" s="39"/>
      <c r="AI40" s="13"/>
      <c r="AJ40" s="13"/>
      <c r="AK40" s="13"/>
      <c r="AL40" s="13"/>
      <c r="AM40" s="13"/>
      <c r="AN40" s="13"/>
      <c r="AO40" s="13"/>
      <c r="AP40" s="13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9"/>
      <c r="AH41" s="39"/>
      <c r="AI41" s="13"/>
      <c r="AJ41" s="13"/>
      <c r="AK41" s="13"/>
      <c r="AL41" s="13"/>
      <c r="AM41" s="13"/>
      <c r="AN41" s="13"/>
      <c r="AO41" s="13"/>
      <c r="AP41" s="13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9"/>
      <c r="AH42" s="39"/>
      <c r="AI42" s="13"/>
      <c r="AJ42" s="13"/>
      <c r="AK42" s="13"/>
      <c r="AL42" s="13"/>
      <c r="AM42" s="13"/>
      <c r="AN42" s="13"/>
      <c r="AO42" s="13"/>
      <c r="AP42" s="13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9"/>
      <c r="AH43" s="39"/>
      <c r="AI43" s="13"/>
      <c r="AJ43" s="13"/>
      <c r="AK43" s="13"/>
      <c r="AL43" s="13"/>
      <c r="AM43" s="13"/>
      <c r="AN43" s="13"/>
      <c r="AO43" s="13"/>
      <c r="AP43" s="13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9"/>
      <c r="AH44" s="39"/>
      <c r="AI44" s="13"/>
      <c r="AJ44" s="13"/>
      <c r="AK44" s="13"/>
      <c r="AL44" s="13"/>
      <c r="AM44" s="13"/>
      <c r="AN44" s="13"/>
      <c r="AO44" s="13"/>
      <c r="AP44" s="13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9"/>
      <c r="AH45" s="39"/>
      <c r="AI45" s="13"/>
      <c r="AJ45" s="13"/>
      <c r="AK45" s="13"/>
      <c r="AL45" s="13"/>
      <c r="AM45" s="13"/>
      <c r="AN45" s="13"/>
      <c r="AO45" s="13"/>
      <c r="AP45" s="13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9"/>
      <c r="AH46" s="39"/>
      <c r="AI46" s="13"/>
      <c r="AJ46" s="13"/>
      <c r="AK46" s="13"/>
      <c r="AL46" s="13"/>
      <c r="AM46" s="13"/>
      <c r="AN46" s="13"/>
      <c r="AO46" s="13"/>
      <c r="AP46" s="13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9"/>
      <c r="AH47" s="39"/>
      <c r="AI47" s="13"/>
      <c r="AJ47" s="13"/>
      <c r="AK47" s="13"/>
      <c r="AL47" s="13"/>
      <c r="AM47" s="13"/>
      <c r="AN47" s="13"/>
      <c r="AO47" s="13"/>
      <c r="AP47" s="13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9"/>
      <c r="AH48" s="39"/>
      <c r="AI48" s="13"/>
      <c r="AJ48" s="13"/>
      <c r="AK48" s="13"/>
      <c r="AL48" s="13"/>
      <c r="AM48" s="13"/>
      <c r="AN48" s="13"/>
      <c r="AO48" s="13"/>
      <c r="AP48" s="13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9"/>
      <c r="AH49" s="39"/>
      <c r="AI49" s="13"/>
      <c r="AJ49" s="13"/>
      <c r="AK49" s="13"/>
      <c r="AL49" s="13"/>
      <c r="AM49" s="13"/>
      <c r="AN49" s="13"/>
      <c r="AO49" s="13"/>
      <c r="AP49" s="13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9"/>
      <c r="AH50" s="39"/>
      <c r="AI50" s="13"/>
      <c r="AJ50" s="13"/>
      <c r="AK50" s="13"/>
      <c r="AL50" s="13"/>
      <c r="AM50" s="13"/>
      <c r="AN50" s="13"/>
      <c r="AO50" s="13"/>
      <c r="AP50" s="13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9"/>
      <c r="AH51" s="39"/>
      <c r="AI51" s="13"/>
      <c r="AJ51" s="13"/>
      <c r="AK51" s="13"/>
      <c r="AL51" s="13"/>
      <c r="AM51" s="13"/>
      <c r="AN51" s="13"/>
      <c r="AO51" s="13"/>
      <c r="AP51" s="13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9"/>
      <c r="AH52" s="39"/>
      <c r="AI52" s="13"/>
      <c r="AJ52" s="13"/>
      <c r="AK52" s="13"/>
      <c r="AL52" s="13"/>
      <c r="AM52" s="13"/>
      <c r="AN52" s="13"/>
      <c r="AO52" s="13"/>
      <c r="AP52" s="13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9"/>
      <c r="AH53" s="39"/>
      <c r="AI53" s="13"/>
      <c r="AJ53" s="13"/>
      <c r="AK53" s="13"/>
      <c r="AL53" s="13"/>
      <c r="AM53" s="13"/>
      <c r="AN53" s="13"/>
      <c r="AO53" s="13"/>
      <c r="AP53" s="13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9"/>
      <c r="AH54" s="39"/>
      <c r="AI54" s="13"/>
      <c r="AJ54" s="13"/>
      <c r="AK54" s="13"/>
      <c r="AL54" s="13"/>
      <c r="AM54" s="13"/>
      <c r="AN54" s="13"/>
      <c r="AO54" s="13"/>
      <c r="AP54" s="13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9"/>
      <c r="AH55" s="39"/>
      <c r="AI55" s="13"/>
      <c r="AJ55" s="13"/>
      <c r="AK55" s="13"/>
      <c r="AL55" s="13"/>
      <c r="AM55" s="13"/>
      <c r="AN55" s="13"/>
      <c r="AO55" s="13"/>
      <c r="AP55" s="13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9"/>
      <c r="AH56" s="39"/>
      <c r="AI56" s="13"/>
      <c r="AJ56" s="13"/>
      <c r="AK56" s="13"/>
      <c r="AL56" s="13"/>
      <c r="AM56" s="13"/>
      <c r="AN56" s="13"/>
      <c r="AO56" s="13"/>
      <c r="AP56" s="13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9"/>
      <c r="AH57" s="39"/>
      <c r="AI57" s="13"/>
      <c r="AJ57" s="13"/>
      <c r="AK57" s="13"/>
      <c r="AL57" s="13"/>
      <c r="AM57" s="13"/>
      <c r="AN57" s="13"/>
      <c r="AO57" s="13"/>
      <c r="AP57" s="13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9"/>
      <c r="AH58" s="39"/>
      <c r="AI58" s="13"/>
      <c r="AJ58" s="13"/>
      <c r="AK58" s="13"/>
      <c r="AL58" s="13"/>
      <c r="AM58" s="13"/>
      <c r="AN58" s="13"/>
      <c r="AO58" s="13"/>
      <c r="AP58" s="13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9"/>
      <c r="AH59" s="39"/>
      <c r="AI59" s="13"/>
      <c r="AJ59" s="13"/>
      <c r="AK59" s="13"/>
      <c r="AL59" s="13"/>
      <c r="AM59" s="13"/>
      <c r="AN59" s="13"/>
      <c r="AO59" s="13"/>
      <c r="AP59" s="13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9"/>
      <c r="AH60" s="39"/>
      <c r="AI60" s="13"/>
      <c r="AJ60" s="13"/>
      <c r="AK60" s="13"/>
      <c r="AL60" s="13"/>
      <c r="AM60" s="13"/>
      <c r="AN60" s="13"/>
      <c r="AO60" s="13"/>
      <c r="AP60" s="13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9"/>
      <c r="AH61" s="39"/>
      <c r="AI61" s="13"/>
      <c r="AJ61" s="13"/>
      <c r="AK61" s="13"/>
      <c r="AL61" s="13"/>
      <c r="AM61" s="13"/>
      <c r="AN61" s="13"/>
      <c r="AO61" s="13"/>
      <c r="AP61" s="13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9"/>
      <c r="AH62" s="39"/>
      <c r="AI62" s="13"/>
      <c r="AJ62" s="13"/>
      <c r="AK62" s="13"/>
      <c r="AL62" s="13"/>
      <c r="AM62" s="13"/>
      <c r="AN62" s="13"/>
      <c r="AO62" s="13"/>
      <c r="AP62" s="13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9"/>
      <c r="AH63" s="39"/>
      <c r="AI63" s="13"/>
      <c r="AJ63" s="13"/>
      <c r="AK63" s="13"/>
      <c r="AL63" s="13"/>
      <c r="AM63" s="13"/>
      <c r="AN63" s="13"/>
      <c r="AO63" s="13"/>
      <c r="AP63" s="13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9"/>
      <c r="AH64" s="39"/>
      <c r="AI64" s="13"/>
      <c r="AJ64" s="13"/>
      <c r="AK64" s="13"/>
      <c r="AL64" s="13"/>
      <c r="AM64" s="13"/>
      <c r="AN64" s="13"/>
      <c r="AO64" s="13"/>
      <c r="AP64" s="13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9"/>
      <c r="AH65" s="39"/>
      <c r="AI65" s="13"/>
      <c r="AJ65" s="13"/>
      <c r="AK65" s="13"/>
      <c r="AL65" s="13"/>
      <c r="AM65" s="13"/>
      <c r="AN65" s="13"/>
      <c r="AO65" s="13"/>
      <c r="AP65" s="13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9"/>
      <c r="AH66" s="39"/>
      <c r="AI66" s="13"/>
      <c r="AJ66" s="13"/>
      <c r="AK66" s="13"/>
      <c r="AL66" s="13"/>
      <c r="AM66" s="13"/>
      <c r="AN66" s="13"/>
      <c r="AO66" s="13"/>
      <c r="AP66" s="13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9"/>
      <c r="AH67" s="39"/>
      <c r="AI67" s="13"/>
      <c r="AJ67" s="13"/>
      <c r="AK67" s="13"/>
      <c r="AL67" s="13"/>
      <c r="AM67" s="13"/>
      <c r="AN67" s="13"/>
      <c r="AO67" s="13"/>
      <c r="AP67" s="13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9"/>
      <c r="AH68" s="39"/>
      <c r="AI68" s="13"/>
      <c r="AJ68" s="13"/>
      <c r="AK68" s="13"/>
      <c r="AL68" s="13"/>
      <c r="AM68" s="13"/>
      <c r="AN68" s="13"/>
      <c r="AO68" s="13"/>
      <c r="AP68" s="13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9"/>
      <c r="AH69" s="39"/>
      <c r="AI69" s="13"/>
      <c r="AJ69" s="13"/>
      <c r="AK69" s="13"/>
      <c r="AL69" s="13"/>
      <c r="AM69" s="13"/>
      <c r="AN69" s="13"/>
      <c r="AO69" s="13"/>
      <c r="AP69" s="13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9"/>
      <c r="AH70" s="39"/>
      <c r="AI70" s="13"/>
      <c r="AJ70" s="13"/>
      <c r="AK70" s="13"/>
      <c r="AL70" s="13"/>
      <c r="AM70" s="13"/>
      <c r="AN70" s="13"/>
      <c r="AO70" s="13"/>
      <c r="AP70" s="13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9"/>
      <c r="AH71" s="39"/>
      <c r="AI71" s="13"/>
      <c r="AJ71" s="13"/>
      <c r="AK71" s="13"/>
      <c r="AL71" s="13"/>
      <c r="AM71" s="13"/>
      <c r="AN71" s="13"/>
      <c r="AO71" s="13"/>
      <c r="AP71" s="13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9"/>
      <c r="AH72" s="39"/>
      <c r="AI72" s="13"/>
      <c r="AJ72" s="13"/>
      <c r="AK72" s="13"/>
      <c r="AL72" s="13"/>
      <c r="AM72" s="13"/>
      <c r="AN72" s="13"/>
      <c r="AO72" s="13"/>
      <c r="AP72" s="13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9"/>
      <c r="AH73" s="39"/>
      <c r="AI73" s="13"/>
      <c r="AJ73" s="13"/>
      <c r="AK73" s="13"/>
      <c r="AL73" s="13"/>
      <c r="AM73" s="13"/>
      <c r="AN73" s="13"/>
      <c r="AO73" s="13"/>
      <c r="AP73" s="13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9"/>
      <c r="AH74" s="39"/>
      <c r="AI74" s="13"/>
      <c r="AJ74" s="13"/>
      <c r="AK74" s="13"/>
      <c r="AL74" s="13"/>
      <c r="AM74" s="13"/>
      <c r="AN74" s="13"/>
      <c r="AO74" s="13"/>
      <c r="AP74" s="13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9"/>
      <c r="AH75" s="39"/>
      <c r="AI75" s="13"/>
      <c r="AJ75" s="13"/>
      <c r="AK75" s="13"/>
      <c r="AL75" s="13"/>
      <c r="AM75" s="13"/>
      <c r="AN75" s="13"/>
      <c r="AO75" s="13"/>
      <c r="AP75" s="13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9"/>
      <c r="AH76" s="39"/>
      <c r="AI76" s="13"/>
      <c r="AJ76" s="13"/>
      <c r="AK76" s="13"/>
      <c r="AL76" s="13"/>
      <c r="AM76" s="13"/>
      <c r="AN76" s="13"/>
      <c r="AO76" s="13"/>
      <c r="AP76" s="13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9"/>
      <c r="AH77" s="39"/>
      <c r="AI77" s="13"/>
      <c r="AJ77" s="13"/>
      <c r="AK77" s="13"/>
      <c r="AL77" s="13"/>
      <c r="AM77" s="13"/>
      <c r="AN77" s="13"/>
      <c r="AO77" s="13"/>
      <c r="AP77" s="13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9"/>
      <c r="AH78" s="39"/>
      <c r="AI78" s="13"/>
      <c r="AJ78" s="13"/>
      <c r="AK78" s="13"/>
      <c r="AL78" s="13"/>
      <c r="AM78" s="13"/>
      <c r="AN78" s="13"/>
      <c r="AO78" s="13"/>
      <c r="AP78" s="13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9"/>
      <c r="AH79" s="39"/>
      <c r="AI79" s="13"/>
      <c r="AJ79" s="13"/>
      <c r="AK79" s="13"/>
      <c r="AL79" s="13"/>
      <c r="AM79" s="13"/>
      <c r="AN79" s="13"/>
      <c r="AO79" s="13"/>
      <c r="AP79" s="13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9"/>
      <c r="AH80" s="39"/>
      <c r="AI80" s="13"/>
      <c r="AJ80" s="13"/>
      <c r="AK80" s="13"/>
      <c r="AL80" s="13"/>
      <c r="AM80" s="13"/>
      <c r="AN80" s="13"/>
      <c r="AO80" s="13"/>
      <c r="AP80" s="13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9"/>
      <c r="AH81" s="39"/>
      <c r="AI81" s="13"/>
      <c r="AJ81" s="13"/>
      <c r="AK81" s="13"/>
      <c r="AL81" s="13"/>
      <c r="AM81" s="13"/>
      <c r="AN81" s="13"/>
      <c r="AO81" s="13"/>
      <c r="AP81" s="13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9"/>
      <c r="AH82" s="39"/>
      <c r="AI82" s="13"/>
      <c r="AJ82" s="13"/>
      <c r="AK82" s="13"/>
      <c r="AL82" s="13"/>
      <c r="AM82" s="13"/>
      <c r="AN82" s="13"/>
      <c r="AO82" s="13"/>
      <c r="AP82" s="13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9"/>
      <c r="AH83" s="39"/>
      <c r="AI83" s="13"/>
      <c r="AJ83" s="13"/>
      <c r="AK83" s="13"/>
      <c r="AL83" s="13"/>
      <c r="AM83" s="13"/>
      <c r="AN83" s="13"/>
      <c r="AO83" s="13"/>
      <c r="AP83" s="13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9"/>
      <c r="AH84" s="39"/>
      <c r="AI84" s="13"/>
      <c r="AJ84" s="13"/>
      <c r="AK84" s="13"/>
      <c r="AL84" s="13"/>
      <c r="AM84" s="13"/>
      <c r="AN84" s="13"/>
      <c r="AO84" s="13"/>
      <c r="AP84" s="13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9"/>
      <c r="AH85" s="39"/>
      <c r="AI85" s="13"/>
      <c r="AJ85" s="13"/>
      <c r="AK85" s="13"/>
      <c r="AL85" s="13"/>
      <c r="AM85" s="13"/>
      <c r="AN85" s="13"/>
      <c r="AO85" s="13"/>
      <c r="AP85" s="13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9"/>
      <c r="AH86" s="39"/>
      <c r="AI86" s="13"/>
      <c r="AJ86" s="13"/>
      <c r="AK86" s="13"/>
      <c r="AL86" s="13"/>
      <c r="AM86" s="13"/>
      <c r="AN86" s="13"/>
      <c r="AO86" s="13"/>
      <c r="AP86" s="13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9"/>
      <c r="AH87" s="39"/>
      <c r="AI87" s="13"/>
      <c r="AJ87" s="13"/>
      <c r="AK87" s="13"/>
      <c r="AL87" s="13"/>
      <c r="AM87" s="13"/>
      <c r="AN87" s="13"/>
      <c r="AO87" s="13"/>
      <c r="AP87" s="13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9"/>
      <c r="AH88" s="39"/>
      <c r="AI88" s="13"/>
      <c r="AJ88" s="13"/>
      <c r="AK88" s="13"/>
      <c r="AL88" s="13"/>
      <c r="AM88" s="13"/>
      <c r="AN88" s="13"/>
      <c r="AO88" s="13"/>
      <c r="AP88" s="13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9"/>
      <c r="AH89" s="39"/>
      <c r="AI89" s="13"/>
      <c r="AJ89" s="13"/>
      <c r="AK89" s="13"/>
      <c r="AL89" s="13"/>
      <c r="AM89" s="13"/>
      <c r="AN89" s="13"/>
      <c r="AO89" s="13"/>
      <c r="AP89" s="13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9"/>
      <c r="AH90" s="39"/>
      <c r="AI90" s="13"/>
      <c r="AJ90" s="13"/>
      <c r="AK90" s="13"/>
      <c r="AL90" s="13"/>
      <c r="AM90" s="13"/>
      <c r="AN90" s="13"/>
      <c r="AO90" s="13"/>
      <c r="AP90" s="13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9"/>
      <c r="AH91" s="39"/>
      <c r="AI91" s="13"/>
      <c r="AJ91" s="13"/>
      <c r="AK91" s="13"/>
      <c r="AL91" s="13"/>
      <c r="AM91" s="13"/>
      <c r="AN91" s="13"/>
      <c r="AO91" s="13"/>
      <c r="AP91" s="13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9"/>
      <c r="AH92" s="39"/>
      <c r="AI92" s="13"/>
      <c r="AJ92" s="13"/>
      <c r="AK92" s="13"/>
      <c r="AL92" s="13"/>
      <c r="AM92" s="13"/>
      <c r="AN92" s="13"/>
      <c r="AO92" s="13"/>
      <c r="AP92" s="13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9"/>
      <c r="AH93" s="39"/>
      <c r="AI93" s="13"/>
      <c r="AJ93" s="13"/>
      <c r="AK93" s="13"/>
      <c r="AL93" s="13"/>
      <c r="AM93" s="13"/>
      <c r="AN93" s="13"/>
      <c r="AO93" s="13"/>
      <c r="AP93" s="13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9"/>
      <c r="AH94" s="39"/>
      <c r="AI94" s="13"/>
      <c r="AJ94" s="13"/>
      <c r="AK94" s="13"/>
      <c r="AL94" s="13"/>
      <c r="AM94" s="13"/>
      <c r="AN94" s="13"/>
      <c r="AO94" s="13"/>
      <c r="AP94" s="13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9"/>
      <c r="AH95" s="39"/>
      <c r="AI95" s="13"/>
      <c r="AJ95" s="13"/>
      <c r="AK95" s="13"/>
      <c r="AL95" s="13"/>
      <c r="AM95" s="13"/>
      <c r="AN95" s="13"/>
      <c r="AO95" s="13"/>
      <c r="AP95" s="13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9"/>
      <c r="AH96" s="39"/>
      <c r="AI96" s="13"/>
      <c r="AJ96" s="13"/>
      <c r="AK96" s="13"/>
      <c r="AL96" s="13"/>
      <c r="AM96" s="13"/>
      <c r="AN96" s="13"/>
      <c r="AO96" s="13"/>
      <c r="AP96" s="13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9"/>
      <c r="AH97" s="39"/>
      <c r="AI97" s="13"/>
      <c r="AJ97" s="13"/>
      <c r="AK97" s="13"/>
      <c r="AL97" s="13"/>
      <c r="AM97" s="13"/>
      <c r="AN97" s="13"/>
      <c r="AO97" s="13"/>
      <c r="AP97" s="13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9"/>
      <c r="AH98" s="39"/>
      <c r="AI98" s="13"/>
      <c r="AJ98" s="13"/>
      <c r="AK98" s="13"/>
      <c r="AL98" s="13"/>
      <c r="AM98" s="13"/>
      <c r="AN98" s="13"/>
      <c r="AO98" s="13"/>
      <c r="AP98" s="13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9"/>
      <c r="AH99" s="39"/>
      <c r="AI99" s="13"/>
      <c r="AJ99" s="13"/>
      <c r="AK99" s="13"/>
      <c r="AL99" s="13"/>
      <c r="AM99" s="13"/>
      <c r="AN99" s="13"/>
      <c r="AO99" s="13"/>
      <c r="AP99" s="13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9"/>
      <c r="AH100" s="39"/>
      <c r="AI100" s="13"/>
      <c r="AJ100" s="13"/>
      <c r="AK100" s="13"/>
      <c r="AL100" s="13"/>
      <c r="AM100" s="13"/>
      <c r="AN100" s="13"/>
      <c r="AO100" s="13"/>
      <c r="AP100" s="13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9"/>
      <c r="AH101" s="39"/>
      <c r="AI101" s="13"/>
      <c r="AJ101" s="13"/>
      <c r="AK101" s="13"/>
      <c r="AL101" s="13"/>
      <c r="AM101" s="13"/>
      <c r="AN101" s="13"/>
      <c r="AO101" s="13"/>
      <c r="AP101" s="13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9"/>
      <c r="AH102" s="39"/>
      <c r="AI102" s="13"/>
      <c r="AJ102" s="13"/>
      <c r="AK102" s="13"/>
      <c r="AL102" s="13"/>
      <c r="AM102" s="13"/>
      <c r="AN102" s="13"/>
      <c r="AO102" s="13"/>
      <c r="AP102" s="13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9"/>
      <c r="AH103" s="39"/>
      <c r="AI103" s="13"/>
      <c r="AJ103" s="13"/>
      <c r="AK103" s="13"/>
      <c r="AL103" s="13"/>
      <c r="AM103" s="13"/>
      <c r="AN103" s="13"/>
      <c r="AO103" s="13"/>
      <c r="AP103" s="13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9"/>
      <c r="AH104" s="39"/>
      <c r="AI104" s="13"/>
      <c r="AJ104" s="13"/>
      <c r="AK104" s="13"/>
      <c r="AL104" s="13"/>
      <c r="AM104" s="13"/>
      <c r="AN104" s="13"/>
      <c r="AO104" s="13"/>
      <c r="AP104" s="13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9"/>
      <c r="AH105" s="39"/>
      <c r="AI105" s="13"/>
      <c r="AJ105" s="13"/>
      <c r="AK105" s="13"/>
      <c r="AL105" s="13"/>
      <c r="AM105" s="13"/>
      <c r="AN105" s="13"/>
      <c r="AO105" s="13"/>
      <c r="AP105" s="13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9"/>
      <c r="AH106" s="39"/>
      <c r="AI106" s="13"/>
      <c r="AJ106" s="13"/>
      <c r="AK106" s="13"/>
      <c r="AL106" s="13"/>
      <c r="AM106" s="13"/>
      <c r="AN106" s="13"/>
      <c r="AO106" s="13"/>
      <c r="AP106" s="13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9"/>
      <c r="AH107" s="39"/>
      <c r="AI107" s="13"/>
      <c r="AJ107" s="13"/>
      <c r="AK107" s="13"/>
      <c r="AL107" s="13"/>
      <c r="AM107" s="13"/>
      <c r="AN107" s="13"/>
      <c r="AO107" s="13"/>
      <c r="AP107" s="13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9"/>
      <c r="AH108" s="39"/>
      <c r="AI108" s="13"/>
      <c r="AJ108" s="13"/>
      <c r="AK108" s="13"/>
      <c r="AL108" s="13"/>
      <c r="AM108" s="13"/>
      <c r="AN108" s="13"/>
      <c r="AO108" s="13"/>
      <c r="AP108" s="13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9"/>
      <c r="AH109" s="39"/>
      <c r="AI109" s="13"/>
      <c r="AJ109" s="13"/>
      <c r="AK109" s="13"/>
      <c r="AL109" s="13"/>
      <c r="AM109" s="13"/>
      <c r="AN109" s="13"/>
      <c r="AO109" s="13"/>
      <c r="AP109" s="13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9"/>
      <c r="AH110" s="39"/>
      <c r="AI110" s="13"/>
      <c r="AJ110" s="13"/>
      <c r="AK110" s="13"/>
      <c r="AL110" s="13"/>
      <c r="AM110" s="13"/>
      <c r="AN110" s="13"/>
      <c r="AO110" s="13"/>
      <c r="AP110" s="13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9"/>
      <c r="AH111" s="39"/>
      <c r="AI111" s="13"/>
      <c r="AJ111" s="13"/>
      <c r="AK111" s="13"/>
      <c r="AL111" s="13"/>
      <c r="AM111" s="13"/>
      <c r="AN111" s="13"/>
      <c r="AO111" s="13"/>
      <c r="AP111" s="13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9"/>
      <c r="AH112" s="39"/>
      <c r="AI112" s="13"/>
      <c r="AJ112" s="13"/>
      <c r="AK112" s="13"/>
      <c r="AL112" s="13"/>
      <c r="AM112" s="13"/>
      <c r="AN112" s="13"/>
      <c r="AO112" s="13"/>
      <c r="AP112" s="13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9"/>
      <c r="AH113" s="39"/>
      <c r="AI113" s="13"/>
      <c r="AJ113" s="13"/>
      <c r="AK113" s="13"/>
      <c r="AL113" s="13"/>
      <c r="AM113" s="13"/>
      <c r="AN113" s="13"/>
      <c r="AO113" s="13"/>
      <c r="AP113" s="13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9"/>
      <c r="AH114" s="39"/>
      <c r="AI114" s="13"/>
      <c r="AJ114" s="13"/>
      <c r="AK114" s="13"/>
      <c r="AL114" s="13"/>
      <c r="AM114" s="13"/>
      <c r="AN114" s="13"/>
      <c r="AO114" s="13"/>
      <c r="AP114" s="13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9"/>
      <c r="AH115" s="39"/>
      <c r="AI115" s="13"/>
      <c r="AJ115" s="13"/>
      <c r="AK115" s="13"/>
      <c r="AL115" s="13"/>
      <c r="AM115" s="13"/>
      <c r="AN115" s="13"/>
      <c r="AO115" s="13"/>
      <c r="AP115" s="13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9"/>
      <c r="AH116" s="39"/>
      <c r="AI116" s="13"/>
      <c r="AJ116" s="13"/>
      <c r="AK116" s="13"/>
      <c r="AL116" s="13"/>
      <c r="AM116" s="13"/>
      <c r="AN116" s="13"/>
      <c r="AO116" s="13"/>
      <c r="AP116" s="13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9"/>
      <c r="AH117" s="39"/>
      <c r="AI117" s="13"/>
      <c r="AJ117" s="13"/>
      <c r="AK117" s="13"/>
      <c r="AL117" s="13"/>
      <c r="AM117" s="13"/>
      <c r="AN117" s="13"/>
      <c r="AO117" s="13"/>
      <c r="AP117" s="13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9"/>
      <c r="AH118" s="39"/>
      <c r="AI118" s="13"/>
      <c r="AJ118" s="13"/>
      <c r="AK118" s="13"/>
      <c r="AL118" s="13"/>
      <c r="AM118" s="13"/>
      <c r="AN118" s="13"/>
      <c r="AO118" s="13"/>
      <c r="AP118" s="13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9"/>
      <c r="AH119" s="39"/>
      <c r="AI119" s="13"/>
      <c r="AJ119" s="13"/>
      <c r="AK119" s="13"/>
      <c r="AL119" s="13"/>
      <c r="AM119" s="13"/>
      <c r="AN119" s="13"/>
      <c r="AO119" s="13"/>
      <c r="AP119" s="13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9"/>
      <c r="AH120" s="39"/>
      <c r="AI120" s="13"/>
      <c r="AJ120" s="13"/>
      <c r="AK120" s="13"/>
      <c r="AL120" s="13"/>
      <c r="AM120" s="13"/>
      <c r="AN120" s="13"/>
      <c r="AO120" s="13"/>
      <c r="AP120" s="13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9"/>
      <c r="AH121" s="39"/>
      <c r="AI121" s="13"/>
      <c r="AJ121" s="13"/>
      <c r="AK121" s="13"/>
      <c r="AL121" s="13"/>
      <c r="AM121" s="13"/>
      <c r="AN121" s="13"/>
      <c r="AO121" s="13"/>
      <c r="AP121" s="13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9"/>
      <c r="AH122" s="39"/>
      <c r="AI122" s="13"/>
      <c r="AJ122" s="13"/>
      <c r="AK122" s="13"/>
      <c r="AL122" s="13"/>
      <c r="AM122" s="13"/>
      <c r="AN122" s="13"/>
      <c r="AO122" s="13"/>
      <c r="AP122" s="13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9"/>
      <c r="AH123" s="39"/>
      <c r="AI123" s="13"/>
      <c r="AJ123" s="13"/>
      <c r="AK123" s="13"/>
      <c r="AL123" s="13"/>
      <c r="AM123" s="13"/>
      <c r="AN123" s="13"/>
      <c r="AO123" s="13"/>
      <c r="AP123" s="13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9"/>
      <c r="AH124" s="39"/>
      <c r="AI124" s="13"/>
      <c r="AJ124" s="13"/>
      <c r="AK124" s="13"/>
      <c r="AL124" s="13"/>
      <c r="AM124" s="13"/>
      <c r="AN124" s="13"/>
      <c r="AO124" s="13"/>
      <c r="AP124" s="13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9"/>
      <c r="AH125" s="39"/>
      <c r="AI125" s="13"/>
      <c r="AJ125" s="13"/>
      <c r="AK125" s="13"/>
      <c r="AL125" s="13"/>
      <c r="AM125" s="13"/>
      <c r="AN125" s="13"/>
      <c r="AO125" s="13"/>
      <c r="AP125" s="13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9"/>
      <c r="AH126" s="39"/>
      <c r="AI126" s="13"/>
      <c r="AJ126" s="13"/>
      <c r="AK126" s="13"/>
      <c r="AL126" s="13"/>
      <c r="AM126" s="13"/>
      <c r="AN126" s="13"/>
      <c r="AO126" s="13"/>
      <c r="AP126" s="13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9"/>
      <c r="AH127" s="39"/>
      <c r="AI127" s="13"/>
      <c r="AJ127" s="13"/>
      <c r="AK127" s="13"/>
      <c r="AL127" s="13"/>
      <c r="AM127" s="13"/>
      <c r="AN127" s="13"/>
      <c r="AO127" s="13"/>
      <c r="AP127" s="13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9"/>
      <c r="AH128" s="39"/>
      <c r="AI128" s="13"/>
      <c r="AJ128" s="13"/>
      <c r="AK128" s="13"/>
      <c r="AL128" s="13"/>
      <c r="AM128" s="13"/>
      <c r="AN128" s="13"/>
      <c r="AO128" s="13"/>
      <c r="AP128" s="13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9"/>
      <c r="AH129" s="39"/>
      <c r="AI129" s="13"/>
      <c r="AJ129" s="13"/>
      <c r="AK129" s="13"/>
      <c r="AL129" s="13"/>
      <c r="AM129" s="13"/>
      <c r="AN129" s="13"/>
      <c r="AO129" s="13"/>
      <c r="AP129" s="13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9"/>
      <c r="AH130" s="39"/>
      <c r="AI130" s="13"/>
      <c r="AJ130" s="13"/>
      <c r="AK130" s="13"/>
      <c r="AL130" s="13"/>
      <c r="AM130" s="13"/>
      <c r="AN130" s="13"/>
      <c r="AO130" s="13"/>
      <c r="AP130" s="13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9"/>
      <c r="AH131" s="39"/>
      <c r="AI131" s="13"/>
      <c r="AJ131" s="13"/>
      <c r="AK131" s="13"/>
      <c r="AL131" s="13"/>
      <c r="AM131" s="13"/>
      <c r="AN131" s="13"/>
      <c r="AO131" s="13"/>
      <c r="AP131" s="13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9"/>
      <c r="AH132" s="39"/>
      <c r="AI132" s="13"/>
      <c r="AJ132" s="13"/>
      <c r="AK132" s="13"/>
      <c r="AL132" s="13"/>
      <c r="AM132" s="13"/>
      <c r="AN132" s="13"/>
      <c r="AO132" s="13"/>
      <c r="AP132" s="13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9"/>
      <c r="AH133" s="39"/>
      <c r="AI133" s="13"/>
      <c r="AJ133" s="13"/>
      <c r="AK133" s="13"/>
      <c r="AL133" s="13"/>
      <c r="AM133" s="13"/>
      <c r="AN133" s="13"/>
      <c r="AO133" s="13"/>
      <c r="AP133" s="13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9"/>
      <c r="AH134" s="39"/>
      <c r="AI134" s="13"/>
      <c r="AJ134" s="13"/>
      <c r="AK134" s="13"/>
      <c r="AL134" s="13"/>
      <c r="AM134" s="13"/>
      <c r="AN134" s="13"/>
      <c r="AO134" s="13"/>
      <c r="AP134" s="13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9"/>
      <c r="AH135" s="39"/>
      <c r="AI135" s="13"/>
      <c r="AJ135" s="13"/>
      <c r="AK135" s="13"/>
      <c r="AL135" s="13"/>
      <c r="AM135" s="13"/>
      <c r="AN135" s="13"/>
      <c r="AO135" s="13"/>
      <c r="AP135" s="13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9"/>
      <c r="AH136" s="39"/>
      <c r="AI136" s="13"/>
      <c r="AJ136" s="13"/>
      <c r="AK136" s="13"/>
      <c r="AL136" s="13"/>
      <c r="AM136" s="13"/>
      <c r="AN136" s="13"/>
      <c r="AO136" s="13"/>
      <c r="AP136" s="13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9"/>
      <c r="AH137" s="39"/>
      <c r="AI137" s="13"/>
      <c r="AJ137" s="13"/>
      <c r="AK137" s="13"/>
      <c r="AL137" s="13"/>
      <c r="AM137" s="13"/>
      <c r="AN137" s="13"/>
      <c r="AO137" s="13"/>
      <c r="AP137" s="13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9"/>
      <c r="AH138" s="39"/>
      <c r="AI138" s="13"/>
      <c r="AJ138" s="13"/>
      <c r="AK138" s="13"/>
      <c r="AL138" s="13"/>
      <c r="AM138" s="13"/>
      <c r="AN138" s="13"/>
      <c r="AO138" s="13"/>
      <c r="AP138" s="13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9"/>
      <c r="AH139" s="39"/>
      <c r="AI139" s="13"/>
      <c r="AJ139" s="13"/>
      <c r="AK139" s="13"/>
      <c r="AL139" s="13"/>
      <c r="AM139" s="13"/>
      <c r="AN139" s="13"/>
      <c r="AO139" s="13"/>
      <c r="AP139" s="13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9"/>
      <c r="AH140" s="39"/>
      <c r="AI140" s="13"/>
      <c r="AJ140" s="13"/>
      <c r="AK140" s="13"/>
      <c r="AL140" s="13"/>
      <c r="AM140" s="13"/>
      <c r="AN140" s="13"/>
      <c r="AO140" s="13"/>
      <c r="AP140" s="13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9"/>
      <c r="AH141" s="39"/>
      <c r="AI141" s="13"/>
      <c r="AJ141" s="13"/>
      <c r="AK141" s="13"/>
      <c r="AL141" s="13"/>
      <c r="AM141" s="13"/>
      <c r="AN141" s="13"/>
      <c r="AO141" s="13"/>
      <c r="AP141" s="13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9"/>
      <c r="AH142" s="39"/>
      <c r="AI142" s="13"/>
      <c r="AJ142" s="13"/>
      <c r="AK142" s="13"/>
      <c r="AL142" s="13"/>
      <c r="AM142" s="13"/>
      <c r="AN142" s="13"/>
      <c r="AO142" s="13"/>
      <c r="AP142" s="13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9"/>
      <c r="AH143" s="39"/>
      <c r="AI143" s="13"/>
      <c r="AJ143" s="13"/>
      <c r="AK143" s="13"/>
      <c r="AL143" s="13"/>
      <c r="AM143" s="13"/>
      <c r="AN143" s="13"/>
      <c r="AO143" s="13"/>
      <c r="AP143" s="13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9"/>
      <c r="AH144" s="39"/>
      <c r="AI144" s="13"/>
      <c r="AJ144" s="13"/>
      <c r="AK144" s="13"/>
      <c r="AL144" s="13"/>
      <c r="AM144" s="13"/>
      <c r="AN144" s="13"/>
      <c r="AO144" s="13"/>
      <c r="AP144" s="13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9"/>
      <c r="AH145" s="39"/>
      <c r="AI145" s="13"/>
      <c r="AJ145" s="13"/>
      <c r="AK145" s="13"/>
      <c r="AL145" s="13"/>
      <c r="AM145" s="13"/>
      <c r="AN145" s="13"/>
      <c r="AO145" s="13"/>
      <c r="AP145" s="13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9"/>
      <c r="AH146" s="39"/>
      <c r="AI146" s="13"/>
      <c r="AJ146" s="13"/>
      <c r="AK146" s="13"/>
      <c r="AL146" s="13"/>
      <c r="AM146" s="13"/>
      <c r="AN146" s="13"/>
      <c r="AO146" s="13"/>
      <c r="AP146" s="13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9"/>
      <c r="AH147" s="39"/>
      <c r="AI147" s="13"/>
      <c r="AJ147" s="13"/>
      <c r="AK147" s="13"/>
      <c r="AL147" s="13"/>
      <c r="AM147" s="13"/>
      <c r="AN147" s="13"/>
      <c r="AO147" s="13"/>
      <c r="AP147" s="13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9"/>
      <c r="AH148" s="39"/>
      <c r="AI148" s="13"/>
      <c r="AJ148" s="13"/>
      <c r="AK148" s="13"/>
      <c r="AL148" s="13"/>
      <c r="AM148" s="13"/>
      <c r="AN148" s="13"/>
      <c r="AO148" s="13"/>
      <c r="AP148" s="13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9"/>
      <c r="AH149" s="39"/>
      <c r="AI149" s="13"/>
      <c r="AJ149" s="13"/>
      <c r="AK149" s="13"/>
      <c r="AL149" s="13"/>
      <c r="AM149" s="13"/>
      <c r="AN149" s="13"/>
      <c r="AO149" s="13"/>
      <c r="AP149" s="13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9"/>
      <c r="AH150" s="39"/>
      <c r="AI150" s="13"/>
      <c r="AJ150" s="13"/>
      <c r="AK150" s="13"/>
      <c r="AL150" s="13"/>
      <c r="AM150" s="13"/>
      <c r="AN150" s="13"/>
      <c r="AO150" s="13"/>
      <c r="AP150" s="13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9"/>
      <c r="AH151" s="39"/>
      <c r="AI151" s="13"/>
      <c r="AJ151" s="13"/>
      <c r="AK151" s="13"/>
      <c r="AL151" s="13"/>
      <c r="AM151" s="13"/>
      <c r="AN151" s="13"/>
      <c r="AO151" s="13"/>
      <c r="AP151" s="13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9"/>
      <c r="AH152" s="39"/>
      <c r="AI152" s="13"/>
      <c r="AJ152" s="13"/>
      <c r="AK152" s="13"/>
      <c r="AL152" s="13"/>
      <c r="AM152" s="13"/>
      <c r="AN152" s="13"/>
      <c r="AO152" s="13"/>
      <c r="AP152" s="13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9"/>
      <c r="AH153" s="39"/>
      <c r="AI153" s="13"/>
      <c r="AJ153" s="13"/>
      <c r="AK153" s="13"/>
      <c r="AL153" s="13"/>
      <c r="AM153" s="13"/>
      <c r="AN153" s="13"/>
      <c r="AO153" s="13"/>
      <c r="AP153" s="13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9"/>
      <c r="AH154" s="39"/>
      <c r="AI154" s="13"/>
      <c r="AJ154" s="13"/>
      <c r="AK154" s="13"/>
      <c r="AL154" s="13"/>
      <c r="AM154" s="13"/>
      <c r="AN154" s="13"/>
      <c r="AO154" s="13"/>
      <c r="AP154" s="13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9"/>
      <c r="AH155" s="39"/>
      <c r="AI155" s="13"/>
      <c r="AJ155" s="13"/>
      <c r="AK155" s="13"/>
      <c r="AL155" s="13"/>
      <c r="AM155" s="13"/>
      <c r="AN155" s="13"/>
      <c r="AO155" s="13"/>
      <c r="AP155" s="13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9"/>
      <c r="AH156" s="39"/>
      <c r="AI156" s="13"/>
      <c r="AJ156" s="13"/>
      <c r="AK156" s="13"/>
      <c r="AL156" s="13"/>
      <c r="AM156" s="13"/>
      <c r="AN156" s="13"/>
      <c r="AO156" s="13"/>
      <c r="AP156" s="13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9"/>
      <c r="AH157" s="39"/>
      <c r="AI157" s="13"/>
      <c r="AJ157" s="13"/>
      <c r="AK157" s="13"/>
      <c r="AL157" s="13"/>
      <c r="AM157" s="13"/>
      <c r="AN157" s="13"/>
      <c r="AO157" s="13"/>
      <c r="AP157" s="13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9"/>
      <c r="AH158" s="39"/>
      <c r="AI158" s="13"/>
      <c r="AJ158" s="13"/>
      <c r="AK158" s="13"/>
      <c r="AL158" s="13"/>
      <c r="AM158" s="13"/>
      <c r="AN158" s="13"/>
      <c r="AO158" s="13"/>
      <c r="AP158" s="13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9"/>
      <c r="AH159" s="39"/>
      <c r="AI159" s="13"/>
      <c r="AJ159" s="13"/>
      <c r="AK159" s="13"/>
      <c r="AL159" s="13"/>
      <c r="AM159" s="13"/>
      <c r="AN159" s="13"/>
      <c r="AO159" s="13"/>
      <c r="AP159" s="13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9"/>
      <c r="AH160" s="39"/>
      <c r="AI160" s="13"/>
      <c r="AJ160" s="13"/>
      <c r="AK160" s="13"/>
      <c r="AL160" s="13"/>
      <c r="AM160" s="13"/>
      <c r="AN160" s="13"/>
      <c r="AO160" s="13"/>
      <c r="AP160" s="13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9"/>
      <c r="AH161" s="39"/>
      <c r="AI161" s="13"/>
      <c r="AJ161" s="13"/>
      <c r="AK161" s="13"/>
      <c r="AL161" s="13"/>
      <c r="AM161" s="13"/>
      <c r="AN161" s="13"/>
      <c r="AO161" s="13"/>
      <c r="AP161" s="13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9"/>
      <c r="AH162" s="39"/>
      <c r="AI162" s="13"/>
      <c r="AJ162" s="13"/>
      <c r="AK162" s="13"/>
      <c r="AL162" s="13"/>
      <c r="AM162" s="13"/>
      <c r="AN162" s="13"/>
      <c r="AO162" s="13"/>
      <c r="AP162" s="13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9"/>
      <c r="AH163" s="39"/>
      <c r="AI163" s="13"/>
      <c r="AJ163" s="13"/>
      <c r="AK163" s="13"/>
      <c r="AL163" s="13"/>
      <c r="AM163" s="13"/>
      <c r="AN163" s="13"/>
      <c r="AO163" s="13"/>
      <c r="AP163" s="13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9"/>
      <c r="AH164" s="39"/>
      <c r="AI164" s="13"/>
      <c r="AJ164" s="13"/>
      <c r="AK164" s="13"/>
      <c r="AL164" s="13"/>
      <c r="AM164" s="13"/>
      <c r="AN164" s="13"/>
      <c r="AO164" s="13"/>
      <c r="AP164" s="13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9"/>
      <c r="AH165" s="39"/>
      <c r="AI165" s="13"/>
      <c r="AJ165" s="13"/>
      <c r="AK165" s="13"/>
      <c r="AL165" s="13"/>
      <c r="AM165" s="13"/>
      <c r="AN165" s="13"/>
      <c r="AO165" s="13"/>
      <c r="AP165" s="13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9"/>
      <c r="AH166" s="39"/>
      <c r="AI166" s="13"/>
      <c r="AJ166" s="13"/>
      <c r="AK166" s="13"/>
      <c r="AL166" s="13"/>
      <c r="AM166" s="13"/>
      <c r="AN166" s="13"/>
      <c r="AO166" s="13"/>
      <c r="AP166" s="13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9"/>
      <c r="AH167" s="39"/>
      <c r="AI167" s="13"/>
      <c r="AJ167" s="13"/>
      <c r="AK167" s="13"/>
      <c r="AL167" s="13"/>
      <c r="AM167" s="13"/>
      <c r="AN167" s="13"/>
      <c r="AO167" s="13"/>
      <c r="AP167" s="13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9"/>
      <c r="AH168" s="39"/>
      <c r="AI168" s="13"/>
      <c r="AJ168" s="13"/>
      <c r="AK168" s="13"/>
      <c r="AL168" s="13"/>
      <c r="AM168" s="13"/>
      <c r="AN168" s="13"/>
      <c r="AO168" s="13"/>
      <c r="AP168" s="13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9"/>
      <c r="AH169" s="39"/>
      <c r="AI169" s="13"/>
      <c r="AJ169" s="13"/>
      <c r="AK169" s="13"/>
      <c r="AL169" s="13"/>
      <c r="AM169" s="13"/>
      <c r="AN169" s="13"/>
      <c r="AO169" s="13"/>
      <c r="AP169" s="13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9"/>
      <c r="AH170" s="39"/>
      <c r="AI170" s="13"/>
      <c r="AJ170" s="13"/>
      <c r="AK170" s="13"/>
      <c r="AL170" s="13"/>
      <c r="AM170" s="13"/>
      <c r="AN170" s="13"/>
      <c r="AO170" s="13"/>
      <c r="AP170" s="13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9"/>
      <c r="AH171" s="39"/>
      <c r="AI171" s="13"/>
      <c r="AJ171" s="13"/>
      <c r="AK171" s="13"/>
      <c r="AL171" s="13"/>
      <c r="AM171" s="13"/>
      <c r="AN171" s="13"/>
      <c r="AO171" s="13"/>
      <c r="AP171" s="13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9"/>
      <c r="AH172" s="39"/>
      <c r="AI172" s="13"/>
      <c r="AJ172" s="13"/>
      <c r="AK172" s="13"/>
      <c r="AL172" s="13"/>
      <c r="AM172" s="13"/>
      <c r="AN172" s="13"/>
      <c r="AO172" s="13"/>
      <c r="AP172" s="13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9"/>
      <c r="AH173" s="39"/>
      <c r="AI173" s="13"/>
      <c r="AJ173" s="13"/>
      <c r="AK173" s="13"/>
      <c r="AL173" s="13"/>
      <c r="AM173" s="13"/>
      <c r="AN173" s="13"/>
      <c r="AO173" s="13"/>
      <c r="AP173" s="13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9"/>
      <c r="AH174" s="39"/>
      <c r="AI174" s="13"/>
      <c r="AJ174" s="13"/>
      <c r="AK174" s="13"/>
      <c r="AL174" s="13"/>
      <c r="AM174" s="13"/>
      <c r="AN174" s="13"/>
      <c r="AO174" s="13"/>
      <c r="AP174" s="13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9"/>
      <c r="AH175" s="39"/>
      <c r="AI175" s="13"/>
      <c r="AJ175" s="13"/>
      <c r="AK175" s="13"/>
      <c r="AL175" s="13"/>
      <c r="AM175" s="13"/>
      <c r="AN175" s="13"/>
      <c r="AO175" s="13"/>
      <c r="AP175" s="13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9"/>
      <c r="AH176" s="39"/>
      <c r="AI176" s="13"/>
      <c r="AJ176" s="13"/>
      <c r="AK176" s="13"/>
      <c r="AL176" s="13"/>
      <c r="AM176" s="13"/>
      <c r="AN176" s="13"/>
      <c r="AO176" s="13"/>
      <c r="AP176" s="13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9"/>
      <c r="AH177" s="39"/>
      <c r="AI177" s="13"/>
      <c r="AJ177" s="13"/>
      <c r="AK177" s="13"/>
      <c r="AL177" s="13"/>
      <c r="AM177" s="13"/>
      <c r="AN177" s="13"/>
      <c r="AO177" s="13"/>
      <c r="AP177" s="13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9"/>
      <c r="AH178" s="39"/>
      <c r="AI178" s="13"/>
      <c r="AJ178" s="13"/>
      <c r="AK178" s="13"/>
      <c r="AL178" s="13"/>
      <c r="AM178" s="13"/>
      <c r="AN178" s="13"/>
      <c r="AO178" s="13"/>
      <c r="AP178" s="13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9"/>
      <c r="AH179" s="39"/>
      <c r="AI179" s="13"/>
      <c r="AJ179" s="13"/>
      <c r="AK179" s="13"/>
      <c r="AL179" s="13"/>
      <c r="AM179" s="13"/>
      <c r="AN179" s="13"/>
      <c r="AO179" s="13"/>
      <c r="AP179" s="13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9"/>
      <c r="AH180" s="39"/>
      <c r="AI180" s="13"/>
      <c r="AJ180" s="13"/>
      <c r="AK180" s="13"/>
      <c r="AL180" s="13"/>
      <c r="AM180" s="13"/>
      <c r="AN180" s="13"/>
      <c r="AO180" s="13"/>
      <c r="AP180" s="13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9"/>
      <c r="AH181" s="39"/>
      <c r="AI181" s="13"/>
      <c r="AJ181" s="13"/>
      <c r="AK181" s="13"/>
      <c r="AL181" s="13"/>
      <c r="AM181" s="13"/>
      <c r="AN181" s="13"/>
      <c r="AO181" s="13"/>
      <c r="AP181" s="13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9"/>
      <c r="AH182" s="39"/>
      <c r="AI182" s="13"/>
      <c r="AJ182" s="13"/>
      <c r="AK182" s="13"/>
      <c r="AL182" s="13"/>
      <c r="AM182" s="13"/>
      <c r="AN182" s="13"/>
      <c r="AO182" s="13"/>
      <c r="AP182" s="13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9"/>
      <c r="AH183" s="39"/>
      <c r="AI183" s="13"/>
      <c r="AJ183" s="13"/>
      <c r="AK183" s="13"/>
      <c r="AL183" s="13"/>
      <c r="AM183" s="13"/>
      <c r="AN183" s="13"/>
      <c r="AO183" s="13"/>
      <c r="AP183" s="13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9"/>
      <c r="AH184" s="39"/>
      <c r="AI184" s="13"/>
      <c r="AJ184" s="13"/>
      <c r="AK184" s="13"/>
      <c r="AL184" s="13"/>
      <c r="AM184" s="13"/>
      <c r="AN184" s="13"/>
      <c r="AO184" s="13"/>
      <c r="AP184" s="13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9"/>
      <c r="AH185" s="39"/>
      <c r="AI185" s="13"/>
      <c r="AJ185" s="13"/>
      <c r="AK185" s="13"/>
      <c r="AL185" s="13"/>
      <c r="AM185" s="13"/>
      <c r="AN185" s="13"/>
      <c r="AO185" s="13"/>
      <c r="AP185" s="13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9"/>
      <c r="AH186" s="39"/>
      <c r="AI186" s="13"/>
      <c r="AJ186" s="13"/>
      <c r="AK186" s="13"/>
      <c r="AL186" s="13"/>
      <c r="AM186" s="13"/>
      <c r="AN186" s="13"/>
      <c r="AO186" s="13"/>
      <c r="AP186" s="13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9"/>
      <c r="AH187" s="39"/>
      <c r="AI187" s="13"/>
      <c r="AJ187" s="13"/>
      <c r="AK187" s="13"/>
      <c r="AL187" s="13"/>
      <c r="AM187" s="13"/>
      <c r="AN187" s="13"/>
      <c r="AO187" s="13"/>
      <c r="AP187" s="13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9"/>
      <c r="AH188" s="39"/>
      <c r="AI188" s="13"/>
      <c r="AJ188" s="13"/>
      <c r="AK188" s="13"/>
      <c r="AL188" s="13"/>
      <c r="AM188" s="13"/>
      <c r="AN188" s="13"/>
      <c r="AO188" s="13"/>
      <c r="AP188" s="13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9"/>
      <c r="AH189" s="39"/>
      <c r="AI189" s="13"/>
      <c r="AJ189" s="13"/>
      <c r="AK189" s="13"/>
      <c r="AL189" s="13"/>
      <c r="AM189" s="13"/>
      <c r="AN189" s="13"/>
      <c r="AO189" s="13"/>
      <c r="AP189" s="13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9"/>
      <c r="AH190" s="39"/>
      <c r="AI190" s="13"/>
      <c r="AJ190" s="13"/>
      <c r="AK190" s="13"/>
      <c r="AL190" s="13"/>
      <c r="AM190" s="13"/>
      <c r="AN190" s="13"/>
      <c r="AO190" s="13"/>
      <c r="AP190" s="13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9"/>
      <c r="AH191" s="39"/>
      <c r="AI191" s="13"/>
      <c r="AJ191" s="13"/>
      <c r="AK191" s="13"/>
      <c r="AL191" s="13"/>
      <c r="AM191" s="13"/>
      <c r="AN191" s="13"/>
      <c r="AO191" s="13"/>
      <c r="AP191" s="13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9"/>
      <c r="AH192" s="39"/>
      <c r="AI192" s="13"/>
      <c r="AJ192" s="13"/>
      <c r="AK192" s="13"/>
      <c r="AL192" s="13"/>
      <c r="AM192" s="13"/>
      <c r="AN192" s="13"/>
      <c r="AO192" s="13"/>
      <c r="AP192" s="13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9"/>
      <c r="AH193" s="39"/>
      <c r="AI193" s="13"/>
      <c r="AJ193" s="13"/>
      <c r="AK193" s="13"/>
      <c r="AL193" s="13"/>
      <c r="AM193" s="13"/>
      <c r="AN193" s="13"/>
      <c r="AO193" s="13"/>
      <c r="AP193" s="13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9"/>
      <c r="AH194" s="39"/>
      <c r="AI194" s="13"/>
      <c r="AJ194" s="13"/>
      <c r="AK194" s="13"/>
      <c r="AL194" s="13"/>
      <c r="AM194" s="13"/>
      <c r="AN194" s="13"/>
      <c r="AO194" s="13"/>
      <c r="AP194" s="13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9"/>
      <c r="AH195" s="39"/>
      <c r="AI195" s="13"/>
      <c r="AJ195" s="13"/>
      <c r="AK195" s="13"/>
      <c r="AL195" s="13"/>
      <c r="AM195" s="13"/>
      <c r="AN195" s="13"/>
      <c r="AO195" s="13"/>
      <c r="AP195" s="13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9"/>
      <c r="AH196" s="39"/>
      <c r="AI196" s="13"/>
      <c r="AJ196" s="13"/>
      <c r="AK196" s="13"/>
      <c r="AL196" s="13"/>
      <c r="AM196" s="13"/>
      <c r="AN196" s="13"/>
      <c r="AO196" s="13"/>
      <c r="AP196" s="13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9"/>
      <c r="AH197" s="39"/>
      <c r="AI197" s="13"/>
      <c r="AJ197" s="13"/>
      <c r="AK197" s="13"/>
      <c r="AL197" s="13"/>
      <c r="AM197" s="13"/>
      <c r="AN197" s="13"/>
      <c r="AO197" s="13"/>
      <c r="AP197" s="13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9"/>
      <c r="AH198" s="39"/>
      <c r="AI198" s="13"/>
      <c r="AJ198" s="13"/>
      <c r="AK198" s="13"/>
      <c r="AL198" s="13"/>
      <c r="AM198" s="13"/>
      <c r="AN198" s="13"/>
      <c r="AO198" s="13"/>
      <c r="AP198" s="13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9"/>
      <c r="AH199" s="39"/>
      <c r="AI199" s="13"/>
      <c r="AJ199" s="13"/>
      <c r="AK199" s="13"/>
      <c r="AL199" s="13"/>
      <c r="AM199" s="13"/>
      <c r="AN199" s="13"/>
      <c r="AO199" s="13"/>
      <c r="AP199" s="13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9"/>
      <c r="AH200" s="39"/>
      <c r="AI200" s="13"/>
      <c r="AJ200" s="13"/>
      <c r="AK200" s="13"/>
      <c r="AL200" s="13"/>
      <c r="AM200" s="13"/>
      <c r="AN200" s="13"/>
      <c r="AO200" s="13"/>
      <c r="AP200" s="13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9"/>
      <c r="AH201" s="39"/>
      <c r="AI201" s="13"/>
      <c r="AJ201" s="13"/>
      <c r="AK201" s="13"/>
      <c r="AL201" s="13"/>
      <c r="AM201" s="13"/>
      <c r="AN201" s="13"/>
      <c r="AO201" s="13"/>
      <c r="AP201" s="13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9"/>
      <c r="AH202" s="39"/>
      <c r="AI202" s="13"/>
      <c r="AJ202" s="13"/>
      <c r="AK202" s="13"/>
      <c r="AL202" s="13"/>
      <c r="AM202" s="13"/>
      <c r="AN202" s="13"/>
      <c r="AO202" s="13"/>
      <c r="AP202" s="13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9"/>
      <c r="AH203" s="39"/>
      <c r="AI203" s="13"/>
      <c r="AJ203" s="13"/>
      <c r="AK203" s="13"/>
      <c r="AL203" s="13"/>
      <c r="AM203" s="13"/>
      <c r="AN203" s="13"/>
      <c r="AO203" s="13"/>
      <c r="AP203" s="13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9"/>
      <c r="AH204" s="39"/>
      <c r="AI204" s="13"/>
      <c r="AJ204" s="13"/>
      <c r="AK204" s="13"/>
      <c r="AL204" s="13"/>
      <c r="AM204" s="13"/>
      <c r="AN204" s="13"/>
      <c r="AO204" s="13"/>
      <c r="AP204" s="13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9"/>
      <c r="AH205" s="39"/>
      <c r="AI205" s="13"/>
      <c r="AJ205" s="13"/>
      <c r="AK205" s="13"/>
      <c r="AL205" s="13"/>
      <c r="AM205" s="13"/>
      <c r="AN205" s="13"/>
      <c r="AO205" s="13"/>
      <c r="AP205" s="13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9"/>
      <c r="AH206" s="39"/>
      <c r="AI206" s="13"/>
      <c r="AJ206" s="13"/>
      <c r="AK206" s="13"/>
      <c r="AL206" s="13"/>
      <c r="AM206" s="13"/>
      <c r="AN206" s="13"/>
      <c r="AO206" s="13"/>
      <c r="AP206" s="13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9"/>
      <c r="AH207" s="39"/>
      <c r="AI207" s="13"/>
      <c r="AJ207" s="13"/>
      <c r="AK207" s="13"/>
      <c r="AL207" s="13"/>
      <c r="AM207" s="13"/>
      <c r="AN207" s="13"/>
      <c r="AO207" s="13"/>
      <c r="AP207" s="13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9"/>
      <c r="AH208" s="39"/>
      <c r="AI208" s="13"/>
      <c r="AJ208" s="13"/>
      <c r="AK208" s="13"/>
      <c r="AL208" s="13"/>
      <c r="AM208" s="13"/>
      <c r="AN208" s="13"/>
      <c r="AO208" s="13"/>
      <c r="AP208" s="13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9"/>
      <c r="AH209" s="39"/>
      <c r="AI209" s="13"/>
      <c r="AJ209" s="13"/>
      <c r="AK209" s="13"/>
      <c r="AL209" s="13"/>
      <c r="AM209" s="13"/>
      <c r="AN209" s="13"/>
      <c r="AO209" s="13"/>
      <c r="AP209" s="13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9"/>
      <c r="AH210" s="39"/>
      <c r="AI210" s="13"/>
      <c r="AJ210" s="13"/>
      <c r="AK210" s="13"/>
      <c r="AL210" s="13"/>
      <c r="AM210" s="13"/>
      <c r="AN210" s="13"/>
      <c r="AO210" s="13"/>
      <c r="AP210" s="13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9"/>
      <c r="AH211" s="39"/>
      <c r="AI211" s="13"/>
      <c r="AJ211" s="13"/>
      <c r="AK211" s="13"/>
      <c r="AL211" s="13"/>
      <c r="AM211" s="13"/>
      <c r="AN211" s="13"/>
      <c r="AO211" s="13"/>
      <c r="AP211" s="13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9"/>
      <c r="AH212" s="39"/>
      <c r="AI212" s="13"/>
      <c r="AJ212" s="13"/>
      <c r="AK212" s="13"/>
      <c r="AL212" s="13"/>
      <c r="AM212" s="13"/>
      <c r="AN212" s="13"/>
      <c r="AO212" s="13"/>
      <c r="AP212" s="13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9"/>
      <c r="AH213" s="39"/>
      <c r="AI213" s="13"/>
      <c r="AJ213" s="13"/>
      <c r="AK213" s="13"/>
      <c r="AL213" s="13"/>
      <c r="AM213" s="13"/>
      <c r="AN213" s="13"/>
      <c r="AO213" s="13"/>
      <c r="AP213" s="13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9"/>
      <c r="AH214" s="39"/>
      <c r="AI214" s="13"/>
      <c r="AJ214" s="13"/>
      <c r="AK214" s="13"/>
      <c r="AL214" s="13"/>
      <c r="AM214" s="13"/>
      <c r="AN214" s="13"/>
      <c r="AO214" s="13"/>
      <c r="AP214" s="13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9"/>
      <c r="AH215" s="39"/>
      <c r="AI215" s="13"/>
      <c r="AJ215" s="13"/>
      <c r="AK215" s="13"/>
      <c r="AL215" s="13"/>
      <c r="AM215" s="13"/>
      <c r="AN215" s="13"/>
      <c r="AO215" s="13"/>
      <c r="AP215" s="13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9"/>
      <c r="AH216" s="39"/>
      <c r="AI216" s="13"/>
      <c r="AJ216" s="13"/>
      <c r="AK216" s="13"/>
      <c r="AL216" s="13"/>
      <c r="AM216" s="13"/>
      <c r="AN216" s="13"/>
      <c r="AO216" s="13"/>
      <c r="AP216" s="13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9"/>
      <c r="AH217" s="39"/>
      <c r="AI217" s="13"/>
      <c r="AJ217" s="13"/>
      <c r="AK217" s="13"/>
      <c r="AL217" s="13"/>
      <c r="AM217" s="13"/>
      <c r="AN217" s="13"/>
      <c r="AO217" s="13"/>
      <c r="AP217" s="13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9"/>
      <c r="AH218" s="39"/>
      <c r="AI218" s="13"/>
      <c r="AJ218" s="13"/>
      <c r="AK218" s="13"/>
      <c r="AL218" s="13"/>
      <c r="AM218" s="13"/>
      <c r="AN218" s="13"/>
      <c r="AO218" s="13"/>
      <c r="AP218" s="13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9"/>
      <c r="AH219" s="39"/>
      <c r="AI219" s="13"/>
      <c r="AJ219" s="13"/>
      <c r="AK219" s="13"/>
      <c r="AL219" s="13"/>
      <c r="AM219" s="13"/>
      <c r="AN219" s="13"/>
      <c r="AO219" s="13"/>
      <c r="AP219" s="13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9"/>
      <c r="AH220" s="39"/>
      <c r="AI220" s="13"/>
      <c r="AJ220" s="13"/>
      <c r="AK220" s="13"/>
      <c r="AL220" s="13"/>
      <c r="AM220" s="13"/>
      <c r="AN220" s="13"/>
      <c r="AO220" s="13"/>
      <c r="AP220" s="13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40"/>
      <c r="AJ221" s="40"/>
      <c r="AK221" s="40"/>
      <c r="AL221" s="40"/>
      <c r="AM221" s="40"/>
      <c r="AN221" s="40"/>
      <c r="AO221" s="40"/>
      <c r="AP221" s="40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40"/>
      <c r="AJ222" s="40"/>
      <c r="AK222" s="40"/>
      <c r="AL222" s="40"/>
      <c r="AM222" s="40"/>
      <c r="AN222" s="40"/>
      <c r="AO222" s="40"/>
      <c r="AP222" s="40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40"/>
      <c r="AJ223" s="40"/>
      <c r="AK223" s="40"/>
      <c r="AL223" s="40"/>
      <c r="AM223" s="40"/>
      <c r="AN223" s="40"/>
      <c r="AO223" s="40"/>
      <c r="AP223" s="40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40"/>
      <c r="AJ224" s="40"/>
      <c r="AK224" s="40"/>
      <c r="AL224" s="40"/>
      <c r="AM224" s="40"/>
      <c r="AN224" s="40"/>
      <c r="AO224" s="40"/>
      <c r="AP224" s="40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40"/>
      <c r="AJ225" s="40"/>
      <c r="AK225" s="40"/>
      <c r="AL225" s="40"/>
      <c r="AM225" s="40"/>
      <c r="AN225" s="40"/>
      <c r="AO225" s="40"/>
      <c r="AP225" s="40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40"/>
      <c r="AJ226" s="40"/>
      <c r="AK226" s="40"/>
      <c r="AL226" s="40"/>
      <c r="AM226" s="40"/>
      <c r="AN226" s="40"/>
      <c r="AO226" s="40"/>
      <c r="AP226" s="40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40"/>
      <c r="AJ227" s="40"/>
      <c r="AK227" s="40"/>
      <c r="AL227" s="40"/>
      <c r="AM227" s="40"/>
      <c r="AN227" s="40"/>
      <c r="AO227" s="40"/>
      <c r="AP227" s="40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40"/>
      <c r="AJ228" s="40"/>
      <c r="AK228" s="40"/>
      <c r="AL228" s="40"/>
      <c r="AM228" s="40"/>
      <c r="AN228" s="40"/>
      <c r="AO228" s="40"/>
      <c r="AP228" s="40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40"/>
      <c r="AJ229" s="40"/>
      <c r="AK229" s="40"/>
      <c r="AL229" s="40"/>
      <c r="AM229" s="40"/>
      <c r="AN229" s="40"/>
      <c r="AO229" s="40"/>
      <c r="AP229" s="40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40"/>
      <c r="AJ230" s="40"/>
      <c r="AK230" s="40"/>
      <c r="AL230" s="40"/>
      <c r="AM230" s="40"/>
      <c r="AN230" s="40"/>
      <c r="AO230" s="40"/>
      <c r="AP230" s="40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40"/>
      <c r="AJ231" s="40"/>
      <c r="AK231" s="40"/>
      <c r="AL231" s="40"/>
      <c r="AM231" s="40"/>
      <c r="AN231" s="40"/>
      <c r="AO231" s="40"/>
      <c r="AP231" s="40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40"/>
      <c r="AJ232" s="40"/>
      <c r="AK232" s="40"/>
      <c r="AL232" s="40"/>
      <c r="AM232" s="40"/>
      <c r="AN232" s="40"/>
      <c r="AO232" s="40"/>
      <c r="AP232" s="40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40"/>
      <c r="AJ233" s="40"/>
      <c r="AK233" s="40"/>
      <c r="AL233" s="40"/>
      <c r="AM233" s="40"/>
      <c r="AN233" s="40"/>
      <c r="AO233" s="40"/>
      <c r="AP233" s="40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40"/>
      <c r="AJ234" s="40"/>
      <c r="AK234" s="40"/>
      <c r="AL234" s="40"/>
      <c r="AM234" s="40"/>
      <c r="AN234" s="40"/>
      <c r="AO234" s="40"/>
      <c r="AP234" s="40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40"/>
      <c r="AJ235" s="40"/>
      <c r="AK235" s="40"/>
      <c r="AL235" s="40"/>
      <c r="AM235" s="40"/>
      <c r="AN235" s="40"/>
      <c r="AO235" s="40"/>
      <c r="AP235" s="40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40"/>
      <c r="AJ236" s="40"/>
      <c r="AK236" s="40"/>
      <c r="AL236" s="40"/>
      <c r="AM236" s="40"/>
      <c r="AN236" s="40"/>
      <c r="AO236" s="40"/>
      <c r="AP236" s="40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40"/>
      <c r="AJ237" s="40"/>
      <c r="AK237" s="40"/>
      <c r="AL237" s="40"/>
      <c r="AM237" s="40"/>
      <c r="AN237" s="40"/>
      <c r="AO237" s="40"/>
      <c r="AP237" s="40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40"/>
      <c r="AJ238" s="40"/>
      <c r="AK238" s="40"/>
      <c r="AL238" s="40"/>
      <c r="AM238" s="40"/>
      <c r="AN238" s="40"/>
      <c r="AO238" s="40"/>
      <c r="AP238" s="40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40"/>
      <c r="AJ239" s="40"/>
      <c r="AK239" s="40"/>
      <c r="AL239" s="40"/>
      <c r="AM239" s="40"/>
      <c r="AN239" s="40"/>
      <c r="AO239" s="40"/>
      <c r="AP239" s="40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40"/>
      <c r="AJ240" s="40"/>
      <c r="AK240" s="40"/>
      <c r="AL240" s="40"/>
      <c r="AM240" s="40"/>
      <c r="AN240" s="40"/>
      <c r="AO240" s="40"/>
      <c r="AP240" s="40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40"/>
      <c r="AJ241" s="40"/>
      <c r="AK241" s="40"/>
      <c r="AL241" s="40"/>
      <c r="AM241" s="40"/>
      <c r="AN241" s="40"/>
      <c r="AO241" s="40"/>
      <c r="AP241" s="40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40"/>
      <c r="AJ242" s="40"/>
      <c r="AK242" s="40"/>
      <c r="AL242" s="40"/>
      <c r="AM242" s="40"/>
      <c r="AN242" s="40"/>
      <c r="AO242" s="40"/>
      <c r="AP242" s="40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40"/>
      <c r="AJ243" s="40"/>
      <c r="AK243" s="40"/>
      <c r="AL243" s="40"/>
      <c r="AM243" s="40"/>
      <c r="AN243" s="40"/>
      <c r="AO243" s="40"/>
      <c r="AP243" s="40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40"/>
      <c r="AJ244" s="40"/>
      <c r="AK244" s="40"/>
      <c r="AL244" s="40"/>
      <c r="AM244" s="40"/>
      <c r="AN244" s="40"/>
      <c r="AO244" s="40"/>
      <c r="AP244" s="40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40"/>
      <c r="AJ245" s="40"/>
      <c r="AK245" s="40"/>
      <c r="AL245" s="40"/>
      <c r="AM245" s="40"/>
      <c r="AN245" s="40"/>
      <c r="AO245" s="40"/>
      <c r="AP245" s="40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40"/>
      <c r="AJ246" s="40"/>
      <c r="AK246" s="40"/>
      <c r="AL246" s="40"/>
      <c r="AM246" s="40"/>
      <c r="AN246" s="40"/>
      <c r="AO246" s="40"/>
      <c r="AP246" s="40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40"/>
      <c r="AJ247" s="40"/>
      <c r="AK247" s="40"/>
      <c r="AL247" s="40"/>
      <c r="AM247" s="40"/>
      <c r="AN247" s="40"/>
      <c r="AO247" s="40"/>
      <c r="AP247" s="40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40"/>
      <c r="AJ248" s="40"/>
      <c r="AK248" s="40"/>
      <c r="AL248" s="40"/>
      <c r="AM248" s="40"/>
      <c r="AN248" s="40"/>
      <c r="AO248" s="40"/>
      <c r="AP248" s="40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40"/>
      <c r="AJ249" s="40"/>
      <c r="AK249" s="40"/>
      <c r="AL249" s="40"/>
      <c r="AM249" s="40"/>
      <c r="AN249" s="40"/>
      <c r="AO249" s="40"/>
      <c r="AP249" s="40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40"/>
      <c r="AJ250" s="40"/>
      <c r="AK250" s="40"/>
      <c r="AL250" s="40"/>
      <c r="AM250" s="40"/>
      <c r="AN250" s="40"/>
      <c r="AO250" s="40"/>
      <c r="AP250" s="40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40"/>
      <c r="AJ251" s="40"/>
      <c r="AK251" s="40"/>
      <c r="AL251" s="40"/>
      <c r="AM251" s="40"/>
      <c r="AN251" s="40"/>
      <c r="AO251" s="40"/>
      <c r="AP251" s="40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40"/>
      <c r="AJ252" s="40"/>
      <c r="AK252" s="40"/>
      <c r="AL252" s="40"/>
      <c r="AM252" s="40"/>
      <c r="AN252" s="40"/>
      <c r="AO252" s="40"/>
      <c r="AP252" s="40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40"/>
      <c r="AJ253" s="40"/>
      <c r="AK253" s="40"/>
      <c r="AL253" s="40"/>
      <c r="AM253" s="40"/>
      <c r="AN253" s="40"/>
      <c r="AO253" s="40"/>
      <c r="AP253" s="40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40"/>
      <c r="AJ254" s="40"/>
      <c r="AK254" s="40"/>
      <c r="AL254" s="40"/>
      <c r="AM254" s="40"/>
      <c r="AN254" s="40"/>
      <c r="AO254" s="40"/>
      <c r="AP254" s="40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40"/>
      <c r="AJ255" s="40"/>
      <c r="AK255" s="40"/>
      <c r="AL255" s="40"/>
      <c r="AM255" s="40"/>
      <c r="AN255" s="40"/>
      <c r="AO255" s="40"/>
      <c r="AP255" s="40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40"/>
      <c r="AJ256" s="40"/>
      <c r="AK256" s="40"/>
      <c r="AL256" s="40"/>
      <c r="AM256" s="40"/>
      <c r="AN256" s="40"/>
      <c r="AO256" s="40"/>
      <c r="AP256" s="40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40"/>
      <c r="AJ257" s="40"/>
      <c r="AK257" s="40"/>
      <c r="AL257" s="40"/>
      <c r="AM257" s="40"/>
      <c r="AN257" s="40"/>
      <c r="AO257" s="40"/>
      <c r="AP257" s="40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40"/>
      <c r="AJ258" s="40"/>
      <c r="AK258" s="40"/>
      <c r="AL258" s="40"/>
      <c r="AM258" s="40"/>
      <c r="AN258" s="40"/>
      <c r="AO258" s="40"/>
      <c r="AP258" s="40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40"/>
      <c r="AJ259" s="40"/>
      <c r="AK259" s="40"/>
      <c r="AL259" s="40"/>
      <c r="AM259" s="40"/>
      <c r="AN259" s="40"/>
      <c r="AO259" s="40"/>
      <c r="AP259" s="40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40"/>
      <c r="AJ260" s="40"/>
      <c r="AK260" s="40"/>
      <c r="AL260" s="40"/>
      <c r="AM260" s="40"/>
      <c r="AN260" s="40"/>
      <c r="AO260" s="40"/>
      <c r="AP260" s="40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40"/>
      <c r="AJ261" s="40"/>
      <c r="AK261" s="40"/>
      <c r="AL261" s="40"/>
      <c r="AM261" s="40"/>
      <c r="AN261" s="40"/>
      <c r="AO261" s="40"/>
      <c r="AP261" s="40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40"/>
      <c r="AJ262" s="40"/>
      <c r="AK262" s="40"/>
      <c r="AL262" s="40"/>
      <c r="AM262" s="40"/>
      <c r="AN262" s="40"/>
      <c r="AO262" s="40"/>
      <c r="AP262" s="40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40"/>
      <c r="AJ263" s="40"/>
      <c r="AK263" s="40"/>
      <c r="AL263" s="40"/>
      <c r="AM263" s="40"/>
      <c r="AN263" s="40"/>
      <c r="AO263" s="40"/>
      <c r="AP263" s="40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40"/>
      <c r="AJ264" s="40"/>
      <c r="AK264" s="40"/>
      <c r="AL264" s="40"/>
      <c r="AM264" s="40"/>
      <c r="AN264" s="40"/>
      <c r="AO264" s="40"/>
      <c r="AP264" s="40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40"/>
      <c r="AJ265" s="40"/>
      <c r="AK265" s="40"/>
      <c r="AL265" s="40"/>
      <c r="AM265" s="40"/>
      <c r="AN265" s="40"/>
      <c r="AO265" s="40"/>
      <c r="AP265" s="40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40"/>
      <c r="AJ266" s="40"/>
      <c r="AK266" s="40"/>
      <c r="AL266" s="40"/>
      <c r="AM266" s="40"/>
      <c r="AN266" s="40"/>
      <c r="AO266" s="40"/>
      <c r="AP266" s="40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40"/>
      <c r="AJ267" s="40"/>
      <c r="AK267" s="40"/>
      <c r="AL267" s="40"/>
      <c r="AM267" s="40"/>
      <c r="AN267" s="40"/>
      <c r="AO267" s="40"/>
      <c r="AP267" s="40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40"/>
      <c r="AJ268" s="40"/>
      <c r="AK268" s="40"/>
      <c r="AL268" s="40"/>
      <c r="AM268" s="40"/>
      <c r="AN268" s="40"/>
      <c r="AO268" s="40"/>
      <c r="AP268" s="40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40"/>
      <c r="AJ269" s="40"/>
      <c r="AK269" s="40"/>
      <c r="AL269" s="40"/>
      <c r="AM269" s="40"/>
      <c r="AN269" s="40"/>
      <c r="AO269" s="40"/>
      <c r="AP269" s="40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40"/>
      <c r="AJ270" s="40"/>
      <c r="AK270" s="40"/>
      <c r="AL270" s="40"/>
      <c r="AM270" s="40"/>
      <c r="AN270" s="40"/>
      <c r="AO270" s="40"/>
      <c r="AP270" s="40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40"/>
      <c r="AJ271" s="40"/>
      <c r="AK271" s="40"/>
      <c r="AL271" s="40"/>
      <c r="AM271" s="40"/>
      <c r="AN271" s="40"/>
      <c r="AO271" s="40"/>
      <c r="AP271" s="40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40"/>
      <c r="AJ272" s="40"/>
      <c r="AK272" s="40"/>
      <c r="AL272" s="40"/>
      <c r="AM272" s="40"/>
      <c r="AN272" s="40"/>
      <c r="AO272" s="40"/>
      <c r="AP272" s="40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40"/>
      <c r="AJ273" s="40"/>
      <c r="AK273" s="40"/>
      <c r="AL273" s="40"/>
      <c r="AM273" s="40"/>
      <c r="AN273" s="40"/>
      <c r="AO273" s="40"/>
      <c r="AP273" s="40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40"/>
      <c r="AJ274" s="40"/>
      <c r="AK274" s="40"/>
      <c r="AL274" s="40"/>
      <c r="AM274" s="40"/>
      <c r="AN274" s="40"/>
      <c r="AO274" s="40"/>
      <c r="AP274" s="40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40"/>
      <c r="AJ275" s="40"/>
      <c r="AK275" s="40"/>
      <c r="AL275" s="40"/>
      <c r="AM275" s="40"/>
      <c r="AN275" s="40"/>
      <c r="AO275" s="40"/>
      <c r="AP275" s="40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40"/>
      <c r="AJ276" s="40"/>
      <c r="AK276" s="40"/>
      <c r="AL276" s="40"/>
      <c r="AM276" s="40"/>
      <c r="AN276" s="40"/>
      <c r="AO276" s="40"/>
      <c r="AP276" s="40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40"/>
      <c r="AJ277" s="40"/>
      <c r="AK277" s="40"/>
      <c r="AL277" s="40"/>
      <c r="AM277" s="40"/>
      <c r="AN277" s="40"/>
      <c r="AO277" s="40"/>
      <c r="AP277" s="40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40"/>
      <c r="AJ278" s="40"/>
      <c r="AK278" s="40"/>
      <c r="AL278" s="40"/>
      <c r="AM278" s="40"/>
      <c r="AN278" s="40"/>
      <c r="AO278" s="40"/>
      <c r="AP278" s="40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40"/>
      <c r="AJ279" s="40"/>
      <c r="AK279" s="40"/>
      <c r="AL279" s="40"/>
      <c r="AM279" s="40"/>
      <c r="AN279" s="40"/>
      <c r="AO279" s="40"/>
      <c r="AP279" s="40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40"/>
      <c r="AJ280" s="40"/>
      <c r="AK280" s="40"/>
      <c r="AL280" s="40"/>
      <c r="AM280" s="40"/>
      <c r="AN280" s="40"/>
      <c r="AO280" s="40"/>
      <c r="AP280" s="40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40"/>
      <c r="AJ281" s="40"/>
      <c r="AK281" s="40"/>
      <c r="AL281" s="40"/>
      <c r="AM281" s="40"/>
      <c r="AN281" s="40"/>
      <c r="AO281" s="40"/>
      <c r="AP281" s="40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40"/>
      <c r="AJ282" s="40"/>
      <c r="AK282" s="40"/>
      <c r="AL282" s="40"/>
      <c r="AM282" s="40"/>
      <c r="AN282" s="40"/>
      <c r="AO282" s="40"/>
      <c r="AP282" s="40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40"/>
      <c r="AJ283" s="40"/>
      <c r="AK283" s="40"/>
      <c r="AL283" s="40"/>
      <c r="AM283" s="40"/>
      <c r="AN283" s="40"/>
      <c r="AO283" s="40"/>
      <c r="AP283" s="40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40"/>
      <c r="AJ284" s="40"/>
      <c r="AK284" s="40"/>
      <c r="AL284" s="40"/>
      <c r="AM284" s="40"/>
      <c r="AN284" s="40"/>
      <c r="AO284" s="40"/>
      <c r="AP284" s="40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40"/>
      <c r="AJ285" s="40"/>
      <c r="AK285" s="40"/>
      <c r="AL285" s="40"/>
      <c r="AM285" s="40"/>
      <c r="AN285" s="40"/>
      <c r="AO285" s="40"/>
      <c r="AP285" s="40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40"/>
      <c r="AJ286" s="40"/>
      <c r="AK286" s="40"/>
      <c r="AL286" s="40"/>
      <c r="AM286" s="40"/>
      <c r="AN286" s="40"/>
      <c r="AO286" s="40"/>
      <c r="AP286" s="40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40"/>
      <c r="AJ287" s="40"/>
      <c r="AK287" s="40"/>
      <c r="AL287" s="40"/>
      <c r="AM287" s="40"/>
      <c r="AN287" s="40"/>
      <c r="AO287" s="40"/>
      <c r="AP287" s="40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40"/>
      <c r="AJ288" s="40"/>
      <c r="AK288" s="40"/>
      <c r="AL288" s="40"/>
      <c r="AM288" s="40"/>
      <c r="AN288" s="40"/>
      <c r="AO288" s="40"/>
      <c r="AP288" s="40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40"/>
      <c r="AJ289" s="40"/>
      <c r="AK289" s="40"/>
      <c r="AL289" s="40"/>
      <c r="AM289" s="40"/>
      <c r="AN289" s="40"/>
      <c r="AO289" s="40"/>
      <c r="AP289" s="40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40"/>
      <c r="AJ290" s="40"/>
      <c r="AK290" s="40"/>
      <c r="AL290" s="40"/>
      <c r="AM290" s="40"/>
      <c r="AN290" s="40"/>
      <c r="AO290" s="40"/>
      <c r="AP290" s="40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40"/>
      <c r="AJ291" s="40"/>
      <c r="AK291" s="40"/>
      <c r="AL291" s="40"/>
      <c r="AM291" s="40"/>
      <c r="AN291" s="40"/>
      <c r="AO291" s="40"/>
      <c r="AP291" s="40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40"/>
      <c r="AJ292" s="40"/>
      <c r="AK292" s="40"/>
      <c r="AL292" s="40"/>
      <c r="AM292" s="40"/>
      <c r="AN292" s="40"/>
      <c r="AO292" s="40"/>
      <c r="AP292" s="40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40"/>
      <c r="AJ293" s="40"/>
      <c r="AK293" s="40"/>
      <c r="AL293" s="40"/>
      <c r="AM293" s="40"/>
      <c r="AN293" s="40"/>
      <c r="AO293" s="40"/>
      <c r="AP293" s="40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40"/>
      <c r="AJ294" s="40"/>
      <c r="AK294" s="40"/>
      <c r="AL294" s="40"/>
      <c r="AM294" s="40"/>
      <c r="AN294" s="40"/>
      <c r="AO294" s="40"/>
      <c r="AP294" s="40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40"/>
      <c r="AJ295" s="40"/>
      <c r="AK295" s="40"/>
      <c r="AL295" s="40"/>
      <c r="AM295" s="40"/>
      <c r="AN295" s="40"/>
      <c r="AO295" s="40"/>
      <c r="AP295" s="40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40"/>
      <c r="AJ296" s="40"/>
      <c r="AK296" s="40"/>
      <c r="AL296" s="40"/>
      <c r="AM296" s="40"/>
      <c r="AN296" s="40"/>
      <c r="AO296" s="40"/>
      <c r="AP296" s="40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40"/>
      <c r="AJ297" s="40"/>
      <c r="AK297" s="40"/>
      <c r="AL297" s="40"/>
      <c r="AM297" s="40"/>
      <c r="AN297" s="40"/>
      <c r="AO297" s="40"/>
      <c r="AP297" s="40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40"/>
      <c r="AJ298" s="40"/>
      <c r="AK298" s="40"/>
      <c r="AL298" s="40"/>
      <c r="AM298" s="40"/>
      <c r="AN298" s="40"/>
      <c r="AO298" s="40"/>
      <c r="AP298" s="40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40"/>
      <c r="AJ299" s="40"/>
      <c r="AK299" s="40"/>
      <c r="AL299" s="40"/>
      <c r="AM299" s="40"/>
      <c r="AN299" s="40"/>
      <c r="AO299" s="40"/>
      <c r="AP299" s="40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40"/>
      <c r="AJ300" s="40"/>
      <c r="AK300" s="40"/>
      <c r="AL300" s="40"/>
      <c r="AM300" s="40"/>
      <c r="AN300" s="40"/>
      <c r="AO300" s="40"/>
      <c r="AP300" s="40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40"/>
      <c r="AJ301" s="40"/>
      <c r="AK301" s="40"/>
      <c r="AL301" s="40"/>
      <c r="AM301" s="40"/>
      <c r="AN301" s="40"/>
      <c r="AO301" s="40"/>
      <c r="AP301" s="40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40"/>
      <c r="AJ302" s="40"/>
      <c r="AK302" s="40"/>
      <c r="AL302" s="40"/>
      <c r="AM302" s="40"/>
      <c r="AN302" s="40"/>
      <c r="AO302" s="40"/>
      <c r="AP302" s="40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40"/>
      <c r="AJ303" s="40"/>
      <c r="AK303" s="40"/>
      <c r="AL303" s="40"/>
      <c r="AM303" s="40"/>
      <c r="AN303" s="40"/>
      <c r="AO303" s="40"/>
      <c r="AP303" s="40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40"/>
      <c r="AJ304" s="40"/>
      <c r="AK304" s="40"/>
      <c r="AL304" s="40"/>
      <c r="AM304" s="40"/>
      <c r="AN304" s="40"/>
      <c r="AO304" s="40"/>
      <c r="AP304" s="40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40"/>
      <c r="AJ305" s="40"/>
      <c r="AK305" s="40"/>
      <c r="AL305" s="40"/>
      <c r="AM305" s="40"/>
      <c r="AN305" s="40"/>
      <c r="AO305" s="40"/>
      <c r="AP305" s="40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40"/>
      <c r="AJ306" s="40"/>
      <c r="AK306" s="40"/>
      <c r="AL306" s="40"/>
      <c r="AM306" s="40"/>
      <c r="AN306" s="40"/>
      <c r="AO306" s="40"/>
      <c r="AP306" s="40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40"/>
      <c r="AJ307" s="40"/>
      <c r="AK307" s="40"/>
      <c r="AL307" s="40"/>
      <c r="AM307" s="40"/>
      <c r="AN307" s="40"/>
      <c r="AO307" s="40"/>
      <c r="AP307" s="40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40"/>
      <c r="AJ308" s="40"/>
      <c r="AK308" s="40"/>
      <c r="AL308" s="40"/>
      <c r="AM308" s="40"/>
      <c r="AN308" s="40"/>
      <c r="AO308" s="40"/>
      <c r="AP308" s="40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40"/>
      <c r="AJ309" s="40"/>
      <c r="AK309" s="40"/>
      <c r="AL309" s="40"/>
      <c r="AM309" s="40"/>
      <c r="AN309" s="40"/>
      <c r="AO309" s="40"/>
      <c r="AP309" s="40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40"/>
      <c r="AJ310" s="40"/>
      <c r="AK310" s="40"/>
      <c r="AL310" s="40"/>
      <c r="AM310" s="40"/>
      <c r="AN310" s="40"/>
      <c r="AO310" s="40"/>
      <c r="AP310" s="40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40"/>
      <c r="AJ311" s="40"/>
      <c r="AK311" s="40"/>
      <c r="AL311" s="40"/>
      <c r="AM311" s="40"/>
      <c r="AN311" s="40"/>
      <c r="AO311" s="40"/>
      <c r="AP311" s="40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40"/>
      <c r="AJ312" s="40"/>
      <c r="AK312" s="40"/>
      <c r="AL312" s="40"/>
      <c r="AM312" s="40"/>
      <c r="AN312" s="40"/>
      <c r="AO312" s="40"/>
      <c r="AP312" s="40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40"/>
      <c r="AJ313" s="40"/>
      <c r="AK313" s="40"/>
      <c r="AL313" s="40"/>
      <c r="AM313" s="40"/>
      <c r="AN313" s="40"/>
      <c r="AO313" s="40"/>
      <c r="AP313" s="40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40"/>
      <c r="AJ314" s="40"/>
      <c r="AK314" s="40"/>
      <c r="AL314" s="40"/>
      <c r="AM314" s="40"/>
      <c r="AN314" s="40"/>
      <c r="AO314" s="40"/>
      <c r="AP314" s="40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40"/>
      <c r="AJ315" s="40"/>
      <c r="AK315" s="40"/>
      <c r="AL315" s="40"/>
      <c r="AM315" s="40"/>
      <c r="AN315" s="40"/>
      <c r="AO315" s="40"/>
      <c r="AP315" s="40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40"/>
      <c r="AJ316" s="40"/>
      <c r="AK316" s="40"/>
      <c r="AL316" s="40"/>
      <c r="AM316" s="40"/>
      <c r="AN316" s="40"/>
      <c r="AO316" s="40"/>
      <c r="AP316" s="40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40"/>
      <c r="AJ317" s="40"/>
      <c r="AK317" s="40"/>
      <c r="AL317" s="40"/>
      <c r="AM317" s="40"/>
      <c r="AN317" s="40"/>
      <c r="AO317" s="40"/>
      <c r="AP317" s="40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40"/>
      <c r="AJ318" s="40"/>
      <c r="AK318" s="40"/>
      <c r="AL318" s="40"/>
      <c r="AM318" s="40"/>
      <c r="AN318" s="40"/>
      <c r="AO318" s="40"/>
      <c r="AP318" s="40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40"/>
      <c r="AJ319" s="40"/>
      <c r="AK319" s="40"/>
      <c r="AL319" s="40"/>
      <c r="AM319" s="40"/>
      <c r="AN319" s="40"/>
      <c r="AO319" s="40"/>
      <c r="AP319" s="40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40"/>
      <c r="AJ320" s="40"/>
      <c r="AK320" s="40"/>
      <c r="AL320" s="40"/>
      <c r="AM320" s="40"/>
      <c r="AN320" s="40"/>
      <c r="AO320" s="40"/>
      <c r="AP320" s="40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40"/>
      <c r="AJ321" s="40"/>
      <c r="AK321" s="40"/>
      <c r="AL321" s="40"/>
      <c r="AM321" s="40"/>
      <c r="AN321" s="40"/>
      <c r="AO321" s="40"/>
      <c r="AP321" s="40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40"/>
      <c r="AJ322" s="40"/>
      <c r="AK322" s="40"/>
      <c r="AL322" s="40"/>
      <c r="AM322" s="40"/>
      <c r="AN322" s="40"/>
      <c r="AO322" s="40"/>
      <c r="AP322" s="40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40"/>
      <c r="AJ323" s="40"/>
      <c r="AK323" s="40"/>
      <c r="AL323" s="40"/>
      <c r="AM323" s="40"/>
      <c r="AN323" s="40"/>
      <c r="AO323" s="40"/>
      <c r="AP323" s="40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40"/>
      <c r="AJ324" s="40"/>
      <c r="AK324" s="40"/>
      <c r="AL324" s="40"/>
      <c r="AM324" s="40"/>
      <c r="AN324" s="40"/>
      <c r="AO324" s="40"/>
      <c r="AP324" s="40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40"/>
      <c r="AJ325" s="40"/>
      <c r="AK325" s="40"/>
      <c r="AL325" s="40"/>
      <c r="AM325" s="40"/>
      <c r="AN325" s="40"/>
      <c r="AO325" s="40"/>
      <c r="AP325" s="40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40"/>
      <c r="AJ326" s="40"/>
      <c r="AK326" s="40"/>
      <c r="AL326" s="40"/>
      <c r="AM326" s="40"/>
      <c r="AN326" s="40"/>
      <c r="AO326" s="40"/>
      <c r="AP326" s="40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40"/>
      <c r="AJ327" s="40"/>
      <c r="AK327" s="40"/>
      <c r="AL327" s="40"/>
      <c r="AM327" s="40"/>
      <c r="AN327" s="40"/>
      <c r="AO327" s="40"/>
      <c r="AP327" s="40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40"/>
      <c r="AJ328" s="40"/>
      <c r="AK328" s="40"/>
      <c r="AL328" s="40"/>
      <c r="AM328" s="40"/>
      <c r="AN328" s="40"/>
      <c r="AO328" s="40"/>
      <c r="AP328" s="40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40"/>
      <c r="AJ329" s="40"/>
      <c r="AK329" s="40"/>
      <c r="AL329" s="40"/>
      <c r="AM329" s="40"/>
      <c r="AN329" s="40"/>
      <c r="AO329" s="40"/>
      <c r="AP329" s="40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40"/>
      <c r="AJ330" s="40"/>
      <c r="AK330" s="40"/>
      <c r="AL330" s="40"/>
      <c r="AM330" s="40"/>
      <c r="AN330" s="40"/>
      <c r="AO330" s="40"/>
      <c r="AP330" s="40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40"/>
      <c r="AJ331" s="40"/>
      <c r="AK331" s="40"/>
      <c r="AL331" s="40"/>
      <c r="AM331" s="40"/>
      <c r="AN331" s="40"/>
      <c r="AO331" s="40"/>
      <c r="AP331" s="40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40"/>
      <c r="AJ332" s="40"/>
      <c r="AK332" s="40"/>
      <c r="AL332" s="40"/>
      <c r="AM332" s="40"/>
      <c r="AN332" s="40"/>
      <c r="AO332" s="40"/>
      <c r="AP332" s="40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40"/>
      <c r="AJ333" s="40"/>
      <c r="AK333" s="40"/>
      <c r="AL333" s="40"/>
      <c r="AM333" s="40"/>
      <c r="AN333" s="40"/>
      <c r="AO333" s="40"/>
      <c r="AP333" s="40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40"/>
      <c r="AJ334" s="40"/>
      <c r="AK334" s="40"/>
      <c r="AL334" s="40"/>
      <c r="AM334" s="40"/>
      <c r="AN334" s="40"/>
      <c r="AO334" s="40"/>
      <c r="AP334" s="40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40"/>
      <c r="AJ335" s="40"/>
      <c r="AK335" s="40"/>
      <c r="AL335" s="40"/>
      <c r="AM335" s="40"/>
      <c r="AN335" s="40"/>
      <c r="AO335" s="40"/>
      <c r="AP335" s="40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40"/>
      <c r="AJ336" s="40"/>
      <c r="AK336" s="40"/>
      <c r="AL336" s="40"/>
      <c r="AM336" s="40"/>
      <c r="AN336" s="40"/>
      <c r="AO336" s="40"/>
      <c r="AP336" s="40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40"/>
      <c r="AJ337" s="40"/>
      <c r="AK337" s="40"/>
      <c r="AL337" s="40"/>
      <c r="AM337" s="40"/>
      <c r="AN337" s="40"/>
      <c r="AO337" s="40"/>
      <c r="AP337" s="40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40"/>
      <c r="AJ338" s="40"/>
      <c r="AK338" s="40"/>
      <c r="AL338" s="40"/>
      <c r="AM338" s="40"/>
      <c r="AN338" s="40"/>
      <c r="AO338" s="40"/>
      <c r="AP338" s="40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40"/>
      <c r="AJ339" s="40"/>
      <c r="AK339" s="40"/>
      <c r="AL339" s="40"/>
      <c r="AM339" s="40"/>
      <c r="AN339" s="40"/>
      <c r="AO339" s="40"/>
      <c r="AP339" s="40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40"/>
      <c r="AJ340" s="40"/>
      <c r="AK340" s="40"/>
      <c r="AL340" s="40"/>
      <c r="AM340" s="40"/>
      <c r="AN340" s="40"/>
      <c r="AO340" s="40"/>
      <c r="AP340" s="40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40"/>
      <c r="AJ341" s="40"/>
      <c r="AK341" s="40"/>
      <c r="AL341" s="40"/>
      <c r="AM341" s="40"/>
      <c r="AN341" s="40"/>
      <c r="AO341" s="40"/>
      <c r="AP341" s="40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40"/>
      <c r="AJ342" s="40"/>
      <c r="AK342" s="40"/>
      <c r="AL342" s="40"/>
      <c r="AM342" s="40"/>
      <c r="AN342" s="40"/>
      <c r="AO342" s="40"/>
      <c r="AP342" s="40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40"/>
      <c r="AJ343" s="40"/>
      <c r="AK343" s="40"/>
      <c r="AL343" s="40"/>
      <c r="AM343" s="40"/>
      <c r="AN343" s="40"/>
      <c r="AO343" s="40"/>
      <c r="AP343" s="40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40"/>
      <c r="AJ344" s="40"/>
      <c r="AK344" s="40"/>
      <c r="AL344" s="40"/>
      <c r="AM344" s="40"/>
      <c r="AN344" s="40"/>
      <c r="AO344" s="40"/>
      <c r="AP344" s="40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40"/>
      <c r="AJ345" s="40"/>
      <c r="AK345" s="40"/>
      <c r="AL345" s="40"/>
      <c r="AM345" s="40"/>
      <c r="AN345" s="40"/>
      <c r="AO345" s="40"/>
      <c r="AP345" s="40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40"/>
      <c r="AJ346" s="40"/>
      <c r="AK346" s="40"/>
      <c r="AL346" s="40"/>
      <c r="AM346" s="40"/>
      <c r="AN346" s="40"/>
      <c r="AO346" s="40"/>
      <c r="AP346" s="40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40"/>
      <c r="AJ347" s="40"/>
      <c r="AK347" s="40"/>
      <c r="AL347" s="40"/>
      <c r="AM347" s="40"/>
      <c r="AN347" s="40"/>
      <c r="AO347" s="40"/>
      <c r="AP347" s="40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40"/>
      <c r="AJ348" s="40"/>
      <c r="AK348" s="40"/>
      <c r="AL348" s="40"/>
      <c r="AM348" s="40"/>
      <c r="AN348" s="40"/>
      <c r="AO348" s="40"/>
      <c r="AP348" s="40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40"/>
      <c r="AJ349" s="40"/>
      <c r="AK349" s="40"/>
      <c r="AL349" s="40"/>
      <c r="AM349" s="40"/>
      <c r="AN349" s="40"/>
      <c r="AO349" s="40"/>
      <c r="AP349" s="40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40"/>
      <c r="AJ350" s="40"/>
      <c r="AK350" s="40"/>
      <c r="AL350" s="40"/>
      <c r="AM350" s="40"/>
      <c r="AN350" s="40"/>
      <c r="AO350" s="40"/>
      <c r="AP350" s="40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40"/>
      <c r="AJ351" s="40"/>
      <c r="AK351" s="40"/>
      <c r="AL351" s="40"/>
      <c r="AM351" s="40"/>
      <c r="AN351" s="40"/>
      <c r="AO351" s="40"/>
      <c r="AP351" s="40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40"/>
      <c r="AJ352" s="40"/>
      <c r="AK352" s="40"/>
      <c r="AL352" s="40"/>
      <c r="AM352" s="40"/>
      <c r="AN352" s="40"/>
      <c r="AO352" s="40"/>
      <c r="AP352" s="40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40"/>
      <c r="AJ353" s="40"/>
      <c r="AK353" s="40"/>
      <c r="AL353" s="40"/>
      <c r="AM353" s="40"/>
      <c r="AN353" s="40"/>
      <c r="AO353" s="40"/>
      <c r="AP353" s="40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40"/>
      <c r="AJ354" s="40"/>
      <c r="AK354" s="40"/>
      <c r="AL354" s="40"/>
      <c r="AM354" s="40"/>
      <c r="AN354" s="40"/>
      <c r="AO354" s="40"/>
      <c r="AP354" s="40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40"/>
      <c r="AJ355" s="40"/>
      <c r="AK355" s="40"/>
      <c r="AL355" s="40"/>
      <c r="AM355" s="40"/>
      <c r="AN355" s="40"/>
      <c r="AO355" s="40"/>
      <c r="AP355" s="40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40"/>
      <c r="AJ356" s="40"/>
      <c r="AK356" s="40"/>
      <c r="AL356" s="40"/>
      <c r="AM356" s="40"/>
      <c r="AN356" s="40"/>
      <c r="AO356" s="40"/>
      <c r="AP356" s="40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40"/>
      <c r="AJ357" s="40"/>
      <c r="AK357" s="40"/>
      <c r="AL357" s="40"/>
      <c r="AM357" s="40"/>
      <c r="AN357" s="40"/>
      <c r="AO357" s="40"/>
      <c r="AP357" s="40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40"/>
      <c r="AJ358" s="40"/>
      <c r="AK358" s="40"/>
      <c r="AL358" s="40"/>
      <c r="AM358" s="40"/>
      <c r="AN358" s="40"/>
      <c r="AO358" s="40"/>
      <c r="AP358" s="40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40"/>
      <c r="AJ359" s="40"/>
      <c r="AK359" s="40"/>
      <c r="AL359" s="40"/>
      <c r="AM359" s="40"/>
      <c r="AN359" s="40"/>
      <c r="AO359" s="40"/>
      <c r="AP359" s="40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40"/>
      <c r="AJ360" s="40"/>
      <c r="AK360" s="40"/>
      <c r="AL360" s="40"/>
      <c r="AM360" s="40"/>
      <c r="AN360" s="40"/>
      <c r="AO360" s="40"/>
      <c r="AP360" s="40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40"/>
      <c r="AJ361" s="40"/>
      <c r="AK361" s="40"/>
      <c r="AL361" s="40"/>
      <c r="AM361" s="40"/>
      <c r="AN361" s="40"/>
      <c r="AO361" s="40"/>
      <c r="AP361" s="40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40"/>
      <c r="AJ362" s="40"/>
      <c r="AK362" s="40"/>
      <c r="AL362" s="40"/>
      <c r="AM362" s="40"/>
      <c r="AN362" s="40"/>
      <c r="AO362" s="40"/>
      <c r="AP362" s="40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40"/>
      <c r="AJ363" s="40"/>
      <c r="AK363" s="40"/>
      <c r="AL363" s="40"/>
      <c r="AM363" s="40"/>
      <c r="AN363" s="40"/>
      <c r="AO363" s="40"/>
      <c r="AP363" s="40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40"/>
      <c r="AJ364" s="40"/>
      <c r="AK364" s="40"/>
      <c r="AL364" s="40"/>
      <c r="AM364" s="40"/>
      <c r="AN364" s="40"/>
      <c r="AO364" s="40"/>
      <c r="AP364" s="40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40"/>
      <c r="AJ365" s="40"/>
      <c r="AK365" s="40"/>
      <c r="AL365" s="40"/>
      <c r="AM365" s="40"/>
      <c r="AN365" s="40"/>
      <c r="AO365" s="40"/>
      <c r="AP365" s="40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40"/>
      <c r="AJ366" s="40"/>
      <c r="AK366" s="40"/>
      <c r="AL366" s="40"/>
      <c r="AM366" s="40"/>
      <c r="AN366" s="40"/>
      <c r="AO366" s="40"/>
      <c r="AP366" s="40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40"/>
      <c r="AJ367" s="40"/>
      <c r="AK367" s="40"/>
      <c r="AL367" s="40"/>
      <c r="AM367" s="40"/>
      <c r="AN367" s="40"/>
      <c r="AO367" s="40"/>
      <c r="AP367" s="40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40"/>
      <c r="AJ368" s="40"/>
      <c r="AK368" s="40"/>
      <c r="AL368" s="40"/>
      <c r="AM368" s="40"/>
      <c r="AN368" s="40"/>
      <c r="AO368" s="40"/>
      <c r="AP368" s="40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40"/>
      <c r="AJ369" s="40"/>
      <c r="AK369" s="40"/>
      <c r="AL369" s="40"/>
      <c r="AM369" s="40"/>
      <c r="AN369" s="40"/>
      <c r="AO369" s="40"/>
      <c r="AP369" s="40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40"/>
      <c r="AJ370" s="40"/>
      <c r="AK370" s="40"/>
      <c r="AL370" s="40"/>
      <c r="AM370" s="40"/>
      <c r="AN370" s="40"/>
      <c r="AO370" s="40"/>
      <c r="AP370" s="40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40"/>
      <c r="AJ371" s="40"/>
      <c r="AK371" s="40"/>
      <c r="AL371" s="40"/>
      <c r="AM371" s="40"/>
      <c r="AN371" s="40"/>
      <c r="AO371" s="40"/>
      <c r="AP371" s="40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40"/>
      <c r="AJ372" s="40"/>
      <c r="AK372" s="40"/>
      <c r="AL372" s="40"/>
      <c r="AM372" s="40"/>
      <c r="AN372" s="40"/>
      <c r="AO372" s="40"/>
      <c r="AP372" s="40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40"/>
      <c r="AJ373" s="40"/>
      <c r="AK373" s="40"/>
      <c r="AL373" s="40"/>
      <c r="AM373" s="40"/>
      <c r="AN373" s="40"/>
      <c r="AO373" s="40"/>
      <c r="AP373" s="40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40"/>
      <c r="AJ374" s="40"/>
      <c r="AK374" s="40"/>
      <c r="AL374" s="40"/>
      <c r="AM374" s="40"/>
      <c r="AN374" s="40"/>
      <c r="AO374" s="40"/>
      <c r="AP374" s="40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40"/>
      <c r="AJ375" s="40"/>
      <c r="AK375" s="40"/>
      <c r="AL375" s="40"/>
      <c r="AM375" s="40"/>
      <c r="AN375" s="40"/>
      <c r="AO375" s="40"/>
      <c r="AP375" s="40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40"/>
      <c r="AJ376" s="40"/>
      <c r="AK376" s="40"/>
      <c r="AL376" s="40"/>
      <c r="AM376" s="40"/>
      <c r="AN376" s="40"/>
      <c r="AO376" s="40"/>
      <c r="AP376" s="40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40"/>
      <c r="AJ377" s="40"/>
      <c r="AK377" s="40"/>
      <c r="AL377" s="40"/>
      <c r="AM377" s="40"/>
      <c r="AN377" s="40"/>
      <c r="AO377" s="40"/>
      <c r="AP377" s="40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40"/>
      <c r="AJ378" s="40"/>
      <c r="AK378" s="40"/>
      <c r="AL378" s="40"/>
      <c r="AM378" s="40"/>
      <c r="AN378" s="40"/>
      <c r="AO378" s="40"/>
      <c r="AP378" s="40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40"/>
      <c r="AJ379" s="40"/>
      <c r="AK379" s="40"/>
      <c r="AL379" s="40"/>
      <c r="AM379" s="40"/>
      <c r="AN379" s="40"/>
      <c r="AO379" s="40"/>
      <c r="AP379" s="40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40"/>
      <c r="AJ380" s="40"/>
      <c r="AK380" s="40"/>
      <c r="AL380" s="40"/>
      <c r="AM380" s="40"/>
      <c r="AN380" s="40"/>
      <c r="AO380" s="40"/>
      <c r="AP380" s="40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40"/>
      <c r="AJ381" s="40"/>
      <c r="AK381" s="40"/>
      <c r="AL381" s="40"/>
      <c r="AM381" s="40"/>
      <c r="AN381" s="40"/>
      <c r="AO381" s="40"/>
      <c r="AP381" s="40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40"/>
      <c r="AJ382" s="40"/>
      <c r="AK382" s="40"/>
      <c r="AL382" s="40"/>
      <c r="AM382" s="40"/>
      <c r="AN382" s="40"/>
      <c r="AO382" s="40"/>
      <c r="AP382" s="40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40"/>
      <c r="AJ383" s="40"/>
      <c r="AK383" s="40"/>
      <c r="AL383" s="40"/>
      <c r="AM383" s="40"/>
      <c r="AN383" s="40"/>
      <c r="AO383" s="40"/>
      <c r="AP383" s="40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40"/>
      <c r="AJ384" s="40"/>
      <c r="AK384" s="40"/>
      <c r="AL384" s="40"/>
      <c r="AM384" s="40"/>
      <c r="AN384" s="40"/>
      <c r="AO384" s="40"/>
      <c r="AP384" s="40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40"/>
      <c r="AJ385" s="40"/>
      <c r="AK385" s="40"/>
      <c r="AL385" s="40"/>
      <c r="AM385" s="40"/>
      <c r="AN385" s="40"/>
      <c r="AO385" s="40"/>
      <c r="AP385" s="40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40"/>
      <c r="AJ386" s="40"/>
      <c r="AK386" s="40"/>
      <c r="AL386" s="40"/>
      <c r="AM386" s="40"/>
      <c r="AN386" s="40"/>
      <c r="AO386" s="40"/>
      <c r="AP386" s="40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40"/>
      <c r="AJ387" s="40"/>
      <c r="AK387" s="40"/>
      <c r="AL387" s="40"/>
      <c r="AM387" s="40"/>
      <c r="AN387" s="40"/>
      <c r="AO387" s="40"/>
      <c r="AP387" s="40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40"/>
      <c r="AJ388" s="40"/>
      <c r="AK388" s="40"/>
      <c r="AL388" s="40"/>
      <c r="AM388" s="40"/>
      <c r="AN388" s="40"/>
      <c r="AO388" s="40"/>
      <c r="AP388" s="40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40"/>
      <c r="AJ389" s="40"/>
      <c r="AK389" s="40"/>
      <c r="AL389" s="40"/>
      <c r="AM389" s="40"/>
      <c r="AN389" s="40"/>
      <c r="AO389" s="40"/>
      <c r="AP389" s="40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40"/>
      <c r="AJ390" s="40"/>
      <c r="AK390" s="40"/>
      <c r="AL390" s="40"/>
      <c r="AM390" s="40"/>
      <c r="AN390" s="40"/>
      <c r="AO390" s="40"/>
      <c r="AP390" s="40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40"/>
      <c r="AJ391" s="40"/>
      <c r="AK391" s="40"/>
      <c r="AL391" s="40"/>
      <c r="AM391" s="40"/>
      <c r="AN391" s="40"/>
      <c r="AO391" s="40"/>
      <c r="AP391" s="40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40"/>
      <c r="AJ392" s="40"/>
      <c r="AK392" s="40"/>
      <c r="AL392" s="40"/>
      <c r="AM392" s="40"/>
      <c r="AN392" s="40"/>
      <c r="AO392" s="40"/>
      <c r="AP392" s="40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40"/>
      <c r="AJ393" s="40"/>
      <c r="AK393" s="40"/>
      <c r="AL393" s="40"/>
      <c r="AM393" s="40"/>
      <c r="AN393" s="40"/>
      <c r="AO393" s="40"/>
      <c r="AP393" s="40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40"/>
      <c r="AJ394" s="40"/>
      <c r="AK394" s="40"/>
      <c r="AL394" s="40"/>
      <c r="AM394" s="40"/>
      <c r="AN394" s="40"/>
      <c r="AO394" s="40"/>
      <c r="AP394" s="40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40"/>
      <c r="AJ395" s="40"/>
      <c r="AK395" s="40"/>
      <c r="AL395" s="40"/>
      <c r="AM395" s="40"/>
      <c r="AN395" s="40"/>
      <c r="AO395" s="40"/>
      <c r="AP395" s="40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40"/>
      <c r="AJ396" s="40"/>
      <c r="AK396" s="40"/>
      <c r="AL396" s="40"/>
      <c r="AM396" s="40"/>
      <c r="AN396" s="40"/>
      <c r="AO396" s="40"/>
      <c r="AP396" s="40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40"/>
      <c r="AJ397" s="40"/>
      <c r="AK397" s="40"/>
      <c r="AL397" s="40"/>
      <c r="AM397" s="40"/>
      <c r="AN397" s="40"/>
      <c r="AO397" s="40"/>
      <c r="AP397" s="40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40"/>
      <c r="AJ398" s="40"/>
      <c r="AK398" s="40"/>
      <c r="AL398" s="40"/>
      <c r="AM398" s="40"/>
      <c r="AN398" s="40"/>
      <c r="AO398" s="40"/>
      <c r="AP398" s="40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40"/>
      <c r="AJ399" s="40"/>
      <c r="AK399" s="40"/>
      <c r="AL399" s="40"/>
      <c r="AM399" s="40"/>
      <c r="AN399" s="40"/>
      <c r="AO399" s="40"/>
      <c r="AP399" s="40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40"/>
      <c r="AJ400" s="40"/>
      <c r="AK400" s="40"/>
      <c r="AL400" s="40"/>
      <c r="AM400" s="40"/>
      <c r="AN400" s="40"/>
      <c r="AO400" s="40"/>
      <c r="AP400" s="40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40"/>
      <c r="AJ401" s="40"/>
      <c r="AK401" s="40"/>
      <c r="AL401" s="40"/>
      <c r="AM401" s="40"/>
      <c r="AN401" s="40"/>
      <c r="AO401" s="40"/>
      <c r="AP401" s="40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40"/>
      <c r="AJ402" s="40"/>
      <c r="AK402" s="40"/>
      <c r="AL402" s="40"/>
      <c r="AM402" s="40"/>
      <c r="AN402" s="40"/>
      <c r="AO402" s="40"/>
      <c r="AP402" s="40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40"/>
      <c r="AJ403" s="40"/>
      <c r="AK403" s="40"/>
      <c r="AL403" s="40"/>
      <c r="AM403" s="40"/>
      <c r="AN403" s="40"/>
      <c r="AO403" s="40"/>
      <c r="AP403" s="40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40"/>
      <c r="AJ404" s="40"/>
      <c r="AK404" s="40"/>
      <c r="AL404" s="40"/>
      <c r="AM404" s="40"/>
      <c r="AN404" s="40"/>
      <c r="AO404" s="40"/>
      <c r="AP404" s="40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40"/>
      <c r="AJ405" s="40"/>
      <c r="AK405" s="40"/>
      <c r="AL405" s="40"/>
      <c r="AM405" s="40"/>
      <c r="AN405" s="40"/>
      <c r="AO405" s="40"/>
      <c r="AP405" s="40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40"/>
      <c r="AJ406" s="40"/>
      <c r="AK406" s="40"/>
      <c r="AL406" s="40"/>
      <c r="AM406" s="40"/>
      <c r="AN406" s="40"/>
      <c r="AO406" s="40"/>
      <c r="AP406" s="40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40"/>
      <c r="AJ407" s="40"/>
      <c r="AK407" s="40"/>
      <c r="AL407" s="40"/>
      <c r="AM407" s="40"/>
      <c r="AN407" s="40"/>
      <c r="AO407" s="40"/>
      <c r="AP407" s="40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40"/>
      <c r="AJ408" s="40"/>
      <c r="AK408" s="40"/>
      <c r="AL408" s="40"/>
      <c r="AM408" s="40"/>
      <c r="AN408" s="40"/>
      <c r="AO408" s="40"/>
      <c r="AP408" s="40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40"/>
      <c r="AJ409" s="40"/>
      <c r="AK409" s="40"/>
      <c r="AL409" s="40"/>
      <c r="AM409" s="40"/>
      <c r="AN409" s="40"/>
      <c r="AO409" s="40"/>
      <c r="AP409" s="40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40"/>
      <c r="AJ410" s="40"/>
      <c r="AK410" s="40"/>
      <c r="AL410" s="40"/>
      <c r="AM410" s="40"/>
      <c r="AN410" s="40"/>
      <c r="AO410" s="40"/>
      <c r="AP410" s="40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40"/>
      <c r="AJ411" s="40"/>
      <c r="AK411" s="40"/>
      <c r="AL411" s="40"/>
      <c r="AM411" s="40"/>
      <c r="AN411" s="40"/>
      <c r="AO411" s="40"/>
      <c r="AP411" s="40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40"/>
      <c r="AJ412" s="40"/>
      <c r="AK412" s="40"/>
      <c r="AL412" s="40"/>
      <c r="AM412" s="40"/>
      <c r="AN412" s="40"/>
      <c r="AO412" s="40"/>
      <c r="AP412" s="40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40"/>
      <c r="AJ413" s="40"/>
      <c r="AK413" s="40"/>
      <c r="AL413" s="40"/>
      <c r="AM413" s="40"/>
      <c r="AN413" s="40"/>
      <c r="AO413" s="40"/>
      <c r="AP413" s="40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40"/>
      <c r="AJ414" s="40"/>
      <c r="AK414" s="40"/>
      <c r="AL414" s="40"/>
      <c r="AM414" s="40"/>
      <c r="AN414" s="40"/>
      <c r="AO414" s="40"/>
      <c r="AP414" s="40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40"/>
      <c r="AJ415" s="40"/>
      <c r="AK415" s="40"/>
      <c r="AL415" s="40"/>
      <c r="AM415" s="40"/>
      <c r="AN415" s="40"/>
      <c r="AO415" s="40"/>
      <c r="AP415" s="40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40"/>
      <c r="AJ416" s="40"/>
      <c r="AK416" s="40"/>
      <c r="AL416" s="40"/>
      <c r="AM416" s="40"/>
      <c r="AN416" s="40"/>
      <c r="AO416" s="40"/>
      <c r="AP416" s="40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40"/>
      <c r="AJ417" s="40"/>
      <c r="AK417" s="40"/>
      <c r="AL417" s="40"/>
      <c r="AM417" s="40"/>
      <c r="AN417" s="40"/>
      <c r="AO417" s="40"/>
      <c r="AP417" s="40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40"/>
      <c r="AJ418" s="40"/>
      <c r="AK418" s="40"/>
      <c r="AL418" s="40"/>
      <c r="AM418" s="40"/>
      <c r="AN418" s="40"/>
      <c r="AO418" s="40"/>
      <c r="AP418" s="40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40"/>
      <c r="AJ419" s="40"/>
      <c r="AK419" s="40"/>
      <c r="AL419" s="40"/>
      <c r="AM419" s="40"/>
      <c r="AN419" s="40"/>
      <c r="AO419" s="40"/>
      <c r="AP419" s="40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40"/>
      <c r="AJ420" s="40"/>
      <c r="AK420" s="40"/>
      <c r="AL420" s="40"/>
      <c r="AM420" s="40"/>
      <c r="AN420" s="40"/>
      <c r="AO420" s="40"/>
      <c r="AP420" s="40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40"/>
      <c r="AJ421" s="40"/>
      <c r="AK421" s="40"/>
      <c r="AL421" s="40"/>
      <c r="AM421" s="40"/>
      <c r="AN421" s="40"/>
      <c r="AO421" s="40"/>
      <c r="AP421" s="40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40"/>
      <c r="AJ422" s="40"/>
      <c r="AK422" s="40"/>
      <c r="AL422" s="40"/>
      <c r="AM422" s="40"/>
      <c r="AN422" s="40"/>
      <c r="AO422" s="40"/>
      <c r="AP422" s="40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40"/>
      <c r="AJ423" s="40"/>
      <c r="AK423" s="40"/>
      <c r="AL423" s="40"/>
      <c r="AM423" s="40"/>
      <c r="AN423" s="40"/>
      <c r="AO423" s="40"/>
      <c r="AP423" s="40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40"/>
      <c r="AJ424" s="40"/>
      <c r="AK424" s="40"/>
      <c r="AL424" s="40"/>
      <c r="AM424" s="40"/>
      <c r="AN424" s="40"/>
      <c r="AO424" s="40"/>
      <c r="AP424" s="40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40"/>
      <c r="AJ425" s="40"/>
      <c r="AK425" s="40"/>
      <c r="AL425" s="40"/>
      <c r="AM425" s="40"/>
      <c r="AN425" s="40"/>
      <c r="AO425" s="40"/>
      <c r="AP425" s="40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40"/>
      <c r="AJ426" s="40"/>
      <c r="AK426" s="40"/>
      <c r="AL426" s="40"/>
      <c r="AM426" s="40"/>
      <c r="AN426" s="40"/>
      <c r="AO426" s="40"/>
      <c r="AP426" s="40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40"/>
      <c r="AJ427" s="40"/>
      <c r="AK427" s="40"/>
      <c r="AL427" s="40"/>
      <c r="AM427" s="40"/>
      <c r="AN427" s="40"/>
      <c r="AO427" s="40"/>
      <c r="AP427" s="40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40"/>
      <c r="AJ428" s="40"/>
      <c r="AK428" s="40"/>
      <c r="AL428" s="40"/>
      <c r="AM428" s="40"/>
      <c r="AN428" s="40"/>
      <c r="AO428" s="40"/>
      <c r="AP428" s="40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40"/>
      <c r="AJ429" s="40"/>
      <c r="AK429" s="40"/>
      <c r="AL429" s="40"/>
      <c r="AM429" s="40"/>
      <c r="AN429" s="40"/>
      <c r="AO429" s="40"/>
      <c r="AP429" s="40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40"/>
      <c r="AJ430" s="40"/>
      <c r="AK430" s="40"/>
      <c r="AL430" s="40"/>
      <c r="AM430" s="40"/>
      <c r="AN430" s="40"/>
      <c r="AO430" s="40"/>
      <c r="AP430" s="40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40"/>
      <c r="AJ431" s="40"/>
      <c r="AK431" s="40"/>
      <c r="AL431" s="40"/>
      <c r="AM431" s="40"/>
      <c r="AN431" s="40"/>
      <c r="AO431" s="40"/>
      <c r="AP431" s="40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40"/>
      <c r="AJ432" s="40"/>
      <c r="AK432" s="40"/>
      <c r="AL432" s="40"/>
      <c r="AM432" s="40"/>
      <c r="AN432" s="40"/>
      <c r="AO432" s="40"/>
      <c r="AP432" s="40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40"/>
      <c r="AJ433" s="40"/>
      <c r="AK433" s="40"/>
      <c r="AL433" s="40"/>
      <c r="AM433" s="40"/>
      <c r="AN433" s="40"/>
      <c r="AO433" s="40"/>
      <c r="AP433" s="40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40"/>
      <c r="AJ434" s="40"/>
      <c r="AK434" s="40"/>
      <c r="AL434" s="40"/>
      <c r="AM434" s="40"/>
      <c r="AN434" s="40"/>
      <c r="AO434" s="40"/>
      <c r="AP434" s="40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40"/>
      <c r="AJ435" s="40"/>
      <c r="AK435" s="40"/>
      <c r="AL435" s="40"/>
      <c r="AM435" s="40"/>
      <c r="AN435" s="40"/>
      <c r="AO435" s="40"/>
      <c r="AP435" s="40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40"/>
      <c r="AJ436" s="40"/>
      <c r="AK436" s="40"/>
      <c r="AL436" s="40"/>
      <c r="AM436" s="40"/>
      <c r="AN436" s="40"/>
      <c r="AO436" s="40"/>
      <c r="AP436" s="40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40"/>
      <c r="AJ437" s="40"/>
      <c r="AK437" s="40"/>
      <c r="AL437" s="40"/>
      <c r="AM437" s="40"/>
      <c r="AN437" s="40"/>
      <c r="AO437" s="40"/>
      <c r="AP437" s="40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40"/>
      <c r="AJ438" s="40"/>
      <c r="AK438" s="40"/>
      <c r="AL438" s="40"/>
      <c r="AM438" s="40"/>
      <c r="AN438" s="40"/>
      <c r="AO438" s="40"/>
      <c r="AP438" s="40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40"/>
      <c r="AJ439" s="40"/>
      <c r="AK439" s="40"/>
      <c r="AL439" s="40"/>
      <c r="AM439" s="40"/>
      <c r="AN439" s="40"/>
      <c r="AO439" s="40"/>
      <c r="AP439" s="40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40"/>
      <c r="AJ440" s="40"/>
      <c r="AK440" s="40"/>
      <c r="AL440" s="40"/>
      <c r="AM440" s="40"/>
      <c r="AN440" s="40"/>
      <c r="AO440" s="40"/>
      <c r="AP440" s="40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40"/>
      <c r="AJ441" s="40"/>
      <c r="AK441" s="40"/>
      <c r="AL441" s="40"/>
      <c r="AM441" s="40"/>
      <c r="AN441" s="40"/>
      <c r="AO441" s="40"/>
      <c r="AP441" s="40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40"/>
      <c r="AJ442" s="40"/>
      <c r="AK442" s="40"/>
      <c r="AL442" s="40"/>
      <c r="AM442" s="40"/>
      <c r="AN442" s="40"/>
      <c r="AO442" s="40"/>
      <c r="AP442" s="40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40"/>
      <c r="AJ443" s="40"/>
      <c r="AK443" s="40"/>
      <c r="AL443" s="40"/>
      <c r="AM443" s="40"/>
      <c r="AN443" s="40"/>
      <c r="AO443" s="40"/>
      <c r="AP443" s="40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40"/>
      <c r="AJ444" s="40"/>
      <c r="AK444" s="40"/>
      <c r="AL444" s="40"/>
      <c r="AM444" s="40"/>
      <c r="AN444" s="40"/>
      <c r="AO444" s="40"/>
      <c r="AP444" s="40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40"/>
      <c r="AJ445" s="40"/>
      <c r="AK445" s="40"/>
      <c r="AL445" s="40"/>
      <c r="AM445" s="40"/>
      <c r="AN445" s="40"/>
      <c r="AO445" s="40"/>
      <c r="AP445" s="40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40"/>
      <c r="AJ446" s="40"/>
      <c r="AK446" s="40"/>
      <c r="AL446" s="40"/>
      <c r="AM446" s="40"/>
      <c r="AN446" s="40"/>
      <c r="AO446" s="40"/>
      <c r="AP446" s="40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40"/>
      <c r="AJ447" s="40"/>
      <c r="AK447" s="40"/>
      <c r="AL447" s="40"/>
      <c r="AM447" s="40"/>
      <c r="AN447" s="40"/>
      <c r="AO447" s="40"/>
      <c r="AP447" s="40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40"/>
      <c r="AJ448" s="40"/>
      <c r="AK448" s="40"/>
      <c r="AL448" s="40"/>
      <c r="AM448" s="40"/>
      <c r="AN448" s="40"/>
      <c r="AO448" s="40"/>
      <c r="AP448" s="40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40"/>
      <c r="AJ449" s="40"/>
      <c r="AK449" s="40"/>
      <c r="AL449" s="40"/>
      <c r="AM449" s="40"/>
      <c r="AN449" s="40"/>
      <c r="AO449" s="40"/>
      <c r="AP449" s="40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40"/>
      <c r="AJ450" s="40"/>
      <c r="AK450" s="40"/>
      <c r="AL450" s="40"/>
      <c r="AM450" s="40"/>
      <c r="AN450" s="40"/>
      <c r="AO450" s="40"/>
      <c r="AP450" s="40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40"/>
      <c r="AJ451" s="40"/>
      <c r="AK451" s="40"/>
      <c r="AL451" s="40"/>
      <c r="AM451" s="40"/>
      <c r="AN451" s="40"/>
      <c r="AO451" s="40"/>
      <c r="AP451" s="40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40"/>
      <c r="AJ452" s="40"/>
      <c r="AK452" s="40"/>
      <c r="AL452" s="40"/>
      <c r="AM452" s="40"/>
      <c r="AN452" s="40"/>
      <c r="AO452" s="40"/>
      <c r="AP452" s="40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40"/>
      <c r="AJ453" s="40"/>
      <c r="AK453" s="40"/>
      <c r="AL453" s="40"/>
      <c r="AM453" s="40"/>
      <c r="AN453" s="40"/>
      <c r="AO453" s="40"/>
      <c r="AP453" s="40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40"/>
      <c r="AJ454" s="40"/>
      <c r="AK454" s="40"/>
      <c r="AL454" s="40"/>
      <c r="AM454" s="40"/>
      <c r="AN454" s="40"/>
      <c r="AO454" s="40"/>
      <c r="AP454" s="40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40"/>
      <c r="AJ455" s="40"/>
      <c r="AK455" s="40"/>
      <c r="AL455" s="40"/>
      <c r="AM455" s="40"/>
      <c r="AN455" s="40"/>
      <c r="AO455" s="40"/>
      <c r="AP455" s="40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40"/>
      <c r="AJ456" s="40"/>
      <c r="AK456" s="40"/>
      <c r="AL456" s="40"/>
      <c r="AM456" s="40"/>
      <c r="AN456" s="40"/>
      <c r="AO456" s="40"/>
      <c r="AP456" s="40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40"/>
      <c r="AJ457" s="40"/>
      <c r="AK457" s="40"/>
      <c r="AL457" s="40"/>
      <c r="AM457" s="40"/>
      <c r="AN457" s="40"/>
      <c r="AO457" s="40"/>
      <c r="AP457" s="40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40"/>
      <c r="AJ458" s="40"/>
      <c r="AK458" s="40"/>
      <c r="AL458" s="40"/>
      <c r="AM458" s="40"/>
      <c r="AN458" s="40"/>
      <c r="AO458" s="40"/>
      <c r="AP458" s="40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40"/>
      <c r="AJ459" s="40"/>
      <c r="AK459" s="40"/>
      <c r="AL459" s="40"/>
      <c r="AM459" s="40"/>
      <c r="AN459" s="40"/>
      <c r="AO459" s="40"/>
      <c r="AP459" s="40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40"/>
      <c r="AJ460" s="40"/>
      <c r="AK460" s="40"/>
      <c r="AL460" s="40"/>
      <c r="AM460" s="40"/>
      <c r="AN460" s="40"/>
      <c r="AO460" s="40"/>
      <c r="AP460" s="40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40"/>
      <c r="AJ461" s="40"/>
      <c r="AK461" s="40"/>
      <c r="AL461" s="40"/>
      <c r="AM461" s="40"/>
      <c r="AN461" s="40"/>
      <c r="AO461" s="40"/>
      <c r="AP461" s="40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40"/>
      <c r="AJ462" s="40"/>
      <c r="AK462" s="40"/>
      <c r="AL462" s="40"/>
      <c r="AM462" s="40"/>
      <c r="AN462" s="40"/>
      <c r="AO462" s="40"/>
      <c r="AP462" s="40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40"/>
      <c r="AJ463" s="40"/>
      <c r="AK463" s="40"/>
      <c r="AL463" s="40"/>
      <c r="AM463" s="40"/>
      <c r="AN463" s="40"/>
      <c r="AO463" s="40"/>
      <c r="AP463" s="40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40"/>
      <c r="AJ464" s="40"/>
      <c r="AK464" s="40"/>
      <c r="AL464" s="40"/>
      <c r="AM464" s="40"/>
      <c r="AN464" s="40"/>
      <c r="AO464" s="40"/>
      <c r="AP464" s="40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40"/>
      <c r="AJ465" s="40"/>
      <c r="AK465" s="40"/>
      <c r="AL465" s="40"/>
      <c r="AM465" s="40"/>
      <c r="AN465" s="40"/>
      <c r="AO465" s="40"/>
      <c r="AP465" s="40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40"/>
      <c r="AJ466" s="40"/>
      <c r="AK466" s="40"/>
      <c r="AL466" s="40"/>
      <c r="AM466" s="40"/>
      <c r="AN466" s="40"/>
      <c r="AO466" s="40"/>
      <c r="AP466" s="40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40"/>
      <c r="AJ467" s="40"/>
      <c r="AK467" s="40"/>
      <c r="AL467" s="40"/>
      <c r="AM467" s="40"/>
      <c r="AN467" s="40"/>
      <c r="AO467" s="40"/>
      <c r="AP467" s="40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40"/>
      <c r="AJ468" s="40"/>
      <c r="AK468" s="40"/>
      <c r="AL468" s="40"/>
      <c r="AM468" s="40"/>
      <c r="AN468" s="40"/>
      <c r="AO468" s="40"/>
      <c r="AP468" s="40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40"/>
      <c r="AJ469" s="40"/>
      <c r="AK469" s="40"/>
      <c r="AL469" s="40"/>
      <c r="AM469" s="40"/>
      <c r="AN469" s="40"/>
      <c r="AO469" s="40"/>
      <c r="AP469" s="40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40"/>
      <c r="AJ470" s="40"/>
      <c r="AK470" s="40"/>
      <c r="AL470" s="40"/>
      <c r="AM470" s="40"/>
      <c r="AN470" s="40"/>
      <c r="AO470" s="40"/>
      <c r="AP470" s="40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40"/>
      <c r="AJ471" s="40"/>
      <c r="AK471" s="40"/>
      <c r="AL471" s="40"/>
      <c r="AM471" s="40"/>
      <c r="AN471" s="40"/>
      <c r="AO471" s="40"/>
      <c r="AP471" s="40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40"/>
      <c r="AJ472" s="40"/>
      <c r="AK472" s="40"/>
      <c r="AL472" s="40"/>
      <c r="AM472" s="40"/>
      <c r="AN472" s="40"/>
      <c r="AO472" s="40"/>
      <c r="AP472" s="40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40"/>
      <c r="AJ473" s="40"/>
      <c r="AK473" s="40"/>
      <c r="AL473" s="40"/>
      <c r="AM473" s="40"/>
      <c r="AN473" s="40"/>
      <c r="AO473" s="40"/>
      <c r="AP473" s="40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40"/>
      <c r="AJ474" s="40"/>
      <c r="AK474" s="40"/>
      <c r="AL474" s="40"/>
      <c r="AM474" s="40"/>
      <c r="AN474" s="40"/>
      <c r="AO474" s="40"/>
      <c r="AP474" s="40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40"/>
      <c r="AJ475" s="40"/>
      <c r="AK475" s="40"/>
      <c r="AL475" s="40"/>
      <c r="AM475" s="40"/>
      <c r="AN475" s="40"/>
      <c r="AO475" s="40"/>
      <c r="AP475" s="40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40"/>
      <c r="AJ476" s="40"/>
      <c r="AK476" s="40"/>
      <c r="AL476" s="40"/>
      <c r="AM476" s="40"/>
      <c r="AN476" s="40"/>
      <c r="AO476" s="40"/>
      <c r="AP476" s="40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40"/>
      <c r="AJ477" s="40"/>
      <c r="AK477" s="40"/>
      <c r="AL477" s="40"/>
      <c r="AM477" s="40"/>
      <c r="AN477" s="40"/>
      <c r="AO477" s="40"/>
      <c r="AP477" s="40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40"/>
      <c r="AJ478" s="40"/>
      <c r="AK478" s="40"/>
      <c r="AL478" s="40"/>
      <c r="AM478" s="40"/>
      <c r="AN478" s="40"/>
      <c r="AO478" s="40"/>
      <c r="AP478" s="40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40"/>
      <c r="AJ479" s="40"/>
      <c r="AK479" s="40"/>
      <c r="AL479" s="40"/>
      <c r="AM479" s="40"/>
      <c r="AN479" s="40"/>
      <c r="AO479" s="40"/>
      <c r="AP479" s="40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40"/>
      <c r="AJ480" s="40"/>
      <c r="AK480" s="40"/>
      <c r="AL480" s="40"/>
      <c r="AM480" s="40"/>
      <c r="AN480" s="40"/>
      <c r="AO480" s="40"/>
      <c r="AP480" s="40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40"/>
      <c r="AJ481" s="40"/>
      <c r="AK481" s="40"/>
      <c r="AL481" s="40"/>
      <c r="AM481" s="40"/>
      <c r="AN481" s="40"/>
      <c r="AO481" s="40"/>
      <c r="AP481" s="40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40"/>
      <c r="AJ482" s="40"/>
      <c r="AK482" s="40"/>
      <c r="AL482" s="40"/>
      <c r="AM482" s="40"/>
      <c r="AN482" s="40"/>
      <c r="AO482" s="40"/>
      <c r="AP482" s="40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40"/>
      <c r="AJ483" s="40"/>
      <c r="AK483" s="40"/>
      <c r="AL483" s="40"/>
      <c r="AM483" s="40"/>
      <c r="AN483" s="40"/>
      <c r="AO483" s="40"/>
      <c r="AP483" s="40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40"/>
      <c r="AJ484" s="40"/>
      <c r="AK484" s="40"/>
      <c r="AL484" s="40"/>
      <c r="AM484" s="40"/>
      <c r="AN484" s="40"/>
      <c r="AO484" s="40"/>
      <c r="AP484" s="40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40"/>
      <c r="AJ485" s="40"/>
      <c r="AK485" s="40"/>
      <c r="AL485" s="40"/>
      <c r="AM485" s="40"/>
      <c r="AN485" s="40"/>
      <c r="AO485" s="40"/>
      <c r="AP485" s="40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40"/>
      <c r="AJ486" s="40"/>
      <c r="AK486" s="40"/>
      <c r="AL486" s="40"/>
      <c r="AM486" s="40"/>
      <c r="AN486" s="40"/>
      <c r="AO486" s="40"/>
      <c r="AP486" s="40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40"/>
      <c r="AJ487" s="40"/>
      <c r="AK487" s="40"/>
      <c r="AL487" s="40"/>
      <c r="AM487" s="40"/>
      <c r="AN487" s="40"/>
      <c r="AO487" s="40"/>
      <c r="AP487" s="40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40"/>
      <c r="AJ488" s="40"/>
      <c r="AK488" s="40"/>
      <c r="AL488" s="40"/>
      <c r="AM488" s="40"/>
      <c r="AN488" s="40"/>
      <c r="AO488" s="40"/>
      <c r="AP488" s="40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40"/>
      <c r="AJ489" s="40"/>
      <c r="AK489" s="40"/>
      <c r="AL489" s="40"/>
      <c r="AM489" s="40"/>
      <c r="AN489" s="40"/>
      <c r="AO489" s="40"/>
      <c r="AP489" s="40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40"/>
      <c r="AJ490" s="40"/>
      <c r="AK490" s="40"/>
      <c r="AL490" s="40"/>
      <c r="AM490" s="40"/>
      <c r="AN490" s="40"/>
      <c r="AO490" s="40"/>
      <c r="AP490" s="40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40"/>
      <c r="AJ491" s="40"/>
      <c r="AK491" s="40"/>
      <c r="AL491" s="40"/>
      <c r="AM491" s="40"/>
      <c r="AN491" s="40"/>
      <c r="AO491" s="40"/>
      <c r="AP491" s="40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40"/>
      <c r="AJ492" s="40"/>
      <c r="AK492" s="40"/>
      <c r="AL492" s="40"/>
      <c r="AM492" s="40"/>
      <c r="AN492" s="40"/>
      <c r="AO492" s="40"/>
      <c r="AP492" s="40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40"/>
      <c r="AJ493" s="40"/>
      <c r="AK493" s="40"/>
      <c r="AL493" s="40"/>
      <c r="AM493" s="40"/>
      <c r="AN493" s="40"/>
      <c r="AO493" s="40"/>
      <c r="AP493" s="40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40"/>
      <c r="AJ494" s="40"/>
      <c r="AK494" s="40"/>
      <c r="AL494" s="40"/>
      <c r="AM494" s="40"/>
      <c r="AN494" s="40"/>
      <c r="AO494" s="40"/>
      <c r="AP494" s="40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40"/>
      <c r="AJ495" s="40"/>
      <c r="AK495" s="40"/>
      <c r="AL495" s="40"/>
      <c r="AM495" s="40"/>
      <c r="AN495" s="40"/>
      <c r="AO495" s="40"/>
      <c r="AP495" s="40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40"/>
      <c r="AJ496" s="40"/>
      <c r="AK496" s="40"/>
      <c r="AL496" s="40"/>
      <c r="AM496" s="40"/>
      <c r="AN496" s="40"/>
      <c r="AO496" s="40"/>
      <c r="AP496" s="40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40"/>
      <c r="AJ497" s="40"/>
      <c r="AK497" s="40"/>
      <c r="AL497" s="40"/>
      <c r="AM497" s="40"/>
      <c r="AN497" s="40"/>
      <c r="AO497" s="40"/>
      <c r="AP497" s="40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40"/>
      <c r="AJ498" s="40"/>
      <c r="AK498" s="40"/>
      <c r="AL498" s="40"/>
      <c r="AM498" s="40"/>
      <c r="AN498" s="40"/>
      <c r="AO498" s="40"/>
      <c r="AP498" s="40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40"/>
      <c r="AJ499" s="40"/>
      <c r="AK499" s="40"/>
      <c r="AL499" s="40"/>
      <c r="AM499" s="40"/>
      <c r="AN499" s="40"/>
      <c r="AO499" s="40"/>
      <c r="AP499" s="40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40"/>
      <c r="AJ500" s="40"/>
      <c r="AK500" s="40"/>
      <c r="AL500" s="40"/>
      <c r="AM500" s="40"/>
      <c r="AN500" s="40"/>
      <c r="AO500" s="40"/>
      <c r="AP500" s="40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40"/>
      <c r="AJ501" s="40"/>
      <c r="AK501" s="40"/>
      <c r="AL501" s="40"/>
      <c r="AM501" s="40"/>
      <c r="AN501" s="40"/>
      <c r="AO501" s="40"/>
      <c r="AP501" s="40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40"/>
      <c r="AJ502" s="40"/>
      <c r="AK502" s="40"/>
      <c r="AL502" s="40"/>
      <c r="AM502" s="40"/>
      <c r="AN502" s="40"/>
      <c r="AO502" s="40"/>
      <c r="AP502" s="40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40"/>
      <c r="AJ503" s="40"/>
      <c r="AK503" s="40"/>
      <c r="AL503" s="40"/>
      <c r="AM503" s="40"/>
      <c r="AN503" s="40"/>
      <c r="AO503" s="40"/>
      <c r="AP503" s="40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40"/>
      <c r="AJ504" s="40"/>
      <c r="AK504" s="40"/>
      <c r="AL504" s="40"/>
      <c r="AM504" s="40"/>
      <c r="AN504" s="40"/>
      <c r="AO504" s="40"/>
      <c r="AP504" s="40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40"/>
      <c r="AJ505" s="40"/>
      <c r="AK505" s="40"/>
      <c r="AL505" s="40"/>
      <c r="AM505" s="40"/>
      <c r="AN505" s="40"/>
      <c r="AO505" s="40"/>
      <c r="AP505" s="40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40"/>
      <c r="AJ506" s="40"/>
      <c r="AK506" s="40"/>
      <c r="AL506" s="40"/>
      <c r="AM506" s="40"/>
      <c r="AN506" s="40"/>
      <c r="AO506" s="40"/>
      <c r="AP506" s="40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40"/>
      <c r="AJ507" s="40"/>
      <c r="AK507" s="40"/>
      <c r="AL507" s="40"/>
      <c r="AM507" s="40"/>
      <c r="AN507" s="40"/>
      <c r="AO507" s="40"/>
      <c r="AP507" s="40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40"/>
      <c r="AJ508" s="40"/>
      <c r="AK508" s="40"/>
      <c r="AL508" s="40"/>
      <c r="AM508" s="40"/>
      <c r="AN508" s="40"/>
      <c r="AO508" s="40"/>
      <c r="AP508" s="40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40"/>
      <c r="AJ509" s="40"/>
      <c r="AK509" s="40"/>
      <c r="AL509" s="40"/>
      <c r="AM509" s="40"/>
      <c r="AN509" s="40"/>
      <c r="AO509" s="40"/>
      <c r="AP509" s="40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40"/>
      <c r="AJ510" s="40"/>
      <c r="AK510" s="40"/>
      <c r="AL510" s="40"/>
      <c r="AM510" s="40"/>
      <c r="AN510" s="40"/>
      <c r="AO510" s="40"/>
      <c r="AP510" s="40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40"/>
      <c r="AJ511" s="40"/>
      <c r="AK511" s="40"/>
      <c r="AL511" s="40"/>
      <c r="AM511" s="40"/>
      <c r="AN511" s="40"/>
      <c r="AO511" s="40"/>
      <c r="AP511" s="40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40"/>
      <c r="AJ512" s="40"/>
      <c r="AK512" s="40"/>
      <c r="AL512" s="40"/>
      <c r="AM512" s="40"/>
      <c r="AN512" s="40"/>
      <c r="AO512" s="40"/>
      <c r="AP512" s="40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40"/>
      <c r="AJ513" s="40"/>
      <c r="AK513" s="40"/>
      <c r="AL513" s="40"/>
      <c r="AM513" s="40"/>
      <c r="AN513" s="40"/>
      <c r="AO513" s="40"/>
      <c r="AP513" s="40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40"/>
      <c r="AJ514" s="40"/>
      <c r="AK514" s="40"/>
      <c r="AL514" s="40"/>
      <c r="AM514" s="40"/>
      <c r="AN514" s="40"/>
      <c r="AO514" s="40"/>
      <c r="AP514" s="40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40"/>
      <c r="AJ515" s="40"/>
      <c r="AK515" s="40"/>
      <c r="AL515" s="40"/>
      <c r="AM515" s="40"/>
      <c r="AN515" s="40"/>
      <c r="AO515" s="40"/>
      <c r="AP515" s="40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40"/>
      <c r="AJ516" s="40"/>
      <c r="AK516" s="40"/>
      <c r="AL516" s="40"/>
      <c r="AM516" s="40"/>
      <c r="AN516" s="40"/>
      <c r="AO516" s="40"/>
      <c r="AP516" s="40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40"/>
      <c r="AJ517" s="40"/>
      <c r="AK517" s="40"/>
      <c r="AL517" s="40"/>
      <c r="AM517" s="40"/>
      <c r="AN517" s="40"/>
      <c r="AO517" s="40"/>
      <c r="AP517" s="40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40"/>
      <c r="AJ518" s="40"/>
      <c r="AK518" s="40"/>
      <c r="AL518" s="40"/>
      <c r="AM518" s="40"/>
      <c r="AN518" s="40"/>
      <c r="AO518" s="40"/>
      <c r="AP518" s="40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40"/>
      <c r="AJ519" s="40"/>
      <c r="AK519" s="40"/>
      <c r="AL519" s="40"/>
      <c r="AM519" s="40"/>
      <c r="AN519" s="40"/>
      <c r="AO519" s="40"/>
      <c r="AP519" s="40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40"/>
      <c r="AJ520" s="40"/>
      <c r="AK520" s="40"/>
      <c r="AL520" s="40"/>
      <c r="AM520" s="40"/>
      <c r="AN520" s="40"/>
      <c r="AO520" s="40"/>
      <c r="AP520" s="40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40"/>
      <c r="AJ521" s="40"/>
      <c r="AK521" s="40"/>
      <c r="AL521" s="40"/>
      <c r="AM521" s="40"/>
      <c r="AN521" s="40"/>
      <c r="AO521" s="40"/>
      <c r="AP521" s="40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40"/>
      <c r="AJ522" s="40"/>
      <c r="AK522" s="40"/>
      <c r="AL522" s="40"/>
      <c r="AM522" s="40"/>
      <c r="AN522" s="40"/>
      <c r="AO522" s="40"/>
      <c r="AP522" s="40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40"/>
      <c r="AJ523" s="40"/>
      <c r="AK523" s="40"/>
      <c r="AL523" s="40"/>
      <c r="AM523" s="40"/>
      <c r="AN523" s="40"/>
      <c r="AO523" s="40"/>
      <c r="AP523" s="40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40"/>
      <c r="AJ524" s="40"/>
      <c r="AK524" s="40"/>
      <c r="AL524" s="40"/>
      <c r="AM524" s="40"/>
      <c r="AN524" s="40"/>
      <c r="AO524" s="40"/>
      <c r="AP524" s="40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40"/>
      <c r="AJ525" s="40"/>
      <c r="AK525" s="40"/>
      <c r="AL525" s="40"/>
      <c r="AM525" s="40"/>
      <c r="AN525" s="40"/>
      <c r="AO525" s="40"/>
      <c r="AP525" s="40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40"/>
      <c r="AJ526" s="40"/>
      <c r="AK526" s="40"/>
      <c r="AL526" s="40"/>
      <c r="AM526" s="40"/>
      <c r="AN526" s="40"/>
      <c r="AO526" s="40"/>
      <c r="AP526" s="40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40"/>
      <c r="AJ527" s="40"/>
      <c r="AK527" s="40"/>
      <c r="AL527" s="40"/>
      <c r="AM527" s="40"/>
      <c r="AN527" s="40"/>
      <c r="AO527" s="40"/>
      <c r="AP527" s="40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40"/>
      <c r="AJ528" s="40"/>
      <c r="AK528" s="40"/>
      <c r="AL528" s="40"/>
      <c r="AM528" s="40"/>
      <c r="AN528" s="40"/>
      <c r="AO528" s="40"/>
      <c r="AP528" s="40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40"/>
      <c r="AJ529" s="40"/>
      <c r="AK529" s="40"/>
      <c r="AL529" s="40"/>
      <c r="AM529" s="40"/>
      <c r="AN529" s="40"/>
      <c r="AO529" s="40"/>
      <c r="AP529" s="40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40"/>
      <c r="AJ530" s="40"/>
      <c r="AK530" s="40"/>
      <c r="AL530" s="40"/>
      <c r="AM530" s="40"/>
      <c r="AN530" s="40"/>
      <c r="AO530" s="40"/>
      <c r="AP530" s="40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40"/>
      <c r="AJ531" s="40"/>
      <c r="AK531" s="40"/>
      <c r="AL531" s="40"/>
      <c r="AM531" s="40"/>
      <c r="AN531" s="40"/>
      <c r="AO531" s="40"/>
      <c r="AP531" s="40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40"/>
      <c r="AJ532" s="40"/>
      <c r="AK532" s="40"/>
      <c r="AL532" s="40"/>
      <c r="AM532" s="40"/>
      <c r="AN532" s="40"/>
      <c r="AO532" s="40"/>
      <c r="AP532" s="40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40"/>
      <c r="AJ533" s="40"/>
      <c r="AK533" s="40"/>
      <c r="AL533" s="40"/>
      <c r="AM533" s="40"/>
      <c r="AN533" s="40"/>
      <c r="AO533" s="40"/>
      <c r="AP533" s="40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40"/>
      <c r="AJ534" s="40"/>
      <c r="AK534" s="40"/>
      <c r="AL534" s="40"/>
      <c r="AM534" s="40"/>
      <c r="AN534" s="40"/>
      <c r="AO534" s="40"/>
      <c r="AP534" s="40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40"/>
      <c r="AJ535" s="40"/>
      <c r="AK535" s="40"/>
      <c r="AL535" s="40"/>
      <c r="AM535" s="40"/>
      <c r="AN535" s="40"/>
      <c r="AO535" s="40"/>
      <c r="AP535" s="40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40"/>
      <c r="AJ536" s="40"/>
      <c r="AK536" s="40"/>
      <c r="AL536" s="40"/>
      <c r="AM536" s="40"/>
      <c r="AN536" s="40"/>
      <c r="AO536" s="40"/>
      <c r="AP536" s="40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40"/>
      <c r="AJ537" s="40"/>
      <c r="AK537" s="40"/>
      <c r="AL537" s="40"/>
      <c r="AM537" s="40"/>
      <c r="AN537" s="40"/>
      <c r="AO537" s="40"/>
      <c r="AP537" s="40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40"/>
      <c r="AJ538" s="40"/>
      <c r="AK538" s="40"/>
      <c r="AL538" s="40"/>
      <c r="AM538" s="40"/>
      <c r="AN538" s="40"/>
      <c r="AO538" s="40"/>
      <c r="AP538" s="40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40"/>
      <c r="AJ539" s="40"/>
      <c r="AK539" s="40"/>
      <c r="AL539" s="40"/>
      <c r="AM539" s="40"/>
      <c r="AN539" s="40"/>
      <c r="AO539" s="40"/>
      <c r="AP539" s="40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40"/>
      <c r="AJ540" s="40"/>
      <c r="AK540" s="40"/>
      <c r="AL540" s="40"/>
      <c r="AM540" s="40"/>
      <c r="AN540" s="40"/>
      <c r="AO540" s="40"/>
      <c r="AP540" s="40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40"/>
      <c r="AJ541" s="40"/>
      <c r="AK541" s="40"/>
      <c r="AL541" s="40"/>
      <c r="AM541" s="40"/>
      <c r="AN541" s="40"/>
      <c r="AO541" s="40"/>
      <c r="AP541" s="40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40"/>
      <c r="AJ542" s="40"/>
      <c r="AK542" s="40"/>
      <c r="AL542" s="40"/>
      <c r="AM542" s="40"/>
      <c r="AN542" s="40"/>
      <c r="AO542" s="40"/>
      <c r="AP542" s="40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40"/>
      <c r="AJ543" s="40"/>
      <c r="AK543" s="40"/>
      <c r="AL543" s="40"/>
      <c r="AM543" s="40"/>
      <c r="AN543" s="40"/>
      <c r="AO543" s="40"/>
      <c r="AP543" s="40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40"/>
      <c r="AJ544" s="40"/>
      <c r="AK544" s="40"/>
      <c r="AL544" s="40"/>
      <c r="AM544" s="40"/>
      <c r="AN544" s="40"/>
      <c r="AO544" s="40"/>
      <c r="AP544" s="40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40"/>
      <c r="AJ545" s="40"/>
      <c r="AK545" s="40"/>
      <c r="AL545" s="40"/>
      <c r="AM545" s="40"/>
      <c r="AN545" s="40"/>
      <c r="AO545" s="40"/>
      <c r="AP545" s="40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40"/>
      <c r="AJ546" s="40"/>
      <c r="AK546" s="40"/>
      <c r="AL546" s="40"/>
      <c r="AM546" s="40"/>
      <c r="AN546" s="40"/>
      <c r="AO546" s="40"/>
      <c r="AP546" s="40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40"/>
      <c r="AJ547" s="40"/>
      <c r="AK547" s="40"/>
      <c r="AL547" s="40"/>
      <c r="AM547" s="40"/>
      <c r="AN547" s="40"/>
      <c r="AO547" s="40"/>
      <c r="AP547" s="40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40"/>
      <c r="AJ548" s="40"/>
      <c r="AK548" s="40"/>
      <c r="AL548" s="40"/>
      <c r="AM548" s="40"/>
      <c r="AN548" s="40"/>
      <c r="AO548" s="40"/>
      <c r="AP548" s="40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40"/>
      <c r="AJ549" s="40"/>
      <c r="AK549" s="40"/>
      <c r="AL549" s="40"/>
      <c r="AM549" s="40"/>
      <c r="AN549" s="40"/>
      <c r="AO549" s="40"/>
      <c r="AP549" s="40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40"/>
      <c r="AJ550" s="40"/>
      <c r="AK550" s="40"/>
      <c r="AL550" s="40"/>
      <c r="AM550" s="40"/>
      <c r="AN550" s="40"/>
      <c r="AO550" s="40"/>
      <c r="AP550" s="40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40"/>
      <c r="AJ551" s="40"/>
      <c r="AK551" s="40"/>
      <c r="AL551" s="40"/>
      <c r="AM551" s="40"/>
      <c r="AN551" s="40"/>
      <c r="AO551" s="40"/>
      <c r="AP551" s="40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40"/>
      <c r="AJ552" s="40"/>
      <c r="AK552" s="40"/>
      <c r="AL552" s="40"/>
      <c r="AM552" s="40"/>
      <c r="AN552" s="40"/>
      <c r="AO552" s="40"/>
      <c r="AP552" s="40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40"/>
      <c r="AJ553" s="40"/>
      <c r="AK553" s="40"/>
      <c r="AL553" s="40"/>
      <c r="AM553" s="40"/>
      <c r="AN553" s="40"/>
      <c r="AO553" s="40"/>
      <c r="AP553" s="40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40"/>
      <c r="AJ554" s="40"/>
      <c r="AK554" s="40"/>
      <c r="AL554" s="40"/>
      <c r="AM554" s="40"/>
      <c r="AN554" s="40"/>
      <c r="AO554" s="40"/>
      <c r="AP554" s="40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40"/>
      <c r="AJ555" s="40"/>
      <c r="AK555" s="40"/>
      <c r="AL555" s="40"/>
      <c r="AM555" s="40"/>
      <c r="AN555" s="40"/>
      <c r="AO555" s="40"/>
      <c r="AP555" s="40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40"/>
      <c r="AJ556" s="40"/>
      <c r="AK556" s="40"/>
      <c r="AL556" s="40"/>
      <c r="AM556" s="40"/>
      <c r="AN556" s="40"/>
      <c r="AO556" s="40"/>
      <c r="AP556" s="40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40"/>
      <c r="AJ557" s="40"/>
      <c r="AK557" s="40"/>
      <c r="AL557" s="40"/>
      <c r="AM557" s="40"/>
      <c r="AN557" s="40"/>
      <c r="AO557" s="40"/>
      <c r="AP557" s="40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40"/>
      <c r="AJ558" s="40"/>
      <c r="AK558" s="40"/>
      <c r="AL558" s="40"/>
      <c r="AM558" s="40"/>
      <c r="AN558" s="40"/>
      <c r="AO558" s="40"/>
      <c r="AP558" s="40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40"/>
      <c r="AJ559" s="40"/>
      <c r="AK559" s="40"/>
      <c r="AL559" s="40"/>
      <c r="AM559" s="40"/>
      <c r="AN559" s="40"/>
      <c r="AO559" s="40"/>
      <c r="AP559" s="40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40"/>
      <c r="AJ560" s="40"/>
      <c r="AK560" s="40"/>
      <c r="AL560" s="40"/>
      <c r="AM560" s="40"/>
      <c r="AN560" s="40"/>
      <c r="AO560" s="40"/>
      <c r="AP560" s="40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40"/>
      <c r="AJ561" s="40"/>
      <c r="AK561" s="40"/>
      <c r="AL561" s="40"/>
      <c r="AM561" s="40"/>
      <c r="AN561" s="40"/>
      <c r="AO561" s="40"/>
      <c r="AP561" s="40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40"/>
      <c r="AJ562" s="40"/>
      <c r="AK562" s="40"/>
      <c r="AL562" s="40"/>
      <c r="AM562" s="40"/>
      <c r="AN562" s="40"/>
      <c r="AO562" s="40"/>
      <c r="AP562" s="40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40"/>
      <c r="AJ563" s="40"/>
      <c r="AK563" s="40"/>
      <c r="AL563" s="40"/>
      <c r="AM563" s="40"/>
      <c r="AN563" s="40"/>
      <c r="AO563" s="40"/>
      <c r="AP563" s="40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40"/>
      <c r="AJ564" s="40"/>
      <c r="AK564" s="40"/>
      <c r="AL564" s="40"/>
      <c r="AM564" s="40"/>
      <c r="AN564" s="40"/>
      <c r="AO564" s="40"/>
      <c r="AP564" s="40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40"/>
      <c r="AJ565" s="40"/>
      <c r="AK565" s="40"/>
      <c r="AL565" s="40"/>
      <c r="AM565" s="40"/>
      <c r="AN565" s="40"/>
      <c r="AO565" s="40"/>
      <c r="AP565" s="40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40"/>
      <c r="AJ566" s="40"/>
      <c r="AK566" s="40"/>
      <c r="AL566" s="40"/>
      <c r="AM566" s="40"/>
      <c r="AN566" s="40"/>
      <c r="AO566" s="40"/>
      <c r="AP566" s="40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40"/>
      <c r="AJ567" s="40"/>
      <c r="AK567" s="40"/>
      <c r="AL567" s="40"/>
      <c r="AM567" s="40"/>
      <c r="AN567" s="40"/>
      <c r="AO567" s="40"/>
      <c r="AP567" s="40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40"/>
      <c r="AJ568" s="40"/>
      <c r="AK568" s="40"/>
      <c r="AL568" s="40"/>
      <c r="AM568" s="40"/>
      <c r="AN568" s="40"/>
      <c r="AO568" s="40"/>
      <c r="AP568" s="40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40"/>
      <c r="AJ569" s="40"/>
      <c r="AK569" s="40"/>
      <c r="AL569" s="40"/>
      <c r="AM569" s="40"/>
      <c r="AN569" s="40"/>
      <c r="AO569" s="40"/>
      <c r="AP569" s="40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40"/>
      <c r="AJ570" s="40"/>
      <c r="AK570" s="40"/>
      <c r="AL570" s="40"/>
      <c r="AM570" s="40"/>
      <c r="AN570" s="40"/>
      <c r="AO570" s="40"/>
      <c r="AP570" s="40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40"/>
      <c r="AJ571" s="40"/>
      <c r="AK571" s="40"/>
      <c r="AL571" s="40"/>
      <c r="AM571" s="40"/>
      <c r="AN571" s="40"/>
      <c r="AO571" s="40"/>
      <c r="AP571" s="40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40"/>
      <c r="AJ572" s="40"/>
      <c r="AK572" s="40"/>
      <c r="AL572" s="40"/>
      <c r="AM572" s="40"/>
      <c r="AN572" s="40"/>
      <c r="AO572" s="40"/>
      <c r="AP572" s="40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40"/>
      <c r="AJ573" s="40"/>
      <c r="AK573" s="40"/>
      <c r="AL573" s="40"/>
      <c r="AM573" s="40"/>
      <c r="AN573" s="40"/>
      <c r="AO573" s="40"/>
      <c r="AP573" s="40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40"/>
      <c r="AJ574" s="40"/>
      <c r="AK574" s="40"/>
      <c r="AL574" s="40"/>
      <c r="AM574" s="40"/>
      <c r="AN574" s="40"/>
      <c r="AO574" s="40"/>
      <c r="AP574" s="40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40"/>
      <c r="AJ575" s="40"/>
      <c r="AK575" s="40"/>
      <c r="AL575" s="40"/>
      <c r="AM575" s="40"/>
      <c r="AN575" s="40"/>
      <c r="AO575" s="40"/>
      <c r="AP575" s="40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40"/>
      <c r="AJ576" s="40"/>
      <c r="AK576" s="40"/>
      <c r="AL576" s="40"/>
      <c r="AM576" s="40"/>
      <c r="AN576" s="40"/>
      <c r="AO576" s="40"/>
      <c r="AP576" s="40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40"/>
      <c r="AJ577" s="40"/>
      <c r="AK577" s="40"/>
      <c r="AL577" s="40"/>
      <c r="AM577" s="40"/>
      <c r="AN577" s="40"/>
      <c r="AO577" s="40"/>
      <c r="AP577" s="40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40"/>
      <c r="AJ578" s="40"/>
      <c r="AK578" s="40"/>
      <c r="AL578" s="40"/>
      <c r="AM578" s="40"/>
      <c r="AN578" s="40"/>
      <c r="AO578" s="40"/>
      <c r="AP578" s="40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40"/>
      <c r="AJ579" s="40"/>
      <c r="AK579" s="40"/>
      <c r="AL579" s="40"/>
      <c r="AM579" s="40"/>
      <c r="AN579" s="40"/>
      <c r="AO579" s="40"/>
      <c r="AP579" s="40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40"/>
      <c r="AJ580" s="40"/>
      <c r="AK580" s="40"/>
      <c r="AL580" s="40"/>
      <c r="AM580" s="40"/>
      <c r="AN580" s="40"/>
      <c r="AO580" s="40"/>
      <c r="AP580" s="40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40"/>
      <c r="AJ581" s="40"/>
      <c r="AK581" s="40"/>
      <c r="AL581" s="40"/>
      <c r="AM581" s="40"/>
      <c r="AN581" s="40"/>
      <c r="AO581" s="40"/>
      <c r="AP581" s="40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40"/>
      <c r="AJ582" s="40"/>
      <c r="AK582" s="40"/>
      <c r="AL582" s="40"/>
      <c r="AM582" s="40"/>
      <c r="AN582" s="40"/>
      <c r="AO582" s="40"/>
      <c r="AP582" s="40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40"/>
      <c r="AJ583" s="40"/>
      <c r="AK583" s="40"/>
      <c r="AL583" s="40"/>
      <c r="AM583" s="40"/>
      <c r="AN583" s="40"/>
      <c r="AO583" s="40"/>
      <c r="AP583" s="40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40"/>
      <c r="AJ584" s="40"/>
      <c r="AK584" s="40"/>
      <c r="AL584" s="40"/>
      <c r="AM584" s="40"/>
      <c r="AN584" s="40"/>
      <c r="AO584" s="40"/>
      <c r="AP584" s="40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40"/>
      <c r="AJ585" s="40"/>
      <c r="AK585" s="40"/>
      <c r="AL585" s="40"/>
      <c r="AM585" s="40"/>
      <c r="AN585" s="40"/>
      <c r="AO585" s="40"/>
      <c r="AP585" s="40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40"/>
      <c r="AJ586" s="40"/>
      <c r="AK586" s="40"/>
      <c r="AL586" s="40"/>
      <c r="AM586" s="40"/>
      <c r="AN586" s="40"/>
      <c r="AO586" s="40"/>
      <c r="AP586" s="40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40"/>
      <c r="AJ587" s="40"/>
      <c r="AK587" s="40"/>
      <c r="AL587" s="40"/>
      <c r="AM587" s="40"/>
      <c r="AN587" s="40"/>
      <c r="AO587" s="40"/>
      <c r="AP587" s="40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40"/>
      <c r="AJ588" s="40"/>
      <c r="AK588" s="40"/>
      <c r="AL588" s="40"/>
      <c r="AM588" s="40"/>
      <c r="AN588" s="40"/>
      <c r="AO588" s="40"/>
      <c r="AP588" s="40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40"/>
      <c r="AJ589" s="40"/>
      <c r="AK589" s="40"/>
      <c r="AL589" s="40"/>
      <c r="AM589" s="40"/>
      <c r="AN589" s="40"/>
      <c r="AO589" s="40"/>
      <c r="AP589" s="40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40"/>
      <c r="AJ590" s="40"/>
      <c r="AK590" s="40"/>
      <c r="AL590" s="40"/>
      <c r="AM590" s="40"/>
      <c r="AN590" s="40"/>
      <c r="AO590" s="40"/>
      <c r="AP590" s="40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40"/>
      <c r="AJ591" s="40"/>
      <c r="AK591" s="40"/>
      <c r="AL591" s="40"/>
      <c r="AM591" s="40"/>
      <c r="AN591" s="40"/>
      <c r="AO591" s="40"/>
      <c r="AP591" s="40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40"/>
      <c r="AJ592" s="40"/>
      <c r="AK592" s="40"/>
      <c r="AL592" s="40"/>
      <c r="AM592" s="40"/>
      <c r="AN592" s="40"/>
      <c r="AO592" s="40"/>
      <c r="AP592" s="40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40"/>
      <c r="AJ593" s="40"/>
      <c r="AK593" s="40"/>
      <c r="AL593" s="40"/>
      <c r="AM593" s="40"/>
      <c r="AN593" s="40"/>
      <c r="AO593" s="40"/>
      <c r="AP593" s="40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40"/>
      <c r="AJ594" s="40"/>
      <c r="AK594" s="40"/>
      <c r="AL594" s="40"/>
      <c r="AM594" s="40"/>
      <c r="AN594" s="40"/>
      <c r="AO594" s="40"/>
      <c r="AP594" s="40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40"/>
      <c r="AJ595" s="40"/>
      <c r="AK595" s="40"/>
      <c r="AL595" s="40"/>
      <c r="AM595" s="40"/>
      <c r="AN595" s="40"/>
      <c r="AO595" s="40"/>
      <c r="AP595" s="40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40"/>
      <c r="AJ596" s="40"/>
      <c r="AK596" s="40"/>
      <c r="AL596" s="40"/>
      <c r="AM596" s="40"/>
      <c r="AN596" s="40"/>
      <c r="AO596" s="40"/>
      <c r="AP596" s="40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40"/>
      <c r="AJ597" s="40"/>
      <c r="AK597" s="40"/>
      <c r="AL597" s="40"/>
      <c r="AM597" s="40"/>
      <c r="AN597" s="40"/>
      <c r="AO597" s="40"/>
      <c r="AP597" s="40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40"/>
      <c r="AJ598" s="40"/>
      <c r="AK598" s="40"/>
      <c r="AL598" s="40"/>
      <c r="AM598" s="40"/>
      <c r="AN598" s="40"/>
      <c r="AO598" s="40"/>
      <c r="AP598" s="40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40"/>
      <c r="AJ599" s="40"/>
      <c r="AK599" s="40"/>
      <c r="AL599" s="40"/>
      <c r="AM599" s="40"/>
      <c r="AN599" s="40"/>
      <c r="AO599" s="40"/>
      <c r="AP599" s="40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40"/>
      <c r="AJ600" s="40"/>
      <c r="AK600" s="40"/>
      <c r="AL600" s="40"/>
      <c r="AM600" s="40"/>
      <c r="AN600" s="40"/>
      <c r="AO600" s="40"/>
      <c r="AP600" s="40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40"/>
      <c r="AJ601" s="40"/>
      <c r="AK601" s="40"/>
      <c r="AL601" s="40"/>
      <c r="AM601" s="40"/>
      <c r="AN601" s="40"/>
      <c r="AO601" s="40"/>
      <c r="AP601" s="40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40"/>
      <c r="AJ602" s="40"/>
      <c r="AK602" s="40"/>
      <c r="AL602" s="40"/>
      <c r="AM602" s="40"/>
      <c r="AN602" s="40"/>
      <c r="AO602" s="40"/>
      <c r="AP602" s="40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40"/>
      <c r="AJ603" s="40"/>
      <c r="AK603" s="40"/>
      <c r="AL603" s="40"/>
      <c r="AM603" s="40"/>
      <c r="AN603" s="40"/>
      <c r="AO603" s="40"/>
      <c r="AP603" s="40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40"/>
      <c r="AJ604" s="40"/>
      <c r="AK604" s="40"/>
      <c r="AL604" s="40"/>
      <c r="AM604" s="40"/>
      <c r="AN604" s="40"/>
      <c r="AO604" s="40"/>
      <c r="AP604" s="40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40"/>
      <c r="AJ605" s="40"/>
      <c r="AK605" s="40"/>
      <c r="AL605" s="40"/>
      <c r="AM605" s="40"/>
      <c r="AN605" s="40"/>
      <c r="AO605" s="40"/>
      <c r="AP605" s="40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40"/>
      <c r="AJ606" s="40"/>
      <c r="AK606" s="40"/>
      <c r="AL606" s="40"/>
      <c r="AM606" s="40"/>
      <c r="AN606" s="40"/>
      <c r="AO606" s="40"/>
      <c r="AP606" s="40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40"/>
      <c r="AJ607" s="40"/>
      <c r="AK607" s="40"/>
      <c r="AL607" s="40"/>
      <c r="AM607" s="40"/>
      <c r="AN607" s="40"/>
      <c r="AO607" s="40"/>
      <c r="AP607" s="40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40"/>
      <c r="AJ608" s="40"/>
      <c r="AK608" s="40"/>
      <c r="AL608" s="40"/>
      <c r="AM608" s="40"/>
      <c r="AN608" s="40"/>
      <c r="AO608" s="40"/>
      <c r="AP608" s="40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40"/>
      <c r="AJ609" s="40"/>
      <c r="AK609" s="40"/>
      <c r="AL609" s="40"/>
      <c r="AM609" s="40"/>
      <c r="AN609" s="40"/>
      <c r="AO609" s="40"/>
      <c r="AP609" s="40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40"/>
      <c r="AJ610" s="40"/>
      <c r="AK610" s="40"/>
      <c r="AL610" s="40"/>
      <c r="AM610" s="40"/>
      <c r="AN610" s="40"/>
      <c r="AO610" s="40"/>
      <c r="AP610" s="40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40"/>
      <c r="AJ611" s="40"/>
      <c r="AK611" s="40"/>
      <c r="AL611" s="40"/>
      <c r="AM611" s="40"/>
      <c r="AN611" s="40"/>
      <c r="AO611" s="40"/>
      <c r="AP611" s="40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40"/>
      <c r="AJ612" s="40"/>
      <c r="AK612" s="40"/>
      <c r="AL612" s="40"/>
      <c r="AM612" s="40"/>
      <c r="AN612" s="40"/>
      <c r="AO612" s="40"/>
      <c r="AP612" s="40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40"/>
      <c r="AJ613" s="40"/>
      <c r="AK613" s="40"/>
      <c r="AL613" s="40"/>
      <c r="AM613" s="40"/>
      <c r="AN613" s="40"/>
      <c r="AO613" s="40"/>
      <c r="AP613" s="40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40"/>
      <c r="AJ614" s="40"/>
      <c r="AK614" s="40"/>
      <c r="AL614" s="40"/>
      <c r="AM614" s="40"/>
      <c r="AN614" s="40"/>
      <c r="AO614" s="40"/>
      <c r="AP614" s="40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40"/>
      <c r="AJ615" s="40"/>
      <c r="AK615" s="40"/>
      <c r="AL615" s="40"/>
      <c r="AM615" s="40"/>
      <c r="AN615" s="40"/>
      <c r="AO615" s="40"/>
      <c r="AP615" s="40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40"/>
      <c r="AJ616" s="40"/>
      <c r="AK616" s="40"/>
      <c r="AL616" s="40"/>
      <c r="AM616" s="40"/>
      <c r="AN616" s="40"/>
      <c r="AO616" s="40"/>
      <c r="AP616" s="40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40"/>
      <c r="AJ617" s="40"/>
      <c r="AK617" s="40"/>
      <c r="AL617" s="40"/>
      <c r="AM617" s="40"/>
      <c r="AN617" s="40"/>
      <c r="AO617" s="40"/>
      <c r="AP617" s="40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40"/>
      <c r="AJ618" s="40"/>
      <c r="AK618" s="40"/>
      <c r="AL618" s="40"/>
      <c r="AM618" s="40"/>
      <c r="AN618" s="40"/>
      <c r="AO618" s="40"/>
      <c r="AP618" s="40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40"/>
      <c r="AJ619" s="40"/>
      <c r="AK619" s="40"/>
      <c r="AL619" s="40"/>
      <c r="AM619" s="40"/>
      <c r="AN619" s="40"/>
      <c r="AO619" s="40"/>
      <c r="AP619" s="40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40"/>
      <c r="AJ620" s="40"/>
      <c r="AK620" s="40"/>
      <c r="AL620" s="40"/>
      <c r="AM620" s="40"/>
      <c r="AN620" s="40"/>
      <c r="AO620" s="40"/>
      <c r="AP620" s="40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40"/>
      <c r="AJ621" s="40"/>
      <c r="AK621" s="40"/>
      <c r="AL621" s="40"/>
      <c r="AM621" s="40"/>
      <c r="AN621" s="40"/>
      <c r="AO621" s="40"/>
      <c r="AP621" s="40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40"/>
      <c r="AJ622" s="40"/>
      <c r="AK622" s="40"/>
      <c r="AL622" s="40"/>
      <c r="AM622" s="40"/>
      <c r="AN622" s="40"/>
      <c r="AO622" s="40"/>
      <c r="AP622" s="40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40"/>
      <c r="AJ623" s="40"/>
      <c r="AK623" s="40"/>
      <c r="AL623" s="40"/>
      <c r="AM623" s="40"/>
      <c r="AN623" s="40"/>
      <c r="AO623" s="40"/>
      <c r="AP623" s="40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40"/>
      <c r="AJ624" s="40"/>
      <c r="AK624" s="40"/>
      <c r="AL624" s="40"/>
      <c r="AM624" s="40"/>
      <c r="AN624" s="40"/>
      <c r="AO624" s="40"/>
      <c r="AP624" s="40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40"/>
      <c r="AJ625" s="40"/>
      <c r="AK625" s="40"/>
      <c r="AL625" s="40"/>
      <c r="AM625" s="40"/>
      <c r="AN625" s="40"/>
      <c r="AO625" s="40"/>
      <c r="AP625" s="40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40"/>
      <c r="AJ626" s="40"/>
      <c r="AK626" s="40"/>
      <c r="AL626" s="40"/>
      <c r="AM626" s="40"/>
      <c r="AN626" s="40"/>
      <c r="AO626" s="40"/>
      <c r="AP626" s="40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40"/>
      <c r="AJ627" s="40"/>
      <c r="AK627" s="40"/>
      <c r="AL627" s="40"/>
      <c r="AM627" s="40"/>
      <c r="AN627" s="40"/>
      <c r="AO627" s="40"/>
      <c r="AP627" s="40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40"/>
      <c r="AJ628" s="40"/>
      <c r="AK628" s="40"/>
      <c r="AL628" s="40"/>
      <c r="AM628" s="40"/>
      <c r="AN628" s="40"/>
      <c r="AO628" s="40"/>
      <c r="AP628" s="40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40"/>
      <c r="AJ629" s="40"/>
      <c r="AK629" s="40"/>
      <c r="AL629" s="40"/>
      <c r="AM629" s="40"/>
      <c r="AN629" s="40"/>
      <c r="AO629" s="40"/>
      <c r="AP629" s="40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40"/>
      <c r="AJ630" s="40"/>
      <c r="AK630" s="40"/>
      <c r="AL630" s="40"/>
      <c r="AM630" s="40"/>
      <c r="AN630" s="40"/>
      <c r="AO630" s="40"/>
      <c r="AP630" s="40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40"/>
      <c r="AJ631" s="40"/>
      <c r="AK631" s="40"/>
      <c r="AL631" s="40"/>
      <c r="AM631" s="40"/>
      <c r="AN631" s="40"/>
      <c r="AO631" s="40"/>
      <c r="AP631" s="40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40"/>
      <c r="AJ632" s="40"/>
      <c r="AK632" s="40"/>
      <c r="AL632" s="40"/>
      <c r="AM632" s="40"/>
      <c r="AN632" s="40"/>
      <c r="AO632" s="40"/>
      <c r="AP632" s="40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40"/>
      <c r="AJ633" s="40"/>
      <c r="AK633" s="40"/>
      <c r="AL633" s="40"/>
      <c r="AM633" s="40"/>
      <c r="AN633" s="40"/>
      <c r="AO633" s="40"/>
      <c r="AP633" s="40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40"/>
      <c r="AJ634" s="40"/>
      <c r="AK634" s="40"/>
      <c r="AL634" s="40"/>
      <c r="AM634" s="40"/>
      <c r="AN634" s="40"/>
      <c r="AO634" s="40"/>
      <c r="AP634" s="40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40"/>
      <c r="AJ635" s="40"/>
      <c r="AK635" s="40"/>
      <c r="AL635" s="40"/>
      <c r="AM635" s="40"/>
      <c r="AN635" s="40"/>
      <c r="AO635" s="40"/>
      <c r="AP635" s="40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40"/>
      <c r="AJ636" s="40"/>
      <c r="AK636" s="40"/>
      <c r="AL636" s="40"/>
      <c r="AM636" s="40"/>
      <c r="AN636" s="40"/>
      <c r="AO636" s="40"/>
      <c r="AP636" s="40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40"/>
      <c r="AJ637" s="40"/>
      <c r="AK637" s="40"/>
      <c r="AL637" s="40"/>
      <c r="AM637" s="40"/>
      <c r="AN637" s="40"/>
      <c r="AO637" s="40"/>
      <c r="AP637" s="40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40"/>
      <c r="AJ638" s="40"/>
      <c r="AK638" s="40"/>
      <c r="AL638" s="40"/>
      <c r="AM638" s="40"/>
      <c r="AN638" s="40"/>
      <c r="AO638" s="40"/>
      <c r="AP638" s="40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40"/>
      <c r="AJ639" s="40"/>
      <c r="AK639" s="40"/>
      <c r="AL639" s="40"/>
      <c r="AM639" s="40"/>
      <c r="AN639" s="40"/>
      <c r="AO639" s="40"/>
      <c r="AP639" s="40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40"/>
      <c r="AJ640" s="40"/>
      <c r="AK640" s="40"/>
      <c r="AL640" s="40"/>
      <c r="AM640" s="40"/>
      <c r="AN640" s="40"/>
      <c r="AO640" s="40"/>
      <c r="AP640" s="40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40"/>
      <c r="AJ641" s="40"/>
      <c r="AK641" s="40"/>
      <c r="AL641" s="40"/>
      <c r="AM641" s="40"/>
      <c r="AN641" s="40"/>
      <c r="AO641" s="40"/>
      <c r="AP641" s="40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40"/>
      <c r="AJ642" s="40"/>
      <c r="AK642" s="40"/>
      <c r="AL642" s="40"/>
      <c r="AM642" s="40"/>
      <c r="AN642" s="40"/>
      <c r="AO642" s="40"/>
      <c r="AP642" s="40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40"/>
      <c r="AJ643" s="40"/>
      <c r="AK643" s="40"/>
      <c r="AL643" s="40"/>
      <c r="AM643" s="40"/>
      <c r="AN643" s="40"/>
      <c r="AO643" s="40"/>
      <c r="AP643" s="40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40"/>
      <c r="AJ644" s="40"/>
      <c r="AK644" s="40"/>
      <c r="AL644" s="40"/>
      <c r="AM644" s="40"/>
      <c r="AN644" s="40"/>
      <c r="AO644" s="40"/>
      <c r="AP644" s="40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40"/>
      <c r="AJ645" s="40"/>
      <c r="AK645" s="40"/>
      <c r="AL645" s="40"/>
      <c r="AM645" s="40"/>
      <c r="AN645" s="40"/>
      <c r="AO645" s="40"/>
      <c r="AP645" s="40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40"/>
      <c r="AJ646" s="40"/>
      <c r="AK646" s="40"/>
      <c r="AL646" s="40"/>
      <c r="AM646" s="40"/>
      <c r="AN646" s="40"/>
      <c r="AO646" s="40"/>
      <c r="AP646" s="40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40"/>
      <c r="AJ647" s="40"/>
      <c r="AK647" s="40"/>
      <c r="AL647" s="40"/>
      <c r="AM647" s="40"/>
      <c r="AN647" s="40"/>
      <c r="AO647" s="40"/>
      <c r="AP647" s="40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40"/>
      <c r="AJ648" s="40"/>
      <c r="AK648" s="40"/>
      <c r="AL648" s="40"/>
      <c r="AM648" s="40"/>
      <c r="AN648" s="40"/>
      <c r="AO648" s="40"/>
      <c r="AP648" s="40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40"/>
      <c r="AJ649" s="40"/>
      <c r="AK649" s="40"/>
      <c r="AL649" s="40"/>
      <c r="AM649" s="40"/>
      <c r="AN649" s="40"/>
      <c r="AO649" s="40"/>
      <c r="AP649" s="40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40"/>
      <c r="AJ650" s="40"/>
      <c r="AK650" s="40"/>
      <c r="AL650" s="40"/>
      <c r="AM650" s="40"/>
      <c r="AN650" s="40"/>
      <c r="AO650" s="40"/>
      <c r="AP650" s="40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40"/>
      <c r="AJ651" s="40"/>
      <c r="AK651" s="40"/>
      <c r="AL651" s="40"/>
      <c r="AM651" s="40"/>
      <c r="AN651" s="40"/>
      <c r="AO651" s="40"/>
      <c r="AP651" s="40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40"/>
      <c r="AJ652" s="40"/>
      <c r="AK652" s="40"/>
      <c r="AL652" s="40"/>
      <c r="AM652" s="40"/>
      <c r="AN652" s="40"/>
      <c r="AO652" s="40"/>
      <c r="AP652" s="40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40"/>
      <c r="AJ653" s="40"/>
      <c r="AK653" s="40"/>
      <c r="AL653" s="40"/>
      <c r="AM653" s="40"/>
      <c r="AN653" s="40"/>
      <c r="AO653" s="40"/>
      <c r="AP653" s="40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40"/>
      <c r="AJ654" s="40"/>
      <c r="AK654" s="40"/>
      <c r="AL654" s="40"/>
      <c r="AM654" s="40"/>
      <c r="AN654" s="40"/>
      <c r="AO654" s="40"/>
      <c r="AP654" s="40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40"/>
      <c r="AJ655" s="40"/>
      <c r="AK655" s="40"/>
      <c r="AL655" s="40"/>
      <c r="AM655" s="40"/>
      <c r="AN655" s="40"/>
      <c r="AO655" s="40"/>
      <c r="AP655" s="40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40"/>
      <c r="AJ656" s="40"/>
      <c r="AK656" s="40"/>
      <c r="AL656" s="40"/>
      <c r="AM656" s="40"/>
      <c r="AN656" s="40"/>
      <c r="AO656" s="40"/>
      <c r="AP656" s="40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40"/>
      <c r="AJ657" s="40"/>
      <c r="AK657" s="40"/>
      <c r="AL657" s="40"/>
      <c r="AM657" s="40"/>
      <c r="AN657" s="40"/>
      <c r="AO657" s="40"/>
      <c r="AP657" s="40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40"/>
      <c r="AJ658" s="40"/>
      <c r="AK658" s="40"/>
      <c r="AL658" s="40"/>
      <c r="AM658" s="40"/>
      <c r="AN658" s="40"/>
      <c r="AO658" s="40"/>
      <c r="AP658" s="40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40"/>
      <c r="AJ659" s="40"/>
      <c r="AK659" s="40"/>
      <c r="AL659" s="40"/>
      <c r="AM659" s="40"/>
      <c r="AN659" s="40"/>
      <c r="AO659" s="40"/>
      <c r="AP659" s="40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40"/>
      <c r="AJ660" s="40"/>
      <c r="AK660" s="40"/>
      <c r="AL660" s="40"/>
      <c r="AM660" s="40"/>
      <c r="AN660" s="40"/>
      <c r="AO660" s="40"/>
      <c r="AP660" s="40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40"/>
      <c r="AJ661" s="40"/>
      <c r="AK661" s="40"/>
      <c r="AL661" s="40"/>
      <c r="AM661" s="40"/>
      <c r="AN661" s="40"/>
      <c r="AO661" s="40"/>
      <c r="AP661" s="40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40"/>
      <c r="AJ662" s="40"/>
      <c r="AK662" s="40"/>
      <c r="AL662" s="40"/>
      <c r="AM662" s="40"/>
      <c r="AN662" s="40"/>
      <c r="AO662" s="40"/>
      <c r="AP662" s="40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40"/>
      <c r="AJ663" s="40"/>
      <c r="AK663" s="40"/>
      <c r="AL663" s="40"/>
      <c r="AM663" s="40"/>
      <c r="AN663" s="40"/>
      <c r="AO663" s="40"/>
      <c r="AP663" s="40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40"/>
      <c r="AJ664" s="40"/>
      <c r="AK664" s="40"/>
      <c r="AL664" s="40"/>
      <c r="AM664" s="40"/>
      <c r="AN664" s="40"/>
      <c r="AO664" s="40"/>
      <c r="AP664" s="40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40"/>
      <c r="AJ665" s="40"/>
      <c r="AK665" s="40"/>
      <c r="AL665" s="40"/>
      <c r="AM665" s="40"/>
      <c r="AN665" s="40"/>
      <c r="AO665" s="40"/>
      <c r="AP665" s="40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40"/>
      <c r="AJ666" s="40"/>
      <c r="AK666" s="40"/>
      <c r="AL666" s="40"/>
      <c r="AM666" s="40"/>
      <c r="AN666" s="40"/>
      <c r="AO666" s="40"/>
      <c r="AP666" s="40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40"/>
      <c r="AJ667" s="40"/>
      <c r="AK667" s="40"/>
      <c r="AL667" s="40"/>
      <c r="AM667" s="40"/>
      <c r="AN667" s="40"/>
      <c r="AO667" s="40"/>
      <c r="AP667" s="40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40"/>
      <c r="AJ668" s="40"/>
      <c r="AK668" s="40"/>
      <c r="AL668" s="40"/>
      <c r="AM668" s="40"/>
      <c r="AN668" s="40"/>
      <c r="AO668" s="40"/>
      <c r="AP668" s="40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40"/>
      <c r="AJ669" s="40"/>
      <c r="AK669" s="40"/>
      <c r="AL669" s="40"/>
      <c r="AM669" s="40"/>
      <c r="AN669" s="40"/>
      <c r="AO669" s="40"/>
      <c r="AP669" s="40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40"/>
      <c r="AJ670" s="40"/>
      <c r="AK670" s="40"/>
      <c r="AL670" s="40"/>
      <c r="AM670" s="40"/>
      <c r="AN670" s="40"/>
      <c r="AO670" s="40"/>
      <c r="AP670" s="40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40"/>
      <c r="AJ671" s="40"/>
      <c r="AK671" s="40"/>
      <c r="AL671" s="40"/>
      <c r="AM671" s="40"/>
      <c r="AN671" s="40"/>
      <c r="AO671" s="40"/>
      <c r="AP671" s="40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40"/>
      <c r="AJ672" s="40"/>
      <c r="AK672" s="40"/>
      <c r="AL672" s="40"/>
      <c r="AM672" s="40"/>
      <c r="AN672" s="40"/>
      <c r="AO672" s="40"/>
      <c r="AP672" s="40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40"/>
      <c r="AJ673" s="40"/>
      <c r="AK673" s="40"/>
      <c r="AL673" s="40"/>
      <c r="AM673" s="40"/>
      <c r="AN673" s="40"/>
      <c r="AO673" s="40"/>
      <c r="AP673" s="40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40"/>
      <c r="AJ674" s="40"/>
      <c r="AK674" s="40"/>
      <c r="AL674" s="40"/>
      <c r="AM674" s="40"/>
      <c r="AN674" s="40"/>
      <c r="AO674" s="40"/>
      <c r="AP674" s="40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40"/>
      <c r="AJ675" s="40"/>
      <c r="AK675" s="40"/>
      <c r="AL675" s="40"/>
      <c r="AM675" s="40"/>
      <c r="AN675" s="40"/>
      <c r="AO675" s="40"/>
      <c r="AP675" s="40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40"/>
      <c r="AJ676" s="40"/>
      <c r="AK676" s="40"/>
      <c r="AL676" s="40"/>
      <c r="AM676" s="40"/>
      <c r="AN676" s="40"/>
      <c r="AO676" s="40"/>
      <c r="AP676" s="40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40"/>
      <c r="AJ677" s="40"/>
      <c r="AK677" s="40"/>
      <c r="AL677" s="40"/>
      <c r="AM677" s="40"/>
      <c r="AN677" s="40"/>
      <c r="AO677" s="40"/>
      <c r="AP677" s="40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40"/>
      <c r="AJ678" s="40"/>
      <c r="AK678" s="40"/>
      <c r="AL678" s="40"/>
      <c r="AM678" s="40"/>
      <c r="AN678" s="40"/>
      <c r="AO678" s="40"/>
      <c r="AP678" s="40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40"/>
      <c r="AJ679" s="40"/>
      <c r="AK679" s="40"/>
      <c r="AL679" s="40"/>
      <c r="AM679" s="40"/>
      <c r="AN679" s="40"/>
      <c r="AO679" s="40"/>
      <c r="AP679" s="40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40"/>
      <c r="AJ680" s="40"/>
      <c r="AK680" s="40"/>
      <c r="AL680" s="40"/>
      <c r="AM680" s="40"/>
      <c r="AN680" s="40"/>
      <c r="AO680" s="40"/>
      <c r="AP680" s="40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40"/>
      <c r="AJ681" s="40"/>
      <c r="AK681" s="40"/>
      <c r="AL681" s="40"/>
      <c r="AM681" s="40"/>
      <c r="AN681" s="40"/>
      <c r="AO681" s="40"/>
      <c r="AP681" s="40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40"/>
      <c r="AJ682" s="40"/>
      <c r="AK682" s="40"/>
      <c r="AL682" s="40"/>
      <c r="AM682" s="40"/>
      <c r="AN682" s="40"/>
      <c r="AO682" s="40"/>
      <c r="AP682" s="40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40"/>
      <c r="AJ683" s="40"/>
      <c r="AK683" s="40"/>
      <c r="AL683" s="40"/>
      <c r="AM683" s="40"/>
      <c r="AN683" s="40"/>
      <c r="AO683" s="40"/>
      <c r="AP683" s="40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40"/>
      <c r="AJ684" s="40"/>
      <c r="AK684" s="40"/>
      <c r="AL684" s="40"/>
      <c r="AM684" s="40"/>
      <c r="AN684" s="40"/>
      <c r="AO684" s="40"/>
      <c r="AP684" s="40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40"/>
      <c r="AJ685" s="40"/>
      <c r="AK685" s="40"/>
      <c r="AL685" s="40"/>
      <c r="AM685" s="40"/>
      <c r="AN685" s="40"/>
      <c r="AO685" s="40"/>
      <c r="AP685" s="40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40"/>
      <c r="AJ686" s="40"/>
      <c r="AK686" s="40"/>
      <c r="AL686" s="40"/>
      <c r="AM686" s="40"/>
      <c r="AN686" s="40"/>
      <c r="AO686" s="40"/>
      <c r="AP686" s="40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40"/>
      <c r="AJ687" s="40"/>
      <c r="AK687" s="40"/>
      <c r="AL687" s="40"/>
      <c r="AM687" s="40"/>
      <c r="AN687" s="40"/>
      <c r="AO687" s="40"/>
      <c r="AP687" s="40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40"/>
      <c r="AJ688" s="40"/>
      <c r="AK688" s="40"/>
      <c r="AL688" s="40"/>
      <c r="AM688" s="40"/>
      <c r="AN688" s="40"/>
      <c r="AO688" s="40"/>
      <c r="AP688" s="40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40"/>
      <c r="AJ689" s="40"/>
      <c r="AK689" s="40"/>
      <c r="AL689" s="40"/>
      <c r="AM689" s="40"/>
      <c r="AN689" s="40"/>
      <c r="AO689" s="40"/>
      <c r="AP689" s="40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40"/>
      <c r="AJ690" s="40"/>
      <c r="AK690" s="40"/>
      <c r="AL690" s="40"/>
      <c r="AM690" s="40"/>
      <c r="AN690" s="40"/>
      <c r="AO690" s="40"/>
      <c r="AP690" s="40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40"/>
      <c r="AJ691" s="40"/>
      <c r="AK691" s="40"/>
      <c r="AL691" s="40"/>
      <c r="AM691" s="40"/>
      <c r="AN691" s="40"/>
      <c r="AO691" s="40"/>
      <c r="AP691" s="40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40"/>
      <c r="AJ692" s="40"/>
      <c r="AK692" s="40"/>
      <c r="AL692" s="40"/>
      <c r="AM692" s="40"/>
      <c r="AN692" s="40"/>
      <c r="AO692" s="40"/>
      <c r="AP692" s="40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40"/>
      <c r="AJ693" s="40"/>
      <c r="AK693" s="40"/>
      <c r="AL693" s="40"/>
      <c r="AM693" s="40"/>
      <c r="AN693" s="40"/>
      <c r="AO693" s="40"/>
      <c r="AP693" s="40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40"/>
      <c r="AJ694" s="40"/>
      <c r="AK694" s="40"/>
      <c r="AL694" s="40"/>
      <c r="AM694" s="40"/>
      <c r="AN694" s="40"/>
      <c r="AO694" s="40"/>
      <c r="AP694" s="40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40"/>
      <c r="AJ695" s="40"/>
      <c r="AK695" s="40"/>
      <c r="AL695" s="40"/>
      <c r="AM695" s="40"/>
      <c r="AN695" s="40"/>
      <c r="AO695" s="40"/>
      <c r="AP695" s="40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40"/>
      <c r="AJ696" s="40"/>
      <c r="AK696" s="40"/>
      <c r="AL696" s="40"/>
      <c r="AM696" s="40"/>
      <c r="AN696" s="40"/>
      <c r="AO696" s="40"/>
      <c r="AP696" s="40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40"/>
      <c r="AJ697" s="40"/>
      <c r="AK697" s="40"/>
      <c r="AL697" s="40"/>
      <c r="AM697" s="40"/>
      <c r="AN697" s="40"/>
      <c r="AO697" s="40"/>
      <c r="AP697" s="40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40"/>
      <c r="AJ698" s="40"/>
      <c r="AK698" s="40"/>
      <c r="AL698" s="40"/>
      <c r="AM698" s="40"/>
      <c r="AN698" s="40"/>
      <c r="AO698" s="40"/>
      <c r="AP698" s="40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40"/>
      <c r="AJ699" s="40"/>
      <c r="AK699" s="40"/>
      <c r="AL699" s="40"/>
      <c r="AM699" s="40"/>
      <c r="AN699" s="40"/>
      <c r="AO699" s="40"/>
      <c r="AP699" s="40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40"/>
      <c r="AJ700" s="40"/>
      <c r="AK700" s="40"/>
      <c r="AL700" s="40"/>
      <c r="AM700" s="40"/>
      <c r="AN700" s="40"/>
      <c r="AO700" s="40"/>
      <c r="AP700" s="40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40"/>
      <c r="AJ701" s="40"/>
      <c r="AK701" s="40"/>
      <c r="AL701" s="40"/>
      <c r="AM701" s="40"/>
      <c r="AN701" s="40"/>
      <c r="AO701" s="40"/>
      <c r="AP701" s="40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40"/>
      <c r="AJ702" s="40"/>
      <c r="AK702" s="40"/>
      <c r="AL702" s="40"/>
      <c r="AM702" s="40"/>
      <c r="AN702" s="40"/>
      <c r="AO702" s="40"/>
      <c r="AP702" s="40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40"/>
      <c r="AJ703" s="40"/>
      <c r="AK703" s="40"/>
      <c r="AL703" s="40"/>
      <c r="AM703" s="40"/>
      <c r="AN703" s="40"/>
      <c r="AO703" s="40"/>
      <c r="AP703" s="40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40"/>
      <c r="AJ704" s="40"/>
      <c r="AK704" s="40"/>
      <c r="AL704" s="40"/>
      <c r="AM704" s="40"/>
      <c r="AN704" s="40"/>
      <c r="AO704" s="40"/>
      <c r="AP704" s="40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40"/>
      <c r="AJ705" s="40"/>
      <c r="AK705" s="40"/>
      <c r="AL705" s="40"/>
      <c r="AM705" s="40"/>
      <c r="AN705" s="40"/>
      <c r="AO705" s="40"/>
      <c r="AP705" s="40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40"/>
      <c r="AJ706" s="40"/>
      <c r="AK706" s="40"/>
      <c r="AL706" s="40"/>
      <c r="AM706" s="40"/>
      <c r="AN706" s="40"/>
      <c r="AO706" s="40"/>
      <c r="AP706" s="40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40"/>
      <c r="AJ707" s="40"/>
      <c r="AK707" s="40"/>
      <c r="AL707" s="40"/>
      <c r="AM707" s="40"/>
      <c r="AN707" s="40"/>
      <c r="AO707" s="40"/>
      <c r="AP707" s="40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40"/>
      <c r="AJ708" s="40"/>
      <c r="AK708" s="40"/>
      <c r="AL708" s="40"/>
      <c r="AM708" s="40"/>
      <c r="AN708" s="40"/>
      <c r="AO708" s="40"/>
      <c r="AP708" s="40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40"/>
      <c r="AJ709" s="40"/>
      <c r="AK709" s="40"/>
      <c r="AL709" s="40"/>
      <c r="AM709" s="40"/>
      <c r="AN709" s="40"/>
      <c r="AO709" s="40"/>
      <c r="AP709" s="40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40"/>
      <c r="AJ710" s="40"/>
      <c r="AK710" s="40"/>
      <c r="AL710" s="40"/>
      <c r="AM710" s="40"/>
      <c r="AN710" s="40"/>
      <c r="AO710" s="40"/>
      <c r="AP710" s="40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40"/>
      <c r="AJ711" s="40"/>
      <c r="AK711" s="40"/>
      <c r="AL711" s="40"/>
      <c r="AM711" s="40"/>
      <c r="AN711" s="40"/>
      <c r="AO711" s="40"/>
      <c r="AP711" s="40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40"/>
      <c r="AJ712" s="40"/>
      <c r="AK712" s="40"/>
      <c r="AL712" s="40"/>
      <c r="AM712" s="40"/>
      <c r="AN712" s="40"/>
      <c r="AO712" s="40"/>
      <c r="AP712" s="40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40"/>
      <c r="AJ713" s="40"/>
      <c r="AK713" s="40"/>
      <c r="AL713" s="40"/>
      <c r="AM713" s="40"/>
      <c r="AN713" s="40"/>
      <c r="AO713" s="40"/>
      <c r="AP713" s="40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40"/>
      <c r="AJ714" s="40"/>
      <c r="AK714" s="40"/>
      <c r="AL714" s="40"/>
      <c r="AM714" s="40"/>
      <c r="AN714" s="40"/>
      <c r="AO714" s="40"/>
      <c r="AP714" s="40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40"/>
      <c r="AJ715" s="40"/>
      <c r="AK715" s="40"/>
      <c r="AL715" s="40"/>
      <c r="AM715" s="40"/>
      <c r="AN715" s="40"/>
      <c r="AO715" s="40"/>
      <c r="AP715" s="40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40"/>
      <c r="AJ716" s="40"/>
      <c r="AK716" s="40"/>
      <c r="AL716" s="40"/>
      <c r="AM716" s="40"/>
      <c r="AN716" s="40"/>
      <c r="AO716" s="40"/>
      <c r="AP716" s="40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40"/>
      <c r="AJ717" s="40"/>
      <c r="AK717" s="40"/>
      <c r="AL717" s="40"/>
      <c r="AM717" s="40"/>
      <c r="AN717" s="40"/>
      <c r="AO717" s="40"/>
      <c r="AP717" s="40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40"/>
      <c r="AJ718" s="40"/>
      <c r="AK718" s="40"/>
      <c r="AL718" s="40"/>
      <c r="AM718" s="40"/>
      <c r="AN718" s="40"/>
      <c r="AO718" s="40"/>
      <c r="AP718" s="40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40"/>
      <c r="AJ719" s="40"/>
      <c r="AK719" s="40"/>
      <c r="AL719" s="40"/>
      <c r="AM719" s="40"/>
      <c r="AN719" s="40"/>
      <c r="AO719" s="40"/>
      <c r="AP719" s="40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40"/>
      <c r="AJ720" s="40"/>
      <c r="AK720" s="40"/>
      <c r="AL720" s="40"/>
      <c r="AM720" s="40"/>
      <c r="AN720" s="40"/>
      <c r="AO720" s="40"/>
      <c r="AP720" s="40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40"/>
      <c r="AJ721" s="40"/>
      <c r="AK721" s="40"/>
      <c r="AL721" s="40"/>
      <c r="AM721" s="40"/>
      <c r="AN721" s="40"/>
      <c r="AO721" s="40"/>
      <c r="AP721" s="40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40"/>
      <c r="AJ722" s="40"/>
      <c r="AK722" s="40"/>
      <c r="AL722" s="40"/>
      <c r="AM722" s="40"/>
      <c r="AN722" s="40"/>
      <c r="AO722" s="40"/>
      <c r="AP722" s="40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40"/>
      <c r="AJ723" s="40"/>
      <c r="AK723" s="40"/>
      <c r="AL723" s="40"/>
      <c r="AM723" s="40"/>
      <c r="AN723" s="40"/>
      <c r="AO723" s="40"/>
      <c r="AP723" s="40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40"/>
      <c r="AJ724" s="40"/>
      <c r="AK724" s="40"/>
      <c r="AL724" s="40"/>
      <c r="AM724" s="40"/>
      <c r="AN724" s="40"/>
      <c r="AO724" s="40"/>
      <c r="AP724" s="40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40"/>
      <c r="AJ725" s="40"/>
      <c r="AK725" s="40"/>
      <c r="AL725" s="40"/>
      <c r="AM725" s="40"/>
      <c r="AN725" s="40"/>
      <c r="AO725" s="40"/>
      <c r="AP725" s="40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40"/>
      <c r="AJ726" s="40"/>
      <c r="AK726" s="40"/>
      <c r="AL726" s="40"/>
      <c r="AM726" s="40"/>
      <c r="AN726" s="40"/>
      <c r="AO726" s="40"/>
      <c r="AP726" s="40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40"/>
      <c r="AJ727" s="40"/>
      <c r="AK727" s="40"/>
      <c r="AL727" s="40"/>
      <c r="AM727" s="40"/>
      <c r="AN727" s="40"/>
      <c r="AO727" s="40"/>
      <c r="AP727" s="40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40"/>
      <c r="AJ728" s="40"/>
      <c r="AK728" s="40"/>
      <c r="AL728" s="40"/>
      <c r="AM728" s="40"/>
      <c r="AN728" s="40"/>
      <c r="AO728" s="40"/>
      <c r="AP728" s="40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40"/>
      <c r="AJ729" s="40"/>
      <c r="AK729" s="40"/>
      <c r="AL729" s="40"/>
      <c r="AM729" s="40"/>
      <c r="AN729" s="40"/>
      <c r="AO729" s="40"/>
      <c r="AP729" s="40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40"/>
      <c r="AJ730" s="40"/>
      <c r="AK730" s="40"/>
      <c r="AL730" s="40"/>
      <c r="AM730" s="40"/>
      <c r="AN730" s="40"/>
      <c r="AO730" s="40"/>
      <c r="AP730" s="40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40"/>
      <c r="AJ731" s="40"/>
      <c r="AK731" s="40"/>
      <c r="AL731" s="40"/>
      <c r="AM731" s="40"/>
      <c r="AN731" s="40"/>
      <c r="AO731" s="40"/>
      <c r="AP731" s="40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40"/>
      <c r="AJ732" s="40"/>
      <c r="AK732" s="40"/>
      <c r="AL732" s="40"/>
      <c r="AM732" s="40"/>
      <c r="AN732" s="40"/>
      <c r="AO732" s="40"/>
      <c r="AP732" s="40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40"/>
      <c r="AJ733" s="40"/>
      <c r="AK733" s="40"/>
      <c r="AL733" s="40"/>
      <c r="AM733" s="40"/>
      <c r="AN733" s="40"/>
      <c r="AO733" s="40"/>
      <c r="AP733" s="40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40"/>
      <c r="AJ734" s="40"/>
      <c r="AK734" s="40"/>
      <c r="AL734" s="40"/>
      <c r="AM734" s="40"/>
      <c r="AN734" s="40"/>
      <c r="AO734" s="40"/>
      <c r="AP734" s="40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40"/>
      <c r="AJ735" s="40"/>
      <c r="AK735" s="40"/>
      <c r="AL735" s="40"/>
      <c r="AM735" s="40"/>
      <c r="AN735" s="40"/>
      <c r="AO735" s="40"/>
      <c r="AP735" s="40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40"/>
      <c r="AJ736" s="40"/>
      <c r="AK736" s="40"/>
      <c r="AL736" s="40"/>
      <c r="AM736" s="40"/>
      <c r="AN736" s="40"/>
      <c r="AO736" s="40"/>
      <c r="AP736" s="40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40"/>
      <c r="AJ737" s="40"/>
      <c r="AK737" s="40"/>
      <c r="AL737" s="40"/>
      <c r="AM737" s="40"/>
      <c r="AN737" s="40"/>
      <c r="AO737" s="40"/>
      <c r="AP737" s="40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40"/>
      <c r="AJ738" s="40"/>
      <c r="AK738" s="40"/>
      <c r="AL738" s="40"/>
      <c r="AM738" s="40"/>
      <c r="AN738" s="40"/>
      <c r="AO738" s="40"/>
      <c r="AP738" s="40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40"/>
      <c r="AJ739" s="40"/>
      <c r="AK739" s="40"/>
      <c r="AL739" s="40"/>
      <c r="AM739" s="40"/>
      <c r="AN739" s="40"/>
      <c r="AO739" s="40"/>
      <c r="AP739" s="40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40"/>
      <c r="AJ740" s="40"/>
      <c r="AK740" s="40"/>
      <c r="AL740" s="40"/>
      <c r="AM740" s="40"/>
      <c r="AN740" s="40"/>
      <c r="AO740" s="40"/>
      <c r="AP740" s="40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40"/>
      <c r="AJ741" s="40"/>
      <c r="AK741" s="40"/>
      <c r="AL741" s="40"/>
      <c r="AM741" s="40"/>
      <c r="AN741" s="40"/>
      <c r="AO741" s="40"/>
      <c r="AP741" s="40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40"/>
      <c r="AJ742" s="40"/>
      <c r="AK742" s="40"/>
      <c r="AL742" s="40"/>
      <c r="AM742" s="40"/>
      <c r="AN742" s="40"/>
      <c r="AO742" s="40"/>
      <c r="AP742" s="40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40"/>
      <c r="AJ743" s="40"/>
      <c r="AK743" s="40"/>
      <c r="AL743" s="40"/>
      <c r="AM743" s="40"/>
      <c r="AN743" s="40"/>
      <c r="AO743" s="40"/>
      <c r="AP743" s="40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40"/>
      <c r="AJ744" s="40"/>
      <c r="AK744" s="40"/>
      <c r="AL744" s="40"/>
      <c r="AM744" s="40"/>
      <c r="AN744" s="40"/>
      <c r="AO744" s="40"/>
      <c r="AP744" s="40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40"/>
      <c r="AJ745" s="40"/>
      <c r="AK745" s="40"/>
      <c r="AL745" s="40"/>
      <c r="AM745" s="40"/>
      <c r="AN745" s="40"/>
      <c r="AO745" s="40"/>
      <c r="AP745" s="40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40"/>
      <c r="AJ746" s="40"/>
      <c r="AK746" s="40"/>
      <c r="AL746" s="40"/>
      <c r="AM746" s="40"/>
      <c r="AN746" s="40"/>
      <c r="AO746" s="40"/>
      <c r="AP746" s="40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40"/>
      <c r="AJ747" s="40"/>
      <c r="AK747" s="40"/>
      <c r="AL747" s="40"/>
      <c r="AM747" s="40"/>
      <c r="AN747" s="40"/>
      <c r="AO747" s="40"/>
      <c r="AP747" s="40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40"/>
      <c r="AJ748" s="40"/>
      <c r="AK748" s="40"/>
      <c r="AL748" s="40"/>
      <c r="AM748" s="40"/>
      <c r="AN748" s="40"/>
      <c r="AO748" s="40"/>
      <c r="AP748" s="40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40"/>
      <c r="AJ749" s="40"/>
      <c r="AK749" s="40"/>
      <c r="AL749" s="40"/>
      <c r="AM749" s="40"/>
      <c r="AN749" s="40"/>
      <c r="AO749" s="40"/>
      <c r="AP749" s="40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40"/>
      <c r="AJ750" s="40"/>
      <c r="AK750" s="40"/>
      <c r="AL750" s="40"/>
      <c r="AM750" s="40"/>
      <c r="AN750" s="40"/>
      <c r="AO750" s="40"/>
      <c r="AP750" s="40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40"/>
      <c r="AJ751" s="40"/>
      <c r="AK751" s="40"/>
      <c r="AL751" s="40"/>
      <c r="AM751" s="40"/>
      <c r="AN751" s="40"/>
      <c r="AO751" s="40"/>
      <c r="AP751" s="40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40"/>
      <c r="AJ752" s="40"/>
      <c r="AK752" s="40"/>
      <c r="AL752" s="40"/>
      <c r="AM752" s="40"/>
      <c r="AN752" s="40"/>
      <c r="AO752" s="40"/>
      <c r="AP752" s="40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40"/>
      <c r="AJ753" s="40"/>
      <c r="AK753" s="40"/>
      <c r="AL753" s="40"/>
      <c r="AM753" s="40"/>
      <c r="AN753" s="40"/>
      <c r="AO753" s="40"/>
      <c r="AP753" s="40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40"/>
      <c r="AJ754" s="40"/>
      <c r="AK754" s="40"/>
      <c r="AL754" s="40"/>
      <c r="AM754" s="40"/>
      <c r="AN754" s="40"/>
      <c r="AO754" s="40"/>
      <c r="AP754" s="40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40"/>
      <c r="AJ755" s="40"/>
      <c r="AK755" s="40"/>
      <c r="AL755" s="40"/>
      <c r="AM755" s="40"/>
      <c r="AN755" s="40"/>
      <c r="AO755" s="40"/>
      <c r="AP755" s="40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40"/>
      <c r="AJ756" s="40"/>
      <c r="AK756" s="40"/>
      <c r="AL756" s="40"/>
      <c r="AM756" s="40"/>
      <c r="AN756" s="40"/>
      <c r="AO756" s="40"/>
      <c r="AP756" s="40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40"/>
      <c r="AJ757" s="40"/>
      <c r="AK757" s="40"/>
      <c r="AL757" s="40"/>
      <c r="AM757" s="40"/>
      <c r="AN757" s="40"/>
      <c r="AO757" s="40"/>
      <c r="AP757" s="40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40"/>
      <c r="AJ758" s="40"/>
      <c r="AK758" s="40"/>
      <c r="AL758" s="40"/>
      <c r="AM758" s="40"/>
      <c r="AN758" s="40"/>
      <c r="AO758" s="40"/>
      <c r="AP758" s="40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40"/>
      <c r="AJ759" s="40"/>
      <c r="AK759" s="40"/>
      <c r="AL759" s="40"/>
      <c r="AM759" s="40"/>
      <c r="AN759" s="40"/>
      <c r="AO759" s="40"/>
      <c r="AP759" s="40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40"/>
      <c r="AJ760" s="40"/>
      <c r="AK760" s="40"/>
      <c r="AL760" s="40"/>
      <c r="AM760" s="40"/>
      <c r="AN760" s="40"/>
      <c r="AO760" s="40"/>
      <c r="AP760" s="40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40"/>
      <c r="AJ761" s="40"/>
      <c r="AK761" s="40"/>
      <c r="AL761" s="40"/>
      <c r="AM761" s="40"/>
      <c r="AN761" s="40"/>
      <c r="AO761" s="40"/>
      <c r="AP761" s="40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40"/>
      <c r="AJ762" s="40"/>
      <c r="AK762" s="40"/>
      <c r="AL762" s="40"/>
      <c r="AM762" s="40"/>
      <c r="AN762" s="40"/>
      <c r="AO762" s="40"/>
      <c r="AP762" s="40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40"/>
      <c r="AJ763" s="40"/>
      <c r="AK763" s="40"/>
      <c r="AL763" s="40"/>
      <c r="AM763" s="40"/>
      <c r="AN763" s="40"/>
      <c r="AO763" s="40"/>
      <c r="AP763" s="40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40"/>
      <c r="AJ764" s="40"/>
      <c r="AK764" s="40"/>
      <c r="AL764" s="40"/>
      <c r="AM764" s="40"/>
      <c r="AN764" s="40"/>
      <c r="AO764" s="40"/>
      <c r="AP764" s="40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40"/>
      <c r="AJ765" s="40"/>
      <c r="AK765" s="40"/>
      <c r="AL765" s="40"/>
      <c r="AM765" s="40"/>
      <c r="AN765" s="40"/>
      <c r="AO765" s="40"/>
      <c r="AP765" s="40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40"/>
      <c r="AJ766" s="40"/>
      <c r="AK766" s="40"/>
      <c r="AL766" s="40"/>
      <c r="AM766" s="40"/>
      <c r="AN766" s="40"/>
      <c r="AO766" s="40"/>
      <c r="AP766" s="40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40"/>
      <c r="AJ767" s="40"/>
      <c r="AK767" s="40"/>
      <c r="AL767" s="40"/>
      <c r="AM767" s="40"/>
      <c r="AN767" s="40"/>
      <c r="AO767" s="40"/>
      <c r="AP767" s="40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40"/>
      <c r="AJ768" s="40"/>
      <c r="AK768" s="40"/>
      <c r="AL768" s="40"/>
      <c r="AM768" s="40"/>
      <c r="AN768" s="40"/>
      <c r="AO768" s="40"/>
      <c r="AP768" s="40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40"/>
      <c r="AJ769" s="40"/>
      <c r="AK769" s="40"/>
      <c r="AL769" s="40"/>
      <c r="AM769" s="40"/>
      <c r="AN769" s="40"/>
      <c r="AO769" s="40"/>
      <c r="AP769" s="40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40"/>
      <c r="AJ770" s="40"/>
      <c r="AK770" s="40"/>
      <c r="AL770" s="40"/>
      <c r="AM770" s="40"/>
      <c r="AN770" s="40"/>
      <c r="AO770" s="40"/>
      <c r="AP770" s="40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40"/>
      <c r="AJ771" s="40"/>
      <c r="AK771" s="40"/>
      <c r="AL771" s="40"/>
      <c r="AM771" s="40"/>
      <c r="AN771" s="40"/>
      <c r="AO771" s="40"/>
      <c r="AP771" s="40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40"/>
      <c r="AJ772" s="40"/>
      <c r="AK772" s="40"/>
      <c r="AL772" s="40"/>
      <c r="AM772" s="40"/>
      <c r="AN772" s="40"/>
      <c r="AO772" s="40"/>
      <c r="AP772" s="40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40"/>
      <c r="AJ773" s="40"/>
      <c r="AK773" s="40"/>
      <c r="AL773" s="40"/>
      <c r="AM773" s="40"/>
      <c r="AN773" s="40"/>
      <c r="AO773" s="40"/>
      <c r="AP773" s="40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40"/>
      <c r="AJ774" s="40"/>
      <c r="AK774" s="40"/>
      <c r="AL774" s="40"/>
      <c r="AM774" s="40"/>
      <c r="AN774" s="40"/>
      <c r="AO774" s="40"/>
      <c r="AP774" s="40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40"/>
      <c r="AJ775" s="40"/>
      <c r="AK775" s="40"/>
      <c r="AL775" s="40"/>
      <c r="AM775" s="40"/>
      <c r="AN775" s="40"/>
      <c r="AO775" s="40"/>
      <c r="AP775" s="40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40"/>
      <c r="AJ776" s="40"/>
      <c r="AK776" s="40"/>
      <c r="AL776" s="40"/>
      <c r="AM776" s="40"/>
      <c r="AN776" s="40"/>
      <c r="AO776" s="40"/>
      <c r="AP776" s="40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40"/>
      <c r="AJ777" s="40"/>
      <c r="AK777" s="40"/>
      <c r="AL777" s="40"/>
      <c r="AM777" s="40"/>
      <c r="AN777" s="40"/>
      <c r="AO777" s="40"/>
      <c r="AP777" s="40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40"/>
      <c r="AJ778" s="40"/>
      <c r="AK778" s="40"/>
      <c r="AL778" s="40"/>
      <c r="AM778" s="40"/>
      <c r="AN778" s="40"/>
      <c r="AO778" s="40"/>
      <c r="AP778" s="40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40"/>
      <c r="AJ779" s="40"/>
      <c r="AK779" s="40"/>
      <c r="AL779" s="40"/>
      <c r="AM779" s="40"/>
      <c r="AN779" s="40"/>
      <c r="AO779" s="40"/>
      <c r="AP779" s="40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40"/>
      <c r="AJ780" s="40"/>
      <c r="AK780" s="40"/>
      <c r="AL780" s="40"/>
      <c r="AM780" s="40"/>
      <c r="AN780" s="40"/>
      <c r="AO780" s="40"/>
      <c r="AP780" s="40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40"/>
      <c r="AJ781" s="40"/>
      <c r="AK781" s="40"/>
      <c r="AL781" s="40"/>
      <c r="AM781" s="40"/>
      <c r="AN781" s="40"/>
      <c r="AO781" s="40"/>
      <c r="AP781" s="40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40"/>
      <c r="AJ782" s="40"/>
      <c r="AK782" s="40"/>
      <c r="AL782" s="40"/>
      <c r="AM782" s="40"/>
      <c r="AN782" s="40"/>
      <c r="AO782" s="40"/>
      <c r="AP782" s="40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40"/>
      <c r="AJ783" s="40"/>
      <c r="AK783" s="40"/>
      <c r="AL783" s="40"/>
      <c r="AM783" s="40"/>
      <c r="AN783" s="40"/>
      <c r="AO783" s="40"/>
      <c r="AP783" s="40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40"/>
      <c r="AJ784" s="40"/>
      <c r="AK784" s="40"/>
      <c r="AL784" s="40"/>
      <c r="AM784" s="40"/>
      <c r="AN784" s="40"/>
      <c r="AO784" s="40"/>
      <c r="AP784" s="40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40"/>
      <c r="AJ785" s="40"/>
      <c r="AK785" s="40"/>
      <c r="AL785" s="40"/>
      <c r="AM785" s="40"/>
      <c r="AN785" s="40"/>
      <c r="AO785" s="40"/>
      <c r="AP785" s="40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40"/>
      <c r="AJ786" s="40"/>
      <c r="AK786" s="40"/>
      <c r="AL786" s="40"/>
      <c r="AM786" s="40"/>
      <c r="AN786" s="40"/>
      <c r="AO786" s="40"/>
      <c r="AP786" s="40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40"/>
      <c r="AJ787" s="40"/>
      <c r="AK787" s="40"/>
      <c r="AL787" s="40"/>
      <c r="AM787" s="40"/>
      <c r="AN787" s="40"/>
      <c r="AO787" s="40"/>
      <c r="AP787" s="40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40"/>
      <c r="AJ788" s="40"/>
      <c r="AK788" s="40"/>
      <c r="AL788" s="40"/>
      <c r="AM788" s="40"/>
      <c r="AN788" s="40"/>
      <c r="AO788" s="40"/>
      <c r="AP788" s="40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40"/>
      <c r="AJ789" s="40"/>
      <c r="AK789" s="40"/>
      <c r="AL789" s="40"/>
      <c r="AM789" s="40"/>
      <c r="AN789" s="40"/>
      <c r="AO789" s="40"/>
      <c r="AP789" s="40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40"/>
      <c r="AJ790" s="40"/>
      <c r="AK790" s="40"/>
      <c r="AL790" s="40"/>
      <c r="AM790" s="40"/>
      <c r="AN790" s="40"/>
      <c r="AO790" s="40"/>
      <c r="AP790" s="40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40"/>
      <c r="AJ791" s="40"/>
      <c r="AK791" s="40"/>
      <c r="AL791" s="40"/>
      <c r="AM791" s="40"/>
      <c r="AN791" s="40"/>
      <c r="AO791" s="40"/>
      <c r="AP791" s="40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40"/>
      <c r="AJ792" s="40"/>
      <c r="AK792" s="40"/>
      <c r="AL792" s="40"/>
      <c r="AM792" s="40"/>
      <c r="AN792" s="40"/>
      <c r="AO792" s="40"/>
      <c r="AP792" s="40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40"/>
      <c r="AJ793" s="40"/>
      <c r="AK793" s="40"/>
      <c r="AL793" s="40"/>
      <c r="AM793" s="40"/>
      <c r="AN793" s="40"/>
      <c r="AO793" s="40"/>
      <c r="AP793" s="40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40"/>
      <c r="AJ794" s="40"/>
      <c r="AK794" s="40"/>
      <c r="AL794" s="40"/>
      <c r="AM794" s="40"/>
      <c r="AN794" s="40"/>
      <c r="AO794" s="40"/>
      <c r="AP794" s="40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40"/>
      <c r="AJ795" s="40"/>
      <c r="AK795" s="40"/>
      <c r="AL795" s="40"/>
      <c r="AM795" s="40"/>
      <c r="AN795" s="40"/>
      <c r="AO795" s="40"/>
      <c r="AP795" s="40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40"/>
      <c r="AJ796" s="40"/>
      <c r="AK796" s="40"/>
      <c r="AL796" s="40"/>
      <c r="AM796" s="40"/>
      <c r="AN796" s="40"/>
      <c r="AO796" s="40"/>
      <c r="AP796" s="40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40"/>
      <c r="AJ797" s="40"/>
      <c r="AK797" s="40"/>
      <c r="AL797" s="40"/>
      <c r="AM797" s="40"/>
      <c r="AN797" s="40"/>
      <c r="AO797" s="40"/>
      <c r="AP797" s="40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40"/>
      <c r="AJ798" s="40"/>
      <c r="AK798" s="40"/>
      <c r="AL798" s="40"/>
      <c r="AM798" s="40"/>
      <c r="AN798" s="40"/>
      <c r="AO798" s="40"/>
      <c r="AP798" s="40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40"/>
      <c r="AJ799" s="40"/>
      <c r="AK799" s="40"/>
      <c r="AL799" s="40"/>
      <c r="AM799" s="40"/>
      <c r="AN799" s="40"/>
      <c r="AO799" s="40"/>
      <c r="AP799" s="40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40"/>
      <c r="AJ800" s="40"/>
      <c r="AK800" s="40"/>
      <c r="AL800" s="40"/>
      <c r="AM800" s="40"/>
      <c r="AN800" s="40"/>
      <c r="AO800" s="40"/>
      <c r="AP800" s="40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40"/>
      <c r="AJ801" s="40"/>
      <c r="AK801" s="40"/>
      <c r="AL801" s="40"/>
      <c r="AM801" s="40"/>
      <c r="AN801" s="40"/>
      <c r="AO801" s="40"/>
      <c r="AP801" s="40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40"/>
      <c r="AJ802" s="40"/>
      <c r="AK802" s="40"/>
      <c r="AL802" s="40"/>
      <c r="AM802" s="40"/>
      <c r="AN802" s="40"/>
      <c r="AO802" s="40"/>
      <c r="AP802" s="40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40"/>
      <c r="AJ803" s="40"/>
      <c r="AK803" s="40"/>
      <c r="AL803" s="40"/>
      <c r="AM803" s="40"/>
      <c r="AN803" s="40"/>
      <c r="AO803" s="40"/>
      <c r="AP803" s="40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40"/>
      <c r="AJ804" s="40"/>
      <c r="AK804" s="40"/>
      <c r="AL804" s="40"/>
      <c r="AM804" s="40"/>
      <c r="AN804" s="40"/>
      <c r="AO804" s="40"/>
      <c r="AP804" s="40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40"/>
      <c r="AJ805" s="40"/>
      <c r="AK805" s="40"/>
      <c r="AL805" s="40"/>
      <c r="AM805" s="40"/>
      <c r="AN805" s="40"/>
      <c r="AO805" s="40"/>
      <c r="AP805" s="40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40"/>
      <c r="AJ806" s="40"/>
      <c r="AK806" s="40"/>
      <c r="AL806" s="40"/>
      <c r="AM806" s="40"/>
      <c r="AN806" s="40"/>
      <c r="AO806" s="40"/>
      <c r="AP806" s="40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40"/>
      <c r="AJ807" s="40"/>
      <c r="AK807" s="40"/>
      <c r="AL807" s="40"/>
      <c r="AM807" s="40"/>
      <c r="AN807" s="40"/>
      <c r="AO807" s="40"/>
      <c r="AP807" s="40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40"/>
      <c r="AJ808" s="40"/>
      <c r="AK808" s="40"/>
      <c r="AL808" s="40"/>
      <c r="AM808" s="40"/>
      <c r="AN808" s="40"/>
      <c r="AO808" s="40"/>
      <c r="AP808" s="40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40"/>
      <c r="AJ809" s="40"/>
      <c r="AK809" s="40"/>
      <c r="AL809" s="40"/>
      <c r="AM809" s="40"/>
      <c r="AN809" s="40"/>
      <c r="AO809" s="40"/>
      <c r="AP809" s="40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40"/>
      <c r="AJ810" s="40"/>
      <c r="AK810" s="40"/>
      <c r="AL810" s="40"/>
      <c r="AM810" s="40"/>
      <c r="AN810" s="40"/>
      <c r="AO810" s="40"/>
      <c r="AP810" s="40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40"/>
      <c r="AJ811" s="40"/>
      <c r="AK811" s="40"/>
      <c r="AL811" s="40"/>
      <c r="AM811" s="40"/>
      <c r="AN811" s="40"/>
      <c r="AO811" s="40"/>
      <c r="AP811" s="40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40"/>
      <c r="AJ812" s="40"/>
      <c r="AK812" s="40"/>
      <c r="AL812" s="40"/>
      <c r="AM812" s="40"/>
      <c r="AN812" s="40"/>
      <c r="AO812" s="40"/>
      <c r="AP812" s="40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40"/>
      <c r="AJ813" s="40"/>
      <c r="AK813" s="40"/>
      <c r="AL813" s="40"/>
      <c r="AM813" s="40"/>
      <c r="AN813" s="40"/>
      <c r="AO813" s="40"/>
      <c r="AP813" s="40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40"/>
      <c r="AJ814" s="40"/>
      <c r="AK814" s="40"/>
      <c r="AL814" s="40"/>
      <c r="AM814" s="40"/>
      <c r="AN814" s="40"/>
      <c r="AO814" s="40"/>
      <c r="AP814" s="40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40"/>
      <c r="AJ815" s="40"/>
      <c r="AK815" s="40"/>
      <c r="AL815" s="40"/>
      <c r="AM815" s="40"/>
      <c r="AN815" s="40"/>
      <c r="AO815" s="40"/>
      <c r="AP815" s="40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40"/>
      <c r="AJ816" s="40"/>
      <c r="AK816" s="40"/>
      <c r="AL816" s="40"/>
      <c r="AM816" s="40"/>
      <c r="AN816" s="40"/>
      <c r="AO816" s="40"/>
      <c r="AP816" s="40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40"/>
      <c r="AJ817" s="40"/>
      <c r="AK817" s="40"/>
      <c r="AL817" s="40"/>
      <c r="AM817" s="40"/>
      <c r="AN817" s="40"/>
      <c r="AO817" s="40"/>
      <c r="AP817" s="40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40"/>
      <c r="AJ818" s="40"/>
      <c r="AK818" s="40"/>
      <c r="AL818" s="40"/>
      <c r="AM818" s="40"/>
      <c r="AN818" s="40"/>
      <c r="AO818" s="40"/>
      <c r="AP818" s="40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40"/>
      <c r="AJ819" s="40"/>
      <c r="AK819" s="40"/>
      <c r="AL819" s="40"/>
      <c r="AM819" s="40"/>
      <c r="AN819" s="40"/>
      <c r="AO819" s="40"/>
      <c r="AP819" s="40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40"/>
      <c r="AJ820" s="40"/>
      <c r="AK820" s="40"/>
      <c r="AL820" s="40"/>
      <c r="AM820" s="40"/>
      <c r="AN820" s="40"/>
      <c r="AO820" s="40"/>
      <c r="AP820" s="40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40"/>
      <c r="AJ821" s="40"/>
      <c r="AK821" s="40"/>
      <c r="AL821" s="40"/>
      <c r="AM821" s="40"/>
      <c r="AN821" s="40"/>
      <c r="AO821" s="40"/>
      <c r="AP821" s="40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40"/>
      <c r="AJ822" s="40"/>
      <c r="AK822" s="40"/>
      <c r="AL822" s="40"/>
      <c r="AM822" s="40"/>
      <c r="AN822" s="40"/>
      <c r="AO822" s="40"/>
      <c r="AP822" s="40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40"/>
      <c r="AJ823" s="40"/>
      <c r="AK823" s="40"/>
      <c r="AL823" s="40"/>
      <c r="AM823" s="40"/>
      <c r="AN823" s="40"/>
      <c r="AO823" s="40"/>
      <c r="AP823" s="40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40"/>
      <c r="AJ824" s="40"/>
      <c r="AK824" s="40"/>
      <c r="AL824" s="40"/>
      <c r="AM824" s="40"/>
      <c r="AN824" s="40"/>
      <c r="AO824" s="40"/>
      <c r="AP824" s="40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40"/>
      <c r="AJ825" s="40"/>
      <c r="AK825" s="40"/>
      <c r="AL825" s="40"/>
      <c r="AM825" s="40"/>
      <c r="AN825" s="40"/>
      <c r="AO825" s="40"/>
      <c r="AP825" s="40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40"/>
      <c r="AJ826" s="40"/>
      <c r="AK826" s="40"/>
      <c r="AL826" s="40"/>
      <c r="AM826" s="40"/>
      <c r="AN826" s="40"/>
      <c r="AO826" s="40"/>
      <c r="AP826" s="40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40"/>
      <c r="AJ827" s="40"/>
      <c r="AK827" s="40"/>
      <c r="AL827" s="40"/>
      <c r="AM827" s="40"/>
      <c r="AN827" s="40"/>
      <c r="AO827" s="40"/>
      <c r="AP827" s="40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40"/>
      <c r="AJ828" s="40"/>
      <c r="AK828" s="40"/>
      <c r="AL828" s="40"/>
      <c r="AM828" s="40"/>
      <c r="AN828" s="40"/>
      <c r="AO828" s="40"/>
      <c r="AP828" s="40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40"/>
      <c r="AJ829" s="40"/>
      <c r="AK829" s="40"/>
      <c r="AL829" s="40"/>
      <c r="AM829" s="40"/>
      <c r="AN829" s="40"/>
      <c r="AO829" s="40"/>
      <c r="AP829" s="40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40"/>
      <c r="AJ830" s="40"/>
      <c r="AK830" s="40"/>
      <c r="AL830" s="40"/>
      <c r="AM830" s="40"/>
      <c r="AN830" s="40"/>
      <c r="AO830" s="40"/>
      <c r="AP830" s="40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40"/>
      <c r="AJ831" s="40"/>
      <c r="AK831" s="40"/>
      <c r="AL831" s="40"/>
      <c r="AM831" s="40"/>
      <c r="AN831" s="40"/>
      <c r="AO831" s="40"/>
      <c r="AP831" s="40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40"/>
      <c r="AJ832" s="40"/>
      <c r="AK832" s="40"/>
      <c r="AL832" s="40"/>
      <c r="AM832" s="40"/>
      <c r="AN832" s="40"/>
      <c r="AO832" s="40"/>
      <c r="AP832" s="40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40"/>
      <c r="AJ833" s="40"/>
      <c r="AK833" s="40"/>
      <c r="AL833" s="40"/>
      <c r="AM833" s="40"/>
      <c r="AN833" s="40"/>
      <c r="AO833" s="40"/>
      <c r="AP833" s="40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40"/>
      <c r="AJ834" s="40"/>
      <c r="AK834" s="40"/>
      <c r="AL834" s="40"/>
      <c r="AM834" s="40"/>
      <c r="AN834" s="40"/>
      <c r="AO834" s="40"/>
      <c r="AP834" s="40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40"/>
      <c r="AJ835" s="40"/>
      <c r="AK835" s="40"/>
      <c r="AL835" s="40"/>
      <c r="AM835" s="40"/>
      <c r="AN835" s="40"/>
      <c r="AO835" s="40"/>
      <c r="AP835" s="40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40"/>
      <c r="AJ836" s="40"/>
      <c r="AK836" s="40"/>
      <c r="AL836" s="40"/>
      <c r="AM836" s="40"/>
      <c r="AN836" s="40"/>
      <c r="AO836" s="40"/>
      <c r="AP836" s="40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40"/>
      <c r="AJ837" s="40"/>
      <c r="AK837" s="40"/>
      <c r="AL837" s="40"/>
      <c r="AM837" s="40"/>
      <c r="AN837" s="40"/>
      <c r="AO837" s="40"/>
      <c r="AP837" s="40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40"/>
      <c r="AJ838" s="40"/>
      <c r="AK838" s="40"/>
      <c r="AL838" s="40"/>
      <c r="AM838" s="40"/>
      <c r="AN838" s="40"/>
      <c r="AO838" s="40"/>
      <c r="AP838" s="40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40"/>
      <c r="AJ839" s="40"/>
      <c r="AK839" s="40"/>
      <c r="AL839" s="40"/>
      <c r="AM839" s="40"/>
      <c r="AN839" s="40"/>
      <c r="AO839" s="40"/>
      <c r="AP839" s="40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40"/>
      <c r="AJ840" s="40"/>
      <c r="AK840" s="40"/>
      <c r="AL840" s="40"/>
      <c r="AM840" s="40"/>
      <c r="AN840" s="40"/>
      <c r="AO840" s="40"/>
      <c r="AP840" s="40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40"/>
      <c r="AJ841" s="40"/>
      <c r="AK841" s="40"/>
      <c r="AL841" s="40"/>
      <c r="AM841" s="40"/>
      <c r="AN841" s="40"/>
      <c r="AO841" s="40"/>
      <c r="AP841" s="40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40"/>
      <c r="AJ842" s="40"/>
      <c r="AK842" s="40"/>
      <c r="AL842" s="40"/>
      <c r="AM842" s="40"/>
      <c r="AN842" s="40"/>
      <c r="AO842" s="40"/>
      <c r="AP842" s="40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40"/>
      <c r="AJ843" s="40"/>
      <c r="AK843" s="40"/>
      <c r="AL843" s="40"/>
      <c r="AM843" s="40"/>
      <c r="AN843" s="40"/>
      <c r="AO843" s="40"/>
      <c r="AP843" s="40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40"/>
      <c r="AJ844" s="40"/>
      <c r="AK844" s="40"/>
      <c r="AL844" s="40"/>
      <c r="AM844" s="40"/>
      <c r="AN844" s="40"/>
      <c r="AO844" s="40"/>
      <c r="AP844" s="40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40"/>
      <c r="AJ845" s="40"/>
      <c r="AK845" s="40"/>
      <c r="AL845" s="40"/>
      <c r="AM845" s="40"/>
      <c r="AN845" s="40"/>
      <c r="AO845" s="40"/>
      <c r="AP845" s="40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40"/>
      <c r="AJ846" s="40"/>
      <c r="AK846" s="40"/>
      <c r="AL846" s="40"/>
      <c r="AM846" s="40"/>
      <c r="AN846" s="40"/>
      <c r="AO846" s="40"/>
      <c r="AP846" s="40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40"/>
      <c r="AJ847" s="40"/>
      <c r="AK847" s="40"/>
      <c r="AL847" s="40"/>
      <c r="AM847" s="40"/>
      <c r="AN847" s="40"/>
      <c r="AO847" s="40"/>
      <c r="AP847" s="40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40"/>
      <c r="AJ848" s="40"/>
      <c r="AK848" s="40"/>
      <c r="AL848" s="40"/>
      <c r="AM848" s="40"/>
      <c r="AN848" s="40"/>
      <c r="AO848" s="40"/>
      <c r="AP848" s="40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40"/>
      <c r="AJ849" s="40"/>
      <c r="AK849" s="40"/>
      <c r="AL849" s="40"/>
      <c r="AM849" s="40"/>
      <c r="AN849" s="40"/>
      <c r="AO849" s="40"/>
      <c r="AP849" s="40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40"/>
      <c r="AJ850" s="40"/>
      <c r="AK850" s="40"/>
      <c r="AL850" s="40"/>
      <c r="AM850" s="40"/>
      <c r="AN850" s="40"/>
      <c r="AO850" s="40"/>
      <c r="AP850" s="40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40"/>
      <c r="AJ851" s="40"/>
      <c r="AK851" s="40"/>
      <c r="AL851" s="40"/>
      <c r="AM851" s="40"/>
      <c r="AN851" s="40"/>
      <c r="AO851" s="40"/>
      <c r="AP851" s="40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40"/>
      <c r="AJ852" s="40"/>
      <c r="AK852" s="40"/>
      <c r="AL852" s="40"/>
      <c r="AM852" s="40"/>
      <c r="AN852" s="40"/>
      <c r="AO852" s="40"/>
      <c r="AP852" s="40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40"/>
      <c r="AJ853" s="40"/>
      <c r="AK853" s="40"/>
      <c r="AL853" s="40"/>
      <c r="AM853" s="40"/>
      <c r="AN853" s="40"/>
      <c r="AO853" s="40"/>
      <c r="AP853" s="40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40"/>
      <c r="AJ854" s="40"/>
      <c r="AK854" s="40"/>
      <c r="AL854" s="40"/>
      <c r="AM854" s="40"/>
      <c r="AN854" s="40"/>
      <c r="AO854" s="40"/>
      <c r="AP854" s="40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40"/>
      <c r="AJ855" s="40"/>
      <c r="AK855" s="40"/>
      <c r="AL855" s="40"/>
      <c r="AM855" s="40"/>
      <c r="AN855" s="40"/>
      <c r="AO855" s="40"/>
      <c r="AP855" s="40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40"/>
      <c r="AJ856" s="40"/>
      <c r="AK856" s="40"/>
      <c r="AL856" s="40"/>
      <c r="AM856" s="40"/>
      <c r="AN856" s="40"/>
      <c r="AO856" s="40"/>
      <c r="AP856" s="40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40"/>
      <c r="AJ857" s="40"/>
      <c r="AK857" s="40"/>
      <c r="AL857" s="40"/>
      <c r="AM857" s="40"/>
      <c r="AN857" s="40"/>
      <c r="AO857" s="40"/>
      <c r="AP857" s="40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40"/>
      <c r="AJ858" s="40"/>
      <c r="AK858" s="40"/>
      <c r="AL858" s="40"/>
      <c r="AM858" s="40"/>
      <c r="AN858" s="40"/>
      <c r="AO858" s="40"/>
      <c r="AP858" s="40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40"/>
      <c r="AJ859" s="40"/>
      <c r="AK859" s="40"/>
      <c r="AL859" s="40"/>
      <c r="AM859" s="40"/>
      <c r="AN859" s="40"/>
      <c r="AO859" s="40"/>
      <c r="AP859" s="40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40"/>
      <c r="AJ860" s="40"/>
      <c r="AK860" s="40"/>
      <c r="AL860" s="40"/>
      <c r="AM860" s="40"/>
      <c r="AN860" s="40"/>
      <c r="AO860" s="40"/>
      <c r="AP860" s="40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40"/>
      <c r="AJ861" s="40"/>
      <c r="AK861" s="40"/>
      <c r="AL861" s="40"/>
      <c r="AM861" s="40"/>
      <c r="AN861" s="40"/>
      <c r="AO861" s="40"/>
      <c r="AP861" s="40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40"/>
      <c r="AJ862" s="40"/>
      <c r="AK862" s="40"/>
      <c r="AL862" s="40"/>
      <c r="AM862" s="40"/>
      <c r="AN862" s="40"/>
      <c r="AO862" s="40"/>
      <c r="AP862" s="40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40"/>
      <c r="AJ863" s="40"/>
      <c r="AK863" s="40"/>
      <c r="AL863" s="40"/>
      <c r="AM863" s="40"/>
      <c r="AN863" s="40"/>
      <c r="AO863" s="40"/>
      <c r="AP863" s="40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40"/>
      <c r="AJ864" s="40"/>
      <c r="AK864" s="40"/>
      <c r="AL864" s="40"/>
      <c r="AM864" s="40"/>
      <c r="AN864" s="40"/>
      <c r="AO864" s="40"/>
      <c r="AP864" s="40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40"/>
      <c r="AJ865" s="40"/>
      <c r="AK865" s="40"/>
      <c r="AL865" s="40"/>
      <c r="AM865" s="40"/>
      <c r="AN865" s="40"/>
      <c r="AO865" s="40"/>
      <c r="AP865" s="40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40"/>
      <c r="AJ866" s="40"/>
      <c r="AK866" s="40"/>
      <c r="AL866" s="40"/>
      <c r="AM866" s="40"/>
      <c r="AN866" s="40"/>
      <c r="AO866" s="40"/>
      <c r="AP866" s="40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40"/>
      <c r="AJ867" s="40"/>
      <c r="AK867" s="40"/>
      <c r="AL867" s="40"/>
      <c r="AM867" s="40"/>
      <c r="AN867" s="40"/>
      <c r="AO867" s="40"/>
      <c r="AP867" s="40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40"/>
      <c r="AJ868" s="40"/>
      <c r="AK868" s="40"/>
      <c r="AL868" s="40"/>
      <c r="AM868" s="40"/>
      <c r="AN868" s="40"/>
      <c r="AO868" s="40"/>
      <c r="AP868" s="40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40"/>
      <c r="AJ869" s="40"/>
      <c r="AK869" s="40"/>
      <c r="AL869" s="40"/>
      <c r="AM869" s="40"/>
      <c r="AN869" s="40"/>
      <c r="AO869" s="40"/>
      <c r="AP869" s="40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40"/>
      <c r="AJ870" s="40"/>
      <c r="AK870" s="40"/>
      <c r="AL870" s="40"/>
      <c r="AM870" s="40"/>
      <c r="AN870" s="40"/>
      <c r="AO870" s="40"/>
      <c r="AP870" s="40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40"/>
      <c r="AJ871" s="40"/>
      <c r="AK871" s="40"/>
      <c r="AL871" s="40"/>
      <c r="AM871" s="40"/>
      <c r="AN871" s="40"/>
      <c r="AO871" s="40"/>
      <c r="AP871" s="40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40"/>
      <c r="AJ872" s="40"/>
      <c r="AK872" s="40"/>
      <c r="AL872" s="40"/>
      <c r="AM872" s="40"/>
      <c r="AN872" s="40"/>
      <c r="AO872" s="40"/>
      <c r="AP872" s="40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40"/>
      <c r="AJ873" s="40"/>
      <c r="AK873" s="40"/>
      <c r="AL873" s="40"/>
      <c r="AM873" s="40"/>
      <c r="AN873" s="40"/>
      <c r="AO873" s="40"/>
      <c r="AP873" s="40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40"/>
      <c r="AJ874" s="40"/>
      <c r="AK874" s="40"/>
      <c r="AL874" s="40"/>
      <c r="AM874" s="40"/>
      <c r="AN874" s="40"/>
      <c r="AO874" s="40"/>
      <c r="AP874" s="40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40"/>
      <c r="AJ875" s="40"/>
      <c r="AK875" s="40"/>
      <c r="AL875" s="40"/>
      <c r="AM875" s="40"/>
      <c r="AN875" s="40"/>
      <c r="AO875" s="40"/>
      <c r="AP875" s="40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40"/>
      <c r="AJ876" s="40"/>
      <c r="AK876" s="40"/>
      <c r="AL876" s="40"/>
      <c r="AM876" s="40"/>
      <c r="AN876" s="40"/>
      <c r="AO876" s="40"/>
      <c r="AP876" s="40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40"/>
      <c r="AJ877" s="40"/>
      <c r="AK877" s="40"/>
      <c r="AL877" s="40"/>
      <c r="AM877" s="40"/>
      <c r="AN877" s="40"/>
      <c r="AO877" s="40"/>
      <c r="AP877" s="40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40"/>
      <c r="AJ878" s="40"/>
      <c r="AK878" s="40"/>
      <c r="AL878" s="40"/>
      <c r="AM878" s="40"/>
      <c r="AN878" s="40"/>
      <c r="AO878" s="40"/>
      <c r="AP878" s="40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40"/>
      <c r="AJ879" s="40"/>
      <c r="AK879" s="40"/>
      <c r="AL879" s="40"/>
      <c r="AM879" s="40"/>
      <c r="AN879" s="40"/>
      <c r="AO879" s="40"/>
      <c r="AP879" s="40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40"/>
      <c r="AJ880" s="40"/>
      <c r="AK880" s="40"/>
      <c r="AL880" s="40"/>
      <c r="AM880" s="40"/>
      <c r="AN880" s="40"/>
      <c r="AO880" s="40"/>
      <c r="AP880" s="40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40"/>
      <c r="AJ881" s="40"/>
      <c r="AK881" s="40"/>
      <c r="AL881" s="40"/>
      <c r="AM881" s="40"/>
      <c r="AN881" s="40"/>
      <c r="AO881" s="40"/>
      <c r="AP881" s="40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40"/>
      <c r="AJ882" s="40"/>
      <c r="AK882" s="40"/>
      <c r="AL882" s="40"/>
      <c r="AM882" s="40"/>
      <c r="AN882" s="40"/>
      <c r="AO882" s="40"/>
      <c r="AP882" s="40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40"/>
      <c r="AJ883" s="40"/>
      <c r="AK883" s="40"/>
      <c r="AL883" s="40"/>
      <c r="AM883" s="40"/>
      <c r="AN883" s="40"/>
      <c r="AO883" s="40"/>
      <c r="AP883" s="40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40"/>
      <c r="AJ884" s="40"/>
      <c r="AK884" s="40"/>
      <c r="AL884" s="40"/>
      <c r="AM884" s="40"/>
      <c r="AN884" s="40"/>
      <c r="AO884" s="40"/>
      <c r="AP884" s="40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40"/>
      <c r="AJ885" s="40"/>
      <c r="AK885" s="40"/>
      <c r="AL885" s="40"/>
      <c r="AM885" s="40"/>
      <c r="AN885" s="40"/>
      <c r="AO885" s="40"/>
      <c r="AP885" s="40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40"/>
      <c r="AJ886" s="40"/>
      <c r="AK886" s="40"/>
      <c r="AL886" s="40"/>
      <c r="AM886" s="40"/>
      <c r="AN886" s="40"/>
      <c r="AO886" s="40"/>
      <c r="AP886" s="40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40"/>
      <c r="AJ887" s="40"/>
      <c r="AK887" s="40"/>
      <c r="AL887" s="40"/>
      <c r="AM887" s="40"/>
      <c r="AN887" s="40"/>
      <c r="AO887" s="40"/>
      <c r="AP887" s="40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40"/>
      <c r="AJ888" s="40"/>
      <c r="AK888" s="40"/>
      <c r="AL888" s="40"/>
      <c r="AM888" s="40"/>
      <c r="AN888" s="40"/>
      <c r="AO888" s="40"/>
      <c r="AP888" s="40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40"/>
      <c r="AJ889" s="40"/>
      <c r="AK889" s="40"/>
      <c r="AL889" s="40"/>
      <c r="AM889" s="40"/>
      <c r="AN889" s="40"/>
      <c r="AO889" s="40"/>
      <c r="AP889" s="40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40"/>
      <c r="AJ890" s="40"/>
      <c r="AK890" s="40"/>
      <c r="AL890" s="40"/>
      <c r="AM890" s="40"/>
      <c r="AN890" s="40"/>
      <c r="AO890" s="40"/>
      <c r="AP890" s="40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40"/>
      <c r="AJ891" s="40"/>
      <c r="AK891" s="40"/>
      <c r="AL891" s="40"/>
      <c r="AM891" s="40"/>
      <c r="AN891" s="40"/>
      <c r="AO891" s="40"/>
      <c r="AP891" s="40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40"/>
      <c r="AJ892" s="40"/>
      <c r="AK892" s="40"/>
      <c r="AL892" s="40"/>
      <c r="AM892" s="40"/>
      <c r="AN892" s="40"/>
      <c r="AO892" s="40"/>
      <c r="AP892" s="40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40"/>
      <c r="AJ893" s="40"/>
      <c r="AK893" s="40"/>
      <c r="AL893" s="40"/>
      <c r="AM893" s="40"/>
      <c r="AN893" s="40"/>
      <c r="AO893" s="40"/>
      <c r="AP893" s="40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40"/>
      <c r="AJ894" s="40"/>
      <c r="AK894" s="40"/>
      <c r="AL894" s="40"/>
      <c r="AM894" s="40"/>
      <c r="AN894" s="40"/>
      <c r="AO894" s="40"/>
      <c r="AP894" s="40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40"/>
      <c r="AJ895" s="40"/>
      <c r="AK895" s="40"/>
      <c r="AL895" s="40"/>
      <c r="AM895" s="40"/>
      <c r="AN895" s="40"/>
      <c r="AO895" s="40"/>
      <c r="AP895" s="40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40"/>
      <c r="AJ896" s="40"/>
      <c r="AK896" s="40"/>
      <c r="AL896" s="40"/>
      <c r="AM896" s="40"/>
      <c r="AN896" s="40"/>
      <c r="AO896" s="40"/>
      <c r="AP896" s="40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40"/>
      <c r="AJ897" s="40"/>
      <c r="AK897" s="40"/>
      <c r="AL897" s="40"/>
      <c r="AM897" s="40"/>
      <c r="AN897" s="40"/>
      <c r="AO897" s="40"/>
      <c r="AP897" s="40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40"/>
      <c r="AJ898" s="40"/>
      <c r="AK898" s="40"/>
      <c r="AL898" s="40"/>
      <c r="AM898" s="40"/>
      <c r="AN898" s="40"/>
      <c r="AO898" s="40"/>
      <c r="AP898" s="40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40"/>
      <c r="AJ899" s="40"/>
      <c r="AK899" s="40"/>
      <c r="AL899" s="40"/>
      <c r="AM899" s="40"/>
      <c r="AN899" s="40"/>
      <c r="AO899" s="40"/>
      <c r="AP899" s="40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40"/>
      <c r="AJ900" s="40"/>
      <c r="AK900" s="40"/>
      <c r="AL900" s="40"/>
      <c r="AM900" s="40"/>
      <c r="AN900" s="40"/>
      <c r="AO900" s="40"/>
      <c r="AP900" s="40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40"/>
      <c r="AJ901" s="40"/>
      <c r="AK901" s="40"/>
      <c r="AL901" s="40"/>
      <c r="AM901" s="40"/>
      <c r="AN901" s="40"/>
      <c r="AO901" s="40"/>
      <c r="AP901" s="40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40"/>
      <c r="AJ902" s="40"/>
      <c r="AK902" s="40"/>
      <c r="AL902" s="40"/>
      <c r="AM902" s="40"/>
      <c r="AN902" s="40"/>
      <c r="AO902" s="40"/>
      <c r="AP902" s="40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40"/>
      <c r="AJ903" s="40"/>
      <c r="AK903" s="40"/>
      <c r="AL903" s="40"/>
      <c r="AM903" s="40"/>
      <c r="AN903" s="40"/>
      <c r="AO903" s="40"/>
      <c r="AP903" s="40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40"/>
      <c r="AJ904" s="40"/>
      <c r="AK904" s="40"/>
      <c r="AL904" s="40"/>
      <c r="AM904" s="40"/>
      <c r="AN904" s="40"/>
      <c r="AO904" s="40"/>
      <c r="AP904" s="40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40"/>
      <c r="AJ905" s="40"/>
      <c r="AK905" s="40"/>
      <c r="AL905" s="40"/>
      <c r="AM905" s="40"/>
      <c r="AN905" s="40"/>
      <c r="AO905" s="40"/>
      <c r="AP905" s="40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40"/>
      <c r="AJ906" s="40"/>
      <c r="AK906" s="40"/>
      <c r="AL906" s="40"/>
      <c r="AM906" s="40"/>
      <c r="AN906" s="40"/>
      <c r="AO906" s="40"/>
      <c r="AP906" s="40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40"/>
      <c r="AJ907" s="40"/>
      <c r="AK907" s="40"/>
      <c r="AL907" s="40"/>
      <c r="AM907" s="40"/>
      <c r="AN907" s="40"/>
      <c r="AO907" s="40"/>
      <c r="AP907" s="40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40"/>
      <c r="AJ908" s="40"/>
      <c r="AK908" s="40"/>
      <c r="AL908" s="40"/>
      <c r="AM908" s="40"/>
      <c r="AN908" s="40"/>
      <c r="AO908" s="40"/>
      <c r="AP908" s="40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40"/>
      <c r="AJ909" s="40"/>
      <c r="AK909" s="40"/>
      <c r="AL909" s="40"/>
      <c r="AM909" s="40"/>
      <c r="AN909" s="40"/>
      <c r="AO909" s="40"/>
      <c r="AP909" s="40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40"/>
      <c r="AJ910" s="40"/>
      <c r="AK910" s="40"/>
      <c r="AL910" s="40"/>
      <c r="AM910" s="40"/>
      <c r="AN910" s="40"/>
      <c r="AO910" s="40"/>
      <c r="AP910" s="40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40"/>
      <c r="AJ911" s="40"/>
      <c r="AK911" s="40"/>
      <c r="AL911" s="40"/>
      <c r="AM911" s="40"/>
      <c r="AN911" s="40"/>
      <c r="AO911" s="40"/>
      <c r="AP911" s="40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40"/>
      <c r="AJ912" s="40"/>
      <c r="AK912" s="40"/>
      <c r="AL912" s="40"/>
      <c r="AM912" s="40"/>
      <c r="AN912" s="40"/>
      <c r="AO912" s="40"/>
      <c r="AP912" s="40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40"/>
      <c r="AJ913" s="40"/>
      <c r="AK913" s="40"/>
      <c r="AL913" s="40"/>
      <c r="AM913" s="40"/>
      <c r="AN913" s="40"/>
      <c r="AO913" s="40"/>
      <c r="AP913" s="40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40"/>
      <c r="AJ914" s="40"/>
      <c r="AK914" s="40"/>
      <c r="AL914" s="40"/>
      <c r="AM914" s="40"/>
      <c r="AN914" s="40"/>
      <c r="AO914" s="40"/>
      <c r="AP914" s="40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40"/>
      <c r="AJ915" s="40"/>
      <c r="AK915" s="40"/>
      <c r="AL915" s="40"/>
      <c r="AM915" s="40"/>
      <c r="AN915" s="40"/>
      <c r="AO915" s="40"/>
      <c r="AP915" s="40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40"/>
      <c r="AJ916" s="40"/>
      <c r="AK916" s="40"/>
      <c r="AL916" s="40"/>
      <c r="AM916" s="40"/>
      <c r="AN916" s="40"/>
      <c r="AO916" s="40"/>
      <c r="AP916" s="40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40"/>
      <c r="AJ917" s="40"/>
      <c r="AK917" s="40"/>
      <c r="AL917" s="40"/>
      <c r="AM917" s="40"/>
      <c r="AN917" s="40"/>
      <c r="AO917" s="40"/>
      <c r="AP917" s="40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40"/>
      <c r="AJ918" s="40"/>
      <c r="AK918" s="40"/>
      <c r="AL918" s="40"/>
      <c r="AM918" s="40"/>
      <c r="AN918" s="40"/>
      <c r="AO918" s="40"/>
      <c r="AP918" s="40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40"/>
      <c r="AJ919" s="40"/>
      <c r="AK919" s="40"/>
      <c r="AL919" s="40"/>
      <c r="AM919" s="40"/>
      <c r="AN919" s="40"/>
      <c r="AO919" s="40"/>
      <c r="AP919" s="40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40"/>
      <c r="AJ920" s="40"/>
      <c r="AK920" s="40"/>
      <c r="AL920" s="40"/>
      <c r="AM920" s="40"/>
      <c r="AN920" s="40"/>
      <c r="AO920" s="40"/>
      <c r="AP920" s="40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40"/>
      <c r="AJ921" s="40"/>
      <c r="AK921" s="40"/>
      <c r="AL921" s="40"/>
      <c r="AM921" s="40"/>
      <c r="AN921" s="40"/>
      <c r="AO921" s="40"/>
      <c r="AP921" s="40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40"/>
      <c r="AJ922" s="40"/>
      <c r="AK922" s="40"/>
      <c r="AL922" s="40"/>
      <c r="AM922" s="40"/>
      <c r="AN922" s="40"/>
      <c r="AO922" s="40"/>
      <c r="AP922" s="40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40"/>
      <c r="AJ923" s="40"/>
      <c r="AK923" s="40"/>
      <c r="AL923" s="40"/>
      <c r="AM923" s="40"/>
      <c r="AN923" s="40"/>
      <c r="AO923" s="40"/>
      <c r="AP923" s="40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40"/>
      <c r="AJ924" s="40"/>
      <c r="AK924" s="40"/>
      <c r="AL924" s="40"/>
      <c r="AM924" s="40"/>
      <c r="AN924" s="40"/>
      <c r="AO924" s="40"/>
      <c r="AP924" s="40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40"/>
      <c r="AJ925" s="40"/>
      <c r="AK925" s="40"/>
      <c r="AL925" s="40"/>
      <c r="AM925" s="40"/>
      <c r="AN925" s="40"/>
      <c r="AO925" s="40"/>
      <c r="AP925" s="40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40"/>
      <c r="AJ926" s="40"/>
      <c r="AK926" s="40"/>
      <c r="AL926" s="40"/>
      <c r="AM926" s="40"/>
      <c r="AN926" s="40"/>
      <c r="AO926" s="40"/>
      <c r="AP926" s="40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40"/>
      <c r="AJ927" s="40"/>
      <c r="AK927" s="40"/>
      <c r="AL927" s="40"/>
      <c r="AM927" s="40"/>
      <c r="AN927" s="40"/>
      <c r="AO927" s="40"/>
      <c r="AP927" s="40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40"/>
      <c r="AJ928" s="40"/>
      <c r="AK928" s="40"/>
      <c r="AL928" s="40"/>
      <c r="AM928" s="40"/>
      <c r="AN928" s="40"/>
      <c r="AO928" s="40"/>
      <c r="AP928" s="40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40"/>
      <c r="AJ929" s="40"/>
      <c r="AK929" s="40"/>
      <c r="AL929" s="40"/>
      <c r="AM929" s="40"/>
      <c r="AN929" s="40"/>
      <c r="AO929" s="40"/>
      <c r="AP929" s="40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40"/>
      <c r="AJ930" s="40"/>
      <c r="AK930" s="40"/>
      <c r="AL930" s="40"/>
      <c r="AM930" s="40"/>
      <c r="AN930" s="40"/>
      <c r="AO930" s="40"/>
      <c r="AP930" s="40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40"/>
      <c r="AJ931" s="40"/>
      <c r="AK931" s="40"/>
      <c r="AL931" s="40"/>
      <c r="AM931" s="40"/>
      <c r="AN931" s="40"/>
      <c r="AO931" s="40"/>
      <c r="AP931" s="40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40"/>
      <c r="AJ932" s="40"/>
      <c r="AK932" s="40"/>
      <c r="AL932" s="40"/>
      <c r="AM932" s="40"/>
      <c r="AN932" s="40"/>
      <c r="AO932" s="40"/>
      <c r="AP932" s="40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40"/>
      <c r="AJ933" s="40"/>
      <c r="AK933" s="40"/>
      <c r="AL933" s="40"/>
      <c r="AM933" s="40"/>
      <c r="AN933" s="40"/>
      <c r="AO933" s="40"/>
      <c r="AP933" s="40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40"/>
      <c r="AJ934" s="40"/>
      <c r="AK934" s="40"/>
      <c r="AL934" s="40"/>
      <c r="AM934" s="40"/>
      <c r="AN934" s="40"/>
      <c r="AO934" s="40"/>
      <c r="AP934" s="40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40"/>
      <c r="AJ935" s="40"/>
      <c r="AK935" s="40"/>
      <c r="AL935" s="40"/>
      <c r="AM935" s="40"/>
      <c r="AN935" s="40"/>
      <c r="AO935" s="40"/>
      <c r="AP935" s="40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40"/>
      <c r="AJ936" s="40"/>
      <c r="AK936" s="40"/>
      <c r="AL936" s="40"/>
      <c r="AM936" s="40"/>
      <c r="AN936" s="40"/>
      <c r="AO936" s="40"/>
      <c r="AP936" s="40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40"/>
      <c r="AJ937" s="40"/>
      <c r="AK937" s="40"/>
      <c r="AL937" s="40"/>
      <c r="AM937" s="40"/>
      <c r="AN937" s="40"/>
      <c r="AO937" s="40"/>
      <c r="AP937" s="40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40"/>
      <c r="AJ938" s="40"/>
      <c r="AK938" s="40"/>
      <c r="AL938" s="40"/>
      <c r="AM938" s="40"/>
      <c r="AN938" s="40"/>
      <c r="AO938" s="40"/>
      <c r="AP938" s="40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40"/>
      <c r="AJ939" s="40"/>
      <c r="AK939" s="40"/>
      <c r="AL939" s="40"/>
      <c r="AM939" s="40"/>
      <c r="AN939" s="40"/>
      <c r="AO939" s="40"/>
      <c r="AP939" s="40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40"/>
      <c r="AJ940" s="40"/>
      <c r="AK940" s="40"/>
      <c r="AL940" s="40"/>
      <c r="AM940" s="40"/>
      <c r="AN940" s="40"/>
      <c r="AO940" s="40"/>
      <c r="AP940" s="40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40"/>
      <c r="AJ941" s="40"/>
      <c r="AK941" s="40"/>
      <c r="AL941" s="40"/>
      <c r="AM941" s="40"/>
      <c r="AN941" s="40"/>
      <c r="AO941" s="40"/>
      <c r="AP941" s="40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40"/>
      <c r="AJ942" s="40"/>
      <c r="AK942" s="40"/>
      <c r="AL942" s="40"/>
      <c r="AM942" s="40"/>
      <c r="AN942" s="40"/>
      <c r="AO942" s="40"/>
      <c r="AP942" s="40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40"/>
      <c r="AJ943" s="40"/>
      <c r="AK943" s="40"/>
      <c r="AL943" s="40"/>
      <c r="AM943" s="40"/>
      <c r="AN943" s="40"/>
      <c r="AO943" s="40"/>
      <c r="AP943" s="40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40"/>
      <c r="AJ944" s="40"/>
      <c r="AK944" s="40"/>
      <c r="AL944" s="40"/>
      <c r="AM944" s="40"/>
      <c r="AN944" s="40"/>
      <c r="AO944" s="40"/>
      <c r="AP944" s="40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40"/>
      <c r="AJ945" s="40"/>
      <c r="AK945" s="40"/>
      <c r="AL945" s="40"/>
      <c r="AM945" s="40"/>
      <c r="AN945" s="40"/>
      <c r="AO945" s="40"/>
      <c r="AP945" s="40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40"/>
      <c r="AJ946" s="40"/>
      <c r="AK946" s="40"/>
      <c r="AL946" s="40"/>
      <c r="AM946" s="40"/>
      <c r="AN946" s="40"/>
      <c r="AO946" s="40"/>
      <c r="AP946" s="40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40"/>
      <c r="AJ947" s="40"/>
      <c r="AK947" s="40"/>
      <c r="AL947" s="40"/>
      <c r="AM947" s="40"/>
      <c r="AN947" s="40"/>
      <c r="AO947" s="40"/>
      <c r="AP947" s="40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40"/>
      <c r="AJ948" s="40"/>
      <c r="AK948" s="40"/>
      <c r="AL948" s="40"/>
      <c r="AM948" s="40"/>
      <c r="AN948" s="40"/>
      <c r="AO948" s="40"/>
      <c r="AP948" s="40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40"/>
      <c r="AJ949" s="40"/>
      <c r="AK949" s="40"/>
      <c r="AL949" s="40"/>
      <c r="AM949" s="40"/>
      <c r="AN949" s="40"/>
      <c r="AO949" s="40"/>
      <c r="AP949" s="40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40"/>
      <c r="AJ950" s="40"/>
      <c r="AK950" s="40"/>
      <c r="AL950" s="40"/>
      <c r="AM950" s="40"/>
      <c r="AN950" s="40"/>
      <c r="AO950" s="40"/>
      <c r="AP950" s="40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40"/>
      <c r="AJ951" s="40"/>
      <c r="AK951" s="40"/>
      <c r="AL951" s="40"/>
      <c r="AM951" s="40"/>
      <c r="AN951" s="40"/>
      <c r="AO951" s="40"/>
      <c r="AP951" s="40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40"/>
      <c r="AJ952" s="40"/>
      <c r="AK952" s="40"/>
      <c r="AL952" s="40"/>
      <c r="AM952" s="40"/>
      <c r="AN952" s="40"/>
      <c r="AO952" s="40"/>
      <c r="AP952" s="40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40"/>
      <c r="AJ953" s="40"/>
      <c r="AK953" s="40"/>
      <c r="AL953" s="40"/>
      <c r="AM953" s="40"/>
      <c r="AN953" s="40"/>
      <c r="AO953" s="40"/>
      <c r="AP953" s="40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40"/>
      <c r="AJ954" s="40"/>
      <c r="AK954" s="40"/>
      <c r="AL954" s="40"/>
      <c r="AM954" s="40"/>
      <c r="AN954" s="40"/>
      <c r="AO954" s="40"/>
      <c r="AP954" s="40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40"/>
      <c r="AJ955" s="40"/>
      <c r="AK955" s="40"/>
      <c r="AL955" s="40"/>
      <c r="AM955" s="40"/>
      <c r="AN955" s="40"/>
      <c r="AO955" s="40"/>
      <c r="AP955" s="40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40"/>
      <c r="AJ956" s="40"/>
      <c r="AK956" s="40"/>
      <c r="AL956" s="40"/>
      <c r="AM956" s="40"/>
      <c r="AN956" s="40"/>
      <c r="AO956" s="40"/>
      <c r="AP956" s="40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40"/>
      <c r="AJ957" s="40"/>
      <c r="AK957" s="40"/>
      <c r="AL957" s="40"/>
      <c r="AM957" s="40"/>
      <c r="AN957" s="40"/>
      <c r="AO957" s="40"/>
      <c r="AP957" s="40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40"/>
      <c r="AJ958" s="40"/>
      <c r="AK958" s="40"/>
      <c r="AL958" s="40"/>
      <c r="AM958" s="40"/>
      <c r="AN958" s="40"/>
      <c r="AO958" s="40"/>
      <c r="AP958" s="40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40"/>
      <c r="AJ959" s="40"/>
      <c r="AK959" s="40"/>
      <c r="AL959" s="40"/>
      <c r="AM959" s="40"/>
      <c r="AN959" s="40"/>
      <c r="AO959" s="40"/>
      <c r="AP959" s="40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40"/>
      <c r="AJ960" s="40"/>
      <c r="AK960" s="40"/>
      <c r="AL960" s="40"/>
      <c r="AM960" s="40"/>
      <c r="AN960" s="40"/>
      <c r="AO960" s="40"/>
      <c r="AP960" s="40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40"/>
      <c r="AJ961" s="40"/>
      <c r="AK961" s="40"/>
      <c r="AL961" s="40"/>
      <c r="AM961" s="40"/>
      <c r="AN961" s="40"/>
      <c r="AO961" s="40"/>
      <c r="AP961" s="40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40"/>
      <c r="AJ962" s="40"/>
      <c r="AK962" s="40"/>
      <c r="AL962" s="40"/>
      <c r="AM962" s="40"/>
      <c r="AN962" s="40"/>
      <c r="AO962" s="40"/>
      <c r="AP962" s="40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40"/>
      <c r="AJ963" s="40"/>
      <c r="AK963" s="40"/>
      <c r="AL963" s="40"/>
      <c r="AM963" s="40"/>
      <c r="AN963" s="40"/>
      <c r="AO963" s="40"/>
      <c r="AP963" s="40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40"/>
      <c r="AJ964" s="40"/>
      <c r="AK964" s="40"/>
      <c r="AL964" s="40"/>
      <c r="AM964" s="40"/>
      <c r="AN964" s="40"/>
      <c r="AO964" s="40"/>
      <c r="AP964" s="40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40"/>
      <c r="AJ965" s="40"/>
      <c r="AK965" s="40"/>
      <c r="AL965" s="40"/>
      <c r="AM965" s="40"/>
      <c r="AN965" s="40"/>
      <c r="AO965" s="40"/>
      <c r="AP965" s="40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40"/>
      <c r="AJ966" s="40"/>
      <c r="AK966" s="40"/>
      <c r="AL966" s="40"/>
      <c r="AM966" s="40"/>
      <c r="AN966" s="40"/>
      <c r="AO966" s="40"/>
      <c r="AP966" s="40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40"/>
      <c r="AJ967" s="40"/>
      <c r="AK967" s="40"/>
      <c r="AL967" s="40"/>
      <c r="AM967" s="40"/>
      <c r="AN967" s="40"/>
      <c r="AO967" s="40"/>
      <c r="AP967" s="40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40"/>
      <c r="AJ968" s="40"/>
      <c r="AK968" s="40"/>
      <c r="AL968" s="40"/>
      <c r="AM968" s="40"/>
      <c r="AN968" s="40"/>
      <c r="AO968" s="40"/>
      <c r="AP968" s="40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40"/>
      <c r="AJ969" s="40"/>
      <c r="AK969" s="40"/>
      <c r="AL969" s="40"/>
      <c r="AM969" s="40"/>
      <c r="AN969" s="40"/>
      <c r="AO969" s="40"/>
      <c r="AP969" s="40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40"/>
      <c r="AJ970" s="40"/>
      <c r="AK970" s="40"/>
      <c r="AL970" s="40"/>
      <c r="AM970" s="40"/>
      <c r="AN970" s="40"/>
      <c r="AO970" s="40"/>
      <c r="AP970" s="40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40"/>
      <c r="AJ971" s="40"/>
      <c r="AK971" s="40"/>
      <c r="AL971" s="40"/>
      <c r="AM971" s="40"/>
      <c r="AN971" s="40"/>
      <c r="AO971" s="40"/>
      <c r="AP971" s="40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40"/>
      <c r="AJ972" s="40"/>
      <c r="AK972" s="40"/>
      <c r="AL972" s="40"/>
      <c r="AM972" s="40"/>
      <c r="AN972" s="40"/>
      <c r="AO972" s="40"/>
      <c r="AP972" s="40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40"/>
      <c r="AJ973" s="40"/>
      <c r="AK973" s="40"/>
      <c r="AL973" s="40"/>
      <c r="AM973" s="40"/>
      <c r="AN973" s="40"/>
      <c r="AO973" s="40"/>
      <c r="AP973" s="40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40"/>
      <c r="AJ974" s="40"/>
      <c r="AK974" s="40"/>
      <c r="AL974" s="40"/>
      <c r="AM974" s="40"/>
      <c r="AN974" s="40"/>
      <c r="AO974" s="40"/>
      <c r="AP974" s="40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40"/>
      <c r="AJ975" s="40"/>
      <c r="AK975" s="40"/>
      <c r="AL975" s="40"/>
      <c r="AM975" s="40"/>
      <c r="AN975" s="40"/>
      <c r="AO975" s="40"/>
      <c r="AP975" s="40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40"/>
      <c r="AJ976" s="40"/>
      <c r="AK976" s="40"/>
      <c r="AL976" s="40"/>
      <c r="AM976" s="40"/>
      <c r="AN976" s="40"/>
      <c r="AO976" s="40"/>
      <c r="AP976" s="40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40"/>
      <c r="AJ977" s="40"/>
      <c r="AK977" s="40"/>
      <c r="AL977" s="40"/>
      <c r="AM977" s="40"/>
      <c r="AN977" s="40"/>
      <c r="AO977" s="40"/>
      <c r="AP977" s="40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40"/>
      <c r="AJ978" s="40"/>
      <c r="AK978" s="40"/>
      <c r="AL978" s="40"/>
      <c r="AM978" s="40"/>
      <c r="AN978" s="40"/>
      <c r="AO978" s="40"/>
      <c r="AP978" s="40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40"/>
      <c r="AJ979" s="40"/>
      <c r="AK979" s="40"/>
      <c r="AL979" s="40"/>
      <c r="AM979" s="40"/>
      <c r="AN979" s="40"/>
      <c r="AO979" s="40"/>
      <c r="AP979" s="40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40"/>
      <c r="AJ980" s="40"/>
      <c r="AK980" s="40"/>
      <c r="AL980" s="40"/>
      <c r="AM980" s="40"/>
      <c r="AN980" s="40"/>
      <c r="AO980" s="40"/>
      <c r="AP980" s="40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40"/>
      <c r="AJ981" s="40"/>
      <c r="AK981" s="40"/>
      <c r="AL981" s="40"/>
      <c r="AM981" s="40"/>
      <c r="AN981" s="40"/>
      <c r="AO981" s="40"/>
      <c r="AP981" s="40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40"/>
      <c r="AJ982" s="40"/>
      <c r="AK982" s="40"/>
      <c r="AL982" s="40"/>
      <c r="AM982" s="40"/>
      <c r="AN982" s="40"/>
      <c r="AO982" s="40"/>
      <c r="AP982" s="40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40"/>
      <c r="AJ983" s="40"/>
      <c r="AK983" s="40"/>
      <c r="AL983" s="40"/>
      <c r="AM983" s="40"/>
      <c r="AN983" s="40"/>
      <c r="AO983" s="40"/>
      <c r="AP983" s="40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40"/>
      <c r="AJ984" s="40"/>
      <c r="AK984" s="40"/>
      <c r="AL984" s="40"/>
      <c r="AM984" s="40"/>
      <c r="AN984" s="40"/>
      <c r="AO984" s="40"/>
      <c r="AP984" s="40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40"/>
      <c r="AJ985" s="40"/>
      <c r="AK985" s="40"/>
      <c r="AL985" s="40"/>
      <c r="AM985" s="40"/>
      <c r="AN985" s="40"/>
      <c r="AO985" s="40"/>
      <c r="AP985" s="40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40"/>
      <c r="AJ986" s="40"/>
      <c r="AK986" s="40"/>
      <c r="AL986" s="40"/>
      <c r="AM986" s="40"/>
      <c r="AN986" s="40"/>
      <c r="AO986" s="40"/>
      <c r="AP986" s="40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40"/>
      <c r="AJ987" s="40"/>
      <c r="AK987" s="40"/>
      <c r="AL987" s="40"/>
      <c r="AM987" s="40"/>
      <c r="AN987" s="40"/>
      <c r="AO987" s="40"/>
      <c r="AP987" s="40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40"/>
      <c r="AJ988" s="40"/>
      <c r="AK988" s="40"/>
      <c r="AL988" s="40"/>
      <c r="AM988" s="40"/>
      <c r="AN988" s="40"/>
      <c r="AO988" s="40"/>
      <c r="AP988" s="40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40"/>
      <c r="AJ989" s="40"/>
      <c r="AK989" s="40"/>
      <c r="AL989" s="40"/>
      <c r="AM989" s="40"/>
      <c r="AN989" s="40"/>
      <c r="AO989" s="40"/>
      <c r="AP989" s="40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40"/>
      <c r="AJ990" s="40"/>
      <c r="AK990" s="40"/>
      <c r="AL990" s="40"/>
      <c r="AM990" s="40"/>
      <c r="AN990" s="40"/>
      <c r="AO990" s="40"/>
      <c r="AP990" s="40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40"/>
      <c r="AJ991" s="40"/>
      <c r="AK991" s="40"/>
      <c r="AL991" s="40"/>
      <c r="AM991" s="40"/>
      <c r="AN991" s="40"/>
      <c r="AO991" s="40"/>
      <c r="AP991" s="40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40"/>
      <c r="AJ992" s="40"/>
      <c r="AK992" s="40"/>
      <c r="AL992" s="40"/>
      <c r="AM992" s="40"/>
      <c r="AN992" s="40"/>
      <c r="AO992" s="40"/>
      <c r="AP992" s="40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40"/>
      <c r="AJ993" s="40"/>
      <c r="AK993" s="40"/>
      <c r="AL993" s="40"/>
      <c r="AM993" s="40"/>
      <c r="AN993" s="40"/>
      <c r="AO993" s="40"/>
      <c r="AP993" s="40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40"/>
      <c r="AJ994" s="40"/>
      <c r="AK994" s="40"/>
      <c r="AL994" s="40"/>
      <c r="AM994" s="40"/>
      <c r="AN994" s="40"/>
      <c r="AO994" s="40"/>
      <c r="AP994" s="40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40"/>
      <c r="AJ995" s="40"/>
      <c r="AK995" s="40"/>
      <c r="AL995" s="40"/>
      <c r="AM995" s="40"/>
      <c r="AN995" s="40"/>
      <c r="AO995" s="40"/>
      <c r="AP995" s="40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40"/>
      <c r="AJ996" s="40"/>
      <c r="AK996" s="40"/>
      <c r="AL996" s="40"/>
      <c r="AM996" s="40"/>
      <c r="AN996" s="40"/>
      <c r="AO996" s="40"/>
      <c r="AP996" s="40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40"/>
      <c r="AJ997" s="40"/>
      <c r="AK997" s="40"/>
      <c r="AL997" s="40"/>
      <c r="AM997" s="40"/>
      <c r="AN997" s="40"/>
      <c r="AO997" s="40"/>
      <c r="AP997" s="40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40"/>
      <c r="AJ998" s="40"/>
      <c r="AK998" s="40"/>
      <c r="AL998" s="40"/>
      <c r="AM998" s="40"/>
      <c r="AN998" s="40"/>
      <c r="AO998" s="40"/>
      <c r="AP998" s="40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40"/>
      <c r="AJ999" s="40"/>
      <c r="AK999" s="40"/>
      <c r="AL999" s="40"/>
      <c r="AM999" s="40"/>
      <c r="AN999" s="40"/>
      <c r="AO999" s="40"/>
      <c r="AP999" s="40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40"/>
      <c r="AJ1000" s="40"/>
      <c r="AK1000" s="40"/>
      <c r="AL1000" s="40"/>
      <c r="AM1000" s="40"/>
      <c r="AN1000" s="40"/>
      <c r="AO1000" s="40"/>
      <c r="AP1000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14.38"/>
    <col customWidth="1" min="20" max="20" width="16.25"/>
    <col customWidth="1" min="21" max="21" width="5.63"/>
    <col customWidth="1" min="22" max="22" width="13.75"/>
    <col customWidth="1" min="23" max="23" width="14.25"/>
    <col customWidth="1" min="24" max="24" width="15.13"/>
    <col customWidth="1" min="25" max="25" width="16.25"/>
    <col customWidth="1" min="26" max="26" width="18.0"/>
    <col customWidth="1" min="27" max="27" width="19.0"/>
    <col customWidth="1" min="28" max="44" width="12.63"/>
  </cols>
  <sheetData>
    <row r="1">
      <c r="A1" s="1" t="s">
        <v>465</v>
      </c>
      <c r="B1" s="2" t="s">
        <v>466</v>
      </c>
      <c r="C1" s="2" t="s">
        <v>467</v>
      </c>
      <c r="D1" s="2" t="s">
        <v>468</v>
      </c>
      <c r="E1" s="2" t="s">
        <v>469</v>
      </c>
      <c r="F1" s="2" t="s">
        <v>470</v>
      </c>
      <c r="G1" s="1" t="s">
        <v>130</v>
      </c>
      <c r="H1" s="1" t="s">
        <v>471</v>
      </c>
      <c r="I1" s="1" t="s">
        <v>472</v>
      </c>
      <c r="J1" s="1" t="s">
        <v>473</v>
      </c>
      <c r="K1" s="1" t="s">
        <v>479</v>
      </c>
      <c r="L1" s="1" t="s">
        <v>480</v>
      </c>
      <c r="M1" s="1" t="s">
        <v>481</v>
      </c>
      <c r="N1" s="1" t="s">
        <v>482</v>
      </c>
      <c r="O1" s="1" t="s">
        <v>483</v>
      </c>
      <c r="P1" s="1" t="s">
        <v>484</v>
      </c>
      <c r="Q1" s="1" t="s">
        <v>485</v>
      </c>
      <c r="R1" s="1" t="s">
        <v>486</v>
      </c>
      <c r="S1" s="1" t="s">
        <v>487</v>
      </c>
      <c r="T1" s="1" t="s">
        <v>488</v>
      </c>
      <c r="U1" s="1" t="s">
        <v>489</v>
      </c>
      <c r="V1" s="1" t="s">
        <v>490</v>
      </c>
      <c r="W1" s="1" t="s">
        <v>491</v>
      </c>
      <c r="X1" s="1" t="s">
        <v>492</v>
      </c>
      <c r="Y1" s="1" t="s">
        <v>493</v>
      </c>
      <c r="Z1" s="1" t="s">
        <v>494</v>
      </c>
      <c r="AA1" s="1" t="s">
        <v>495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>
      <c r="A2" s="1" t="s">
        <v>496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$F2)</f>
        <v>0</v>
      </c>
      <c r="L2" s="13">
        <f>IF($A2="", -1, $F2-1)</f>
        <v>-1</v>
      </c>
      <c r="M2" s="13">
        <f>IF($A2="", -1, $F2+1)</f>
        <v>1</v>
      </c>
      <c r="N2" s="13">
        <f>IF($A2="", -1, $E2)</f>
        <v>0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41">
        <v>0.0</v>
      </c>
      <c r="T2" s="41">
        <v>0.0</v>
      </c>
      <c r="U2" s="13" t="str">
        <f>JOIN(", ", 1, 1, 1)</f>
        <v>1, 1, 1</v>
      </c>
      <c r="V2" s="13">
        <f>README!$F$2</f>
        <v>-1</v>
      </c>
      <c r="W2" s="13" t="str">
        <f>JOIN(", ", README!$B$14, 0)</f>
        <v>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 t="str">
        <f>JOIN(", ", README!$L$3, README!$B$27, -1, README!$B$10, 0)</f>
        <v>0, -1, -1, 0, 0</v>
      </c>
      <c r="AA2" s="13" t="str">
        <f>JOIN(", ", README!$L$15, README!$B$27, -1, README!$B$10, 0)</f>
        <v>200000000, -1, -1, 0, 0</v>
      </c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"/>
      <c r="T61" s="1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"/>
      <c r="T62" s="1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"/>
      <c r="T63" s="1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"/>
      <c r="T64" s="1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"/>
      <c r="T65" s="1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"/>
      <c r="T66" s="1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"/>
      <c r="T67" s="1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"/>
      <c r="T68" s="1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"/>
      <c r="T69" s="1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"/>
      <c r="T70" s="1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"/>
      <c r="T71" s="1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"/>
      <c r="T72" s="1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"/>
      <c r="T73" s="1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"/>
      <c r="T74" s="1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"/>
      <c r="T75" s="1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"/>
      <c r="T76" s="1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"/>
      <c r="T77" s="1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"/>
      <c r="T78" s="1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"/>
      <c r="T79" s="1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"/>
      <c r="T80" s="1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"/>
      <c r="T81" s="1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"/>
      <c r="T82" s="1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"/>
      <c r="T83" s="1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"/>
      <c r="T84" s="1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"/>
      <c r="T85" s="1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"/>
      <c r="T86" s="1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"/>
      <c r="T87" s="1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"/>
      <c r="T88" s="1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"/>
      <c r="T89" s="1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"/>
      <c r="T90" s="1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"/>
      <c r="T91" s="1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"/>
      <c r="T92" s="1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"/>
      <c r="T93" s="1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"/>
      <c r="T94" s="1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"/>
      <c r="T95" s="1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"/>
      <c r="T96" s="1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"/>
      <c r="T97" s="1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"/>
      <c r="T98" s="1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"/>
      <c r="T99" s="1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"/>
      <c r="T100" s="1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"/>
      <c r="T101" s="1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"/>
      <c r="T102" s="1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"/>
      <c r="T103" s="1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"/>
      <c r="T104" s="1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"/>
      <c r="T105" s="1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"/>
      <c r="T106" s="1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"/>
      <c r="T107" s="1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"/>
      <c r="T108" s="1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"/>
      <c r="T109" s="1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"/>
      <c r="T110" s="1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"/>
      <c r="T111" s="1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"/>
      <c r="T112" s="1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"/>
      <c r="T113" s="1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"/>
      <c r="T114" s="1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"/>
      <c r="T115" s="1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"/>
      <c r="T116" s="1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"/>
      <c r="T117" s="1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"/>
      <c r="T118" s="1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"/>
      <c r="T119" s="1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"/>
      <c r="T120" s="1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"/>
      <c r="T121" s="1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"/>
      <c r="T122" s="1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"/>
      <c r="T123" s="1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"/>
      <c r="T124" s="1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"/>
      <c r="T125" s="1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"/>
      <c r="T126" s="1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"/>
      <c r="T127" s="1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"/>
      <c r="T128" s="1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"/>
      <c r="T129" s="1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"/>
      <c r="T130" s="1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"/>
      <c r="T131" s="1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"/>
      <c r="T132" s="1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"/>
      <c r="T133" s="1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"/>
      <c r="T134" s="1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"/>
      <c r="T135" s="1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"/>
      <c r="T136" s="1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"/>
      <c r="T137" s="1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"/>
      <c r="T138" s="1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"/>
      <c r="T139" s="1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"/>
      <c r="T140" s="1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"/>
      <c r="T141" s="1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"/>
      <c r="T142" s="1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"/>
      <c r="T143" s="1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"/>
      <c r="T144" s="1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"/>
      <c r="T145" s="1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"/>
      <c r="T146" s="1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"/>
      <c r="T147" s="1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"/>
      <c r="T148" s="1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"/>
      <c r="T149" s="1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"/>
      <c r="T150" s="1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"/>
      <c r="T151" s="1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"/>
      <c r="T152" s="1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"/>
      <c r="T153" s="1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"/>
      <c r="T154" s="1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"/>
      <c r="T155" s="1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"/>
      <c r="T156" s="1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"/>
      <c r="T157" s="1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"/>
      <c r="T158" s="1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"/>
      <c r="T159" s="1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"/>
      <c r="T160" s="1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"/>
      <c r="T161" s="1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"/>
      <c r="T162" s="1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"/>
      <c r="T163" s="1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"/>
      <c r="T164" s="1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"/>
      <c r="T165" s="1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"/>
      <c r="T166" s="1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"/>
      <c r="T167" s="1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"/>
      <c r="T168" s="1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"/>
      <c r="T169" s="1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"/>
      <c r="T170" s="1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"/>
      <c r="T171" s="1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"/>
      <c r="T172" s="1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"/>
      <c r="T173" s="1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"/>
      <c r="T174" s="1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"/>
      <c r="T175" s="1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"/>
      <c r="T176" s="1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"/>
      <c r="T177" s="1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"/>
      <c r="T178" s="1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"/>
      <c r="T179" s="1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"/>
      <c r="T180" s="1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"/>
      <c r="T181" s="1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"/>
      <c r="T182" s="1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"/>
      <c r="T183" s="1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"/>
      <c r="T184" s="1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"/>
      <c r="T185" s="1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"/>
      <c r="T186" s="1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"/>
      <c r="T187" s="1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"/>
      <c r="T188" s="1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"/>
      <c r="T189" s="1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"/>
      <c r="T190" s="1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"/>
      <c r="T191" s="1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"/>
      <c r="T192" s="1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"/>
      <c r="T193" s="1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"/>
      <c r="T194" s="1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"/>
      <c r="T195" s="1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"/>
      <c r="T196" s="1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"/>
      <c r="T197" s="1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"/>
      <c r="T198" s="1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"/>
      <c r="T199" s="1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"/>
      <c r="T200" s="1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"/>
      <c r="T201" s="1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"/>
      <c r="T202" s="1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"/>
      <c r="T203" s="1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"/>
      <c r="T204" s="1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"/>
      <c r="T205" s="1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"/>
      <c r="T206" s="1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"/>
      <c r="T207" s="1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"/>
      <c r="T208" s="1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"/>
      <c r="T209" s="1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"/>
      <c r="T210" s="1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"/>
      <c r="T211" s="1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"/>
      <c r="T212" s="1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"/>
      <c r="T213" s="1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"/>
      <c r="T214" s="1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"/>
      <c r="T215" s="1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"/>
      <c r="T216" s="1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"/>
      <c r="T217" s="1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"/>
      <c r="T218" s="1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"/>
      <c r="T219" s="1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"/>
      <c r="T220" s="1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  <c r="AR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  <c r="AR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  <c r="AR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14.38"/>
    <col customWidth="1" min="20" max="20" width="16.25"/>
    <col customWidth="1" min="21" max="21" width="5.63"/>
    <col customWidth="1" min="22" max="22" width="13.75"/>
    <col customWidth="1" min="23" max="23" width="14.25"/>
    <col customWidth="1" min="24" max="24" width="15.13"/>
    <col customWidth="1" min="25" max="25" width="16.25"/>
    <col customWidth="1" min="26" max="26" width="18.0"/>
    <col customWidth="1" min="27" max="27" width="19.0"/>
    <col customWidth="1" min="28" max="44" width="12.63"/>
  </cols>
  <sheetData>
    <row r="1">
      <c r="A1" s="1" t="s">
        <v>465</v>
      </c>
      <c r="B1" s="2" t="s">
        <v>466</v>
      </c>
      <c r="C1" s="2" t="s">
        <v>467</v>
      </c>
      <c r="D1" s="2" t="s">
        <v>468</v>
      </c>
      <c r="E1" s="2" t="s">
        <v>469</v>
      </c>
      <c r="F1" s="2" t="s">
        <v>470</v>
      </c>
      <c r="G1" s="1" t="s">
        <v>130</v>
      </c>
      <c r="H1" s="1" t="s">
        <v>471</v>
      </c>
      <c r="I1" s="1" t="s">
        <v>472</v>
      </c>
      <c r="J1" s="1" t="s">
        <v>473</v>
      </c>
      <c r="K1" s="42" t="s">
        <v>479</v>
      </c>
      <c r="L1" s="1" t="s">
        <v>482</v>
      </c>
      <c r="M1" s="1" t="s">
        <v>497</v>
      </c>
      <c r="N1" s="1" t="s">
        <v>498</v>
      </c>
      <c r="O1" s="1" t="s">
        <v>483</v>
      </c>
      <c r="P1" s="1" t="s">
        <v>484</v>
      </c>
      <c r="Q1" s="1" t="s">
        <v>485</v>
      </c>
      <c r="R1" s="1" t="s">
        <v>486</v>
      </c>
      <c r="S1" s="1" t="s">
        <v>487</v>
      </c>
      <c r="T1" s="1" t="s">
        <v>488</v>
      </c>
      <c r="U1" s="1" t="s">
        <v>489</v>
      </c>
      <c r="V1" s="1" t="s">
        <v>490</v>
      </c>
      <c r="W1" s="1" t="s">
        <v>491</v>
      </c>
      <c r="X1" s="1" t="s">
        <v>492</v>
      </c>
      <c r="Y1" s="1" t="s">
        <v>493</v>
      </c>
      <c r="Z1" s="1" t="s">
        <v>494</v>
      </c>
      <c r="AA1" s="1" t="s">
        <v>495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>
      <c r="A2" s="1" t="s">
        <v>499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13">
        <f>IF($A2="", -1, $E2)</f>
        <v>0</v>
      </c>
      <c r="M2" s="13">
        <f>IF($A2="", -1, $E2-1)</f>
        <v>-1</v>
      </c>
      <c r="N2" s="13">
        <f>IF($A2="", -1, $E2+1)</f>
        <v>1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>
        <f>COUNTIFS(LevelEpisode!$N:$N, $L2, LevelEpisode!$O:$O, $O2)</f>
        <v>1</v>
      </c>
      <c r="T2" s="41">
        <v>0.0</v>
      </c>
      <c r="U2" s="13" t="str">
        <f>JOIN(", ", 1, 1, 1)</f>
        <v>1, 1, 1</v>
      </c>
      <c r="V2" s="13">
        <f>README!$F$2</f>
        <v>-1</v>
      </c>
      <c r="W2" s="13" t="str">
        <f>JOIN(", ", README!$B$14, 0)</f>
        <v>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 t="str">
        <f>JOIN(", ", README!$L$3, README!$B$27, -1, README!$B$10, 0)</f>
        <v>0, -1, -1, 0, 0</v>
      </c>
      <c r="AA2" s="13" t="str">
        <f>JOIN(", ", README!$L$15, README!$B$27, -1, README!$B$10, 0)</f>
        <v>200000000, -1, -1, 0, 0</v>
      </c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13"/>
      <c r="M13" s="13"/>
      <c r="N13" s="13"/>
      <c r="O13" s="13"/>
      <c r="P13" s="13"/>
      <c r="Q13" s="13"/>
      <c r="R13" s="13"/>
      <c r="S13" s="1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13"/>
      <c r="M25" s="13"/>
      <c r="N25" s="13"/>
      <c r="O25" s="13"/>
      <c r="P25" s="13"/>
      <c r="Q25" s="13"/>
      <c r="R25" s="13"/>
      <c r="S25" s="1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13"/>
      <c r="M37" s="13"/>
      <c r="N37" s="13"/>
      <c r="O37" s="13"/>
      <c r="P37" s="13"/>
      <c r="Q37" s="13"/>
      <c r="R37" s="13"/>
      <c r="S37" s="1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13"/>
      <c r="M38" s="13"/>
      <c r="N38" s="13"/>
      <c r="O38" s="13"/>
      <c r="P38" s="13"/>
      <c r="Q38" s="13"/>
      <c r="R38" s="13"/>
      <c r="S38" s="1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13"/>
      <c r="M39" s="13"/>
      <c r="N39" s="13"/>
      <c r="O39" s="13"/>
      <c r="P39" s="13"/>
      <c r="Q39" s="13"/>
      <c r="R39" s="13"/>
      <c r="S39" s="1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13"/>
      <c r="M40" s="13"/>
      <c r="N40" s="13"/>
      <c r="O40" s="13"/>
      <c r="P40" s="13"/>
      <c r="Q40" s="13"/>
      <c r="R40" s="13"/>
      <c r="S40" s="1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13"/>
      <c r="M41" s="13"/>
      <c r="N41" s="13"/>
      <c r="O41" s="13"/>
      <c r="P41" s="13"/>
      <c r="Q41" s="13"/>
      <c r="R41" s="13"/>
      <c r="S41" s="1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13"/>
      <c r="M42" s="13"/>
      <c r="N42" s="13"/>
      <c r="O42" s="13"/>
      <c r="P42" s="13"/>
      <c r="Q42" s="13"/>
      <c r="R42" s="13"/>
      <c r="S42" s="1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13"/>
      <c r="M43" s="13"/>
      <c r="N43" s="13"/>
      <c r="O43" s="13"/>
      <c r="P43" s="13"/>
      <c r="Q43" s="13"/>
      <c r="R43" s="13"/>
      <c r="S43" s="1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13"/>
      <c r="M44" s="13"/>
      <c r="N44" s="13"/>
      <c r="O44" s="13"/>
      <c r="P44" s="13"/>
      <c r="Q44" s="13"/>
      <c r="R44" s="13"/>
      <c r="S44" s="1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13"/>
      <c r="M45" s="13"/>
      <c r="N45" s="13"/>
      <c r="O45" s="13"/>
      <c r="P45" s="13"/>
      <c r="Q45" s="13"/>
      <c r="R45" s="13"/>
      <c r="S45" s="1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13"/>
      <c r="M46" s="13"/>
      <c r="N46" s="13"/>
      <c r="O46" s="13"/>
      <c r="P46" s="13"/>
      <c r="Q46" s="13"/>
      <c r="R46" s="13"/>
      <c r="S46" s="1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13"/>
      <c r="M47" s="13"/>
      <c r="N47" s="13"/>
      <c r="O47" s="13"/>
      <c r="P47" s="13"/>
      <c r="Q47" s="13"/>
      <c r="R47" s="13"/>
      <c r="S47" s="1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13"/>
      <c r="M48" s="13"/>
      <c r="N48" s="13"/>
      <c r="O48" s="13"/>
      <c r="P48" s="13"/>
      <c r="Q48" s="13"/>
      <c r="R48" s="13"/>
      <c r="S48" s="1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13"/>
      <c r="M49" s="13"/>
      <c r="N49" s="13"/>
      <c r="O49" s="13"/>
      <c r="P49" s="13"/>
      <c r="Q49" s="13"/>
      <c r="R49" s="13"/>
      <c r="S49" s="1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13"/>
      <c r="M50" s="13"/>
      <c r="N50" s="13"/>
      <c r="O50" s="13"/>
      <c r="P50" s="13"/>
      <c r="Q50" s="13"/>
      <c r="R50" s="13"/>
      <c r="S50" s="1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13"/>
      <c r="M51" s="13"/>
      <c r="N51" s="13"/>
      <c r="O51" s="13"/>
      <c r="P51" s="13"/>
      <c r="Q51" s="13"/>
      <c r="R51" s="13"/>
      <c r="S51" s="1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13"/>
      <c r="M52" s="13"/>
      <c r="N52" s="13"/>
      <c r="O52" s="13"/>
      <c r="P52" s="13"/>
      <c r="Q52" s="13"/>
      <c r="R52" s="13"/>
      <c r="S52" s="1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13"/>
      <c r="M53" s="13"/>
      <c r="N53" s="13"/>
      <c r="O53" s="13"/>
      <c r="P53" s="13"/>
      <c r="Q53" s="13"/>
      <c r="R53" s="13"/>
      <c r="S53" s="1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13"/>
      <c r="M54" s="13"/>
      <c r="N54" s="13"/>
      <c r="O54" s="13"/>
      <c r="P54" s="13"/>
      <c r="Q54" s="13"/>
      <c r="R54" s="13"/>
      <c r="S54" s="1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13"/>
      <c r="M55" s="13"/>
      <c r="N55" s="13"/>
      <c r="O55" s="13"/>
      <c r="P55" s="13"/>
      <c r="Q55" s="13"/>
      <c r="R55" s="13"/>
      <c r="S55" s="1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13"/>
      <c r="M56" s="13"/>
      <c r="N56" s="13"/>
      <c r="O56" s="13"/>
      <c r="P56" s="13"/>
      <c r="Q56" s="13"/>
      <c r="R56" s="13"/>
      <c r="S56" s="1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13"/>
      <c r="M57" s="13"/>
      <c r="N57" s="13"/>
      <c r="O57" s="13"/>
      <c r="P57" s="13"/>
      <c r="Q57" s="13"/>
      <c r="R57" s="13"/>
      <c r="S57" s="1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13"/>
      <c r="M58" s="13"/>
      <c r="N58" s="13"/>
      <c r="O58" s="13"/>
      <c r="P58" s="13"/>
      <c r="Q58" s="13"/>
      <c r="R58" s="13"/>
      <c r="S58" s="1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13"/>
      <c r="M59" s="13"/>
      <c r="N59" s="13"/>
      <c r="O59" s="13"/>
      <c r="P59" s="13"/>
      <c r="Q59" s="13"/>
      <c r="R59" s="13"/>
      <c r="S59" s="1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13"/>
      <c r="M60" s="13"/>
      <c r="N60" s="13"/>
      <c r="O60" s="13"/>
      <c r="P60" s="13"/>
      <c r="Q60" s="13"/>
      <c r="R60" s="13"/>
      <c r="S60" s="1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13"/>
      <c r="M61" s="13"/>
      <c r="N61" s="13"/>
      <c r="O61" s="13"/>
      <c r="P61" s="13"/>
      <c r="Q61" s="13"/>
      <c r="R61" s="13"/>
      <c r="S61" s="1"/>
      <c r="T61" s="1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13"/>
      <c r="M62" s="13"/>
      <c r="N62" s="13"/>
      <c r="O62" s="13"/>
      <c r="P62" s="13"/>
      <c r="Q62" s="13"/>
      <c r="R62" s="13"/>
      <c r="S62" s="1"/>
      <c r="T62" s="1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13"/>
      <c r="M63" s="13"/>
      <c r="N63" s="13"/>
      <c r="O63" s="13"/>
      <c r="P63" s="13"/>
      <c r="Q63" s="13"/>
      <c r="R63" s="13"/>
      <c r="S63" s="1"/>
      <c r="T63" s="1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13"/>
      <c r="M64" s="13"/>
      <c r="N64" s="13"/>
      <c r="O64" s="13"/>
      <c r="P64" s="13"/>
      <c r="Q64" s="13"/>
      <c r="R64" s="13"/>
      <c r="S64" s="1"/>
      <c r="T64" s="1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13"/>
      <c r="M65" s="13"/>
      <c r="N65" s="13"/>
      <c r="O65" s="13"/>
      <c r="P65" s="13"/>
      <c r="Q65" s="13"/>
      <c r="R65" s="13"/>
      <c r="S65" s="1"/>
      <c r="T65" s="1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13"/>
      <c r="M66" s="13"/>
      <c r="N66" s="13"/>
      <c r="O66" s="13"/>
      <c r="P66" s="13"/>
      <c r="Q66" s="13"/>
      <c r="R66" s="13"/>
      <c r="S66" s="1"/>
      <c r="T66" s="1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13"/>
      <c r="M67" s="13"/>
      <c r="N67" s="13"/>
      <c r="O67" s="13"/>
      <c r="P67" s="13"/>
      <c r="Q67" s="13"/>
      <c r="R67" s="13"/>
      <c r="S67" s="1"/>
      <c r="T67" s="1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13"/>
      <c r="M68" s="13"/>
      <c r="N68" s="13"/>
      <c r="O68" s="13"/>
      <c r="P68" s="13"/>
      <c r="Q68" s="13"/>
      <c r="R68" s="13"/>
      <c r="S68" s="1"/>
      <c r="T68" s="1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13"/>
      <c r="M69" s="13"/>
      <c r="N69" s="13"/>
      <c r="O69" s="13"/>
      <c r="P69" s="13"/>
      <c r="Q69" s="13"/>
      <c r="R69" s="13"/>
      <c r="S69" s="1"/>
      <c r="T69" s="1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13"/>
      <c r="M70" s="13"/>
      <c r="N70" s="13"/>
      <c r="O70" s="13"/>
      <c r="P70" s="13"/>
      <c r="Q70" s="13"/>
      <c r="R70" s="13"/>
      <c r="S70" s="1"/>
      <c r="T70" s="1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13"/>
      <c r="M71" s="13"/>
      <c r="N71" s="13"/>
      <c r="O71" s="13"/>
      <c r="P71" s="13"/>
      <c r="Q71" s="13"/>
      <c r="R71" s="13"/>
      <c r="S71" s="1"/>
      <c r="T71" s="1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13"/>
      <c r="M72" s="13"/>
      <c r="N72" s="13"/>
      <c r="O72" s="13"/>
      <c r="P72" s="13"/>
      <c r="Q72" s="13"/>
      <c r="R72" s="13"/>
      <c r="S72" s="1"/>
      <c r="T72" s="1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13"/>
      <c r="M73" s="13"/>
      <c r="N73" s="13"/>
      <c r="O73" s="13"/>
      <c r="P73" s="13"/>
      <c r="Q73" s="13"/>
      <c r="R73" s="13"/>
      <c r="S73" s="1"/>
      <c r="T73" s="1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13"/>
      <c r="M74" s="13"/>
      <c r="N74" s="13"/>
      <c r="O74" s="13"/>
      <c r="P74" s="13"/>
      <c r="Q74" s="13"/>
      <c r="R74" s="13"/>
      <c r="S74" s="1"/>
      <c r="T74" s="1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13"/>
      <c r="M75" s="13"/>
      <c r="N75" s="13"/>
      <c r="O75" s="13"/>
      <c r="P75" s="13"/>
      <c r="Q75" s="13"/>
      <c r="R75" s="13"/>
      <c r="S75" s="1"/>
      <c r="T75" s="1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13"/>
      <c r="M76" s="13"/>
      <c r="N76" s="13"/>
      <c r="O76" s="13"/>
      <c r="P76" s="13"/>
      <c r="Q76" s="13"/>
      <c r="R76" s="13"/>
      <c r="S76" s="1"/>
      <c r="T76" s="1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13"/>
      <c r="M77" s="13"/>
      <c r="N77" s="13"/>
      <c r="O77" s="13"/>
      <c r="P77" s="13"/>
      <c r="Q77" s="13"/>
      <c r="R77" s="13"/>
      <c r="S77" s="1"/>
      <c r="T77" s="1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13"/>
      <c r="M78" s="13"/>
      <c r="N78" s="13"/>
      <c r="O78" s="13"/>
      <c r="P78" s="13"/>
      <c r="Q78" s="13"/>
      <c r="R78" s="13"/>
      <c r="S78" s="1"/>
      <c r="T78" s="1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13"/>
      <c r="M79" s="13"/>
      <c r="N79" s="13"/>
      <c r="O79" s="13"/>
      <c r="P79" s="13"/>
      <c r="Q79" s="13"/>
      <c r="R79" s="13"/>
      <c r="S79" s="1"/>
      <c r="T79" s="1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13"/>
      <c r="M80" s="13"/>
      <c r="N80" s="13"/>
      <c r="O80" s="13"/>
      <c r="P80" s="13"/>
      <c r="Q80" s="13"/>
      <c r="R80" s="13"/>
      <c r="S80" s="1"/>
      <c r="T80" s="1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13"/>
      <c r="M81" s="13"/>
      <c r="N81" s="13"/>
      <c r="O81" s="13"/>
      <c r="P81" s="13"/>
      <c r="Q81" s="13"/>
      <c r="R81" s="13"/>
      <c r="S81" s="1"/>
      <c r="T81" s="1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13"/>
      <c r="M82" s="13"/>
      <c r="N82" s="13"/>
      <c r="O82" s="13"/>
      <c r="P82" s="13"/>
      <c r="Q82" s="13"/>
      <c r="R82" s="13"/>
      <c r="S82" s="1"/>
      <c r="T82" s="1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13"/>
      <c r="M83" s="13"/>
      <c r="N83" s="13"/>
      <c r="O83" s="13"/>
      <c r="P83" s="13"/>
      <c r="Q83" s="13"/>
      <c r="R83" s="13"/>
      <c r="S83" s="1"/>
      <c r="T83" s="1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13"/>
      <c r="M84" s="13"/>
      <c r="N84" s="13"/>
      <c r="O84" s="13"/>
      <c r="P84" s="13"/>
      <c r="Q84" s="13"/>
      <c r="R84" s="13"/>
      <c r="S84" s="1"/>
      <c r="T84" s="1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13"/>
      <c r="M85" s="13"/>
      <c r="N85" s="13"/>
      <c r="O85" s="13"/>
      <c r="P85" s="13"/>
      <c r="Q85" s="13"/>
      <c r="R85" s="13"/>
      <c r="S85" s="1"/>
      <c r="T85" s="1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13"/>
      <c r="M86" s="13"/>
      <c r="N86" s="13"/>
      <c r="O86" s="13"/>
      <c r="P86" s="13"/>
      <c r="Q86" s="13"/>
      <c r="R86" s="13"/>
      <c r="S86" s="1"/>
      <c r="T86" s="1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13"/>
      <c r="M87" s="13"/>
      <c r="N87" s="13"/>
      <c r="O87" s="13"/>
      <c r="P87" s="13"/>
      <c r="Q87" s="13"/>
      <c r="R87" s="13"/>
      <c r="S87" s="1"/>
      <c r="T87" s="1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13"/>
      <c r="M88" s="13"/>
      <c r="N88" s="13"/>
      <c r="O88" s="13"/>
      <c r="P88" s="13"/>
      <c r="Q88" s="13"/>
      <c r="R88" s="13"/>
      <c r="S88" s="1"/>
      <c r="T88" s="1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13"/>
      <c r="M89" s="13"/>
      <c r="N89" s="13"/>
      <c r="O89" s="13"/>
      <c r="P89" s="13"/>
      <c r="Q89" s="13"/>
      <c r="R89" s="13"/>
      <c r="S89" s="1"/>
      <c r="T89" s="1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13"/>
      <c r="M90" s="13"/>
      <c r="N90" s="13"/>
      <c r="O90" s="13"/>
      <c r="P90" s="13"/>
      <c r="Q90" s="13"/>
      <c r="R90" s="13"/>
      <c r="S90" s="1"/>
      <c r="T90" s="1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13"/>
      <c r="M91" s="13"/>
      <c r="N91" s="13"/>
      <c r="O91" s="13"/>
      <c r="P91" s="13"/>
      <c r="Q91" s="13"/>
      <c r="R91" s="13"/>
      <c r="S91" s="1"/>
      <c r="T91" s="1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13"/>
      <c r="M92" s="13"/>
      <c r="N92" s="13"/>
      <c r="O92" s="13"/>
      <c r="P92" s="13"/>
      <c r="Q92" s="13"/>
      <c r="R92" s="13"/>
      <c r="S92" s="1"/>
      <c r="T92" s="1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13"/>
      <c r="M93" s="13"/>
      <c r="N93" s="13"/>
      <c r="O93" s="13"/>
      <c r="P93" s="13"/>
      <c r="Q93" s="13"/>
      <c r="R93" s="13"/>
      <c r="S93" s="1"/>
      <c r="T93" s="1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13"/>
      <c r="M94" s="13"/>
      <c r="N94" s="13"/>
      <c r="O94" s="13"/>
      <c r="P94" s="13"/>
      <c r="Q94" s="13"/>
      <c r="R94" s="13"/>
      <c r="S94" s="1"/>
      <c r="T94" s="1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13"/>
      <c r="M95" s="13"/>
      <c r="N95" s="13"/>
      <c r="O95" s="13"/>
      <c r="P95" s="13"/>
      <c r="Q95" s="13"/>
      <c r="R95" s="13"/>
      <c r="S95" s="1"/>
      <c r="T95" s="1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13"/>
      <c r="M96" s="13"/>
      <c r="N96" s="13"/>
      <c r="O96" s="13"/>
      <c r="P96" s="13"/>
      <c r="Q96" s="13"/>
      <c r="R96" s="13"/>
      <c r="S96" s="1"/>
      <c r="T96" s="1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13"/>
      <c r="M97" s="13"/>
      <c r="N97" s="13"/>
      <c r="O97" s="13"/>
      <c r="P97" s="13"/>
      <c r="Q97" s="13"/>
      <c r="R97" s="13"/>
      <c r="S97" s="1"/>
      <c r="T97" s="1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13"/>
      <c r="M98" s="13"/>
      <c r="N98" s="13"/>
      <c r="O98" s="13"/>
      <c r="P98" s="13"/>
      <c r="Q98" s="13"/>
      <c r="R98" s="13"/>
      <c r="S98" s="1"/>
      <c r="T98" s="1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13"/>
      <c r="M99" s="13"/>
      <c r="N99" s="13"/>
      <c r="O99" s="13"/>
      <c r="P99" s="13"/>
      <c r="Q99" s="13"/>
      <c r="R99" s="13"/>
      <c r="S99" s="1"/>
      <c r="T99" s="1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13"/>
      <c r="M100" s="13"/>
      <c r="N100" s="13"/>
      <c r="O100" s="13"/>
      <c r="P100" s="13"/>
      <c r="Q100" s="13"/>
      <c r="R100" s="13"/>
      <c r="S100" s="1"/>
      <c r="T100" s="1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13"/>
      <c r="M101" s="13"/>
      <c r="N101" s="13"/>
      <c r="O101" s="13"/>
      <c r="P101" s="13"/>
      <c r="Q101" s="13"/>
      <c r="R101" s="13"/>
      <c r="S101" s="1"/>
      <c r="T101" s="1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13"/>
      <c r="M102" s="13"/>
      <c r="N102" s="13"/>
      <c r="O102" s="13"/>
      <c r="P102" s="13"/>
      <c r="Q102" s="13"/>
      <c r="R102" s="13"/>
      <c r="S102" s="1"/>
      <c r="T102" s="1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13"/>
      <c r="M103" s="13"/>
      <c r="N103" s="13"/>
      <c r="O103" s="13"/>
      <c r="P103" s="13"/>
      <c r="Q103" s="13"/>
      <c r="R103" s="13"/>
      <c r="S103" s="1"/>
      <c r="T103" s="1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13"/>
      <c r="M104" s="13"/>
      <c r="N104" s="13"/>
      <c r="O104" s="13"/>
      <c r="P104" s="13"/>
      <c r="Q104" s="13"/>
      <c r="R104" s="13"/>
      <c r="S104" s="1"/>
      <c r="T104" s="1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13"/>
      <c r="M105" s="13"/>
      <c r="N105" s="13"/>
      <c r="O105" s="13"/>
      <c r="P105" s="13"/>
      <c r="Q105" s="13"/>
      <c r="R105" s="13"/>
      <c r="S105" s="1"/>
      <c r="T105" s="1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13"/>
      <c r="M106" s="13"/>
      <c r="N106" s="13"/>
      <c r="O106" s="13"/>
      <c r="P106" s="13"/>
      <c r="Q106" s="13"/>
      <c r="R106" s="13"/>
      <c r="S106" s="1"/>
      <c r="T106" s="1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13"/>
      <c r="M107" s="13"/>
      <c r="N107" s="13"/>
      <c r="O107" s="13"/>
      <c r="P107" s="13"/>
      <c r="Q107" s="13"/>
      <c r="R107" s="13"/>
      <c r="S107" s="1"/>
      <c r="T107" s="1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13"/>
      <c r="M108" s="13"/>
      <c r="N108" s="13"/>
      <c r="O108" s="13"/>
      <c r="P108" s="13"/>
      <c r="Q108" s="13"/>
      <c r="R108" s="13"/>
      <c r="S108" s="1"/>
      <c r="T108" s="1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13"/>
      <c r="M109" s="13"/>
      <c r="N109" s="13"/>
      <c r="O109" s="13"/>
      <c r="P109" s="13"/>
      <c r="Q109" s="13"/>
      <c r="R109" s="13"/>
      <c r="S109" s="1"/>
      <c r="T109" s="1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13"/>
      <c r="M110" s="13"/>
      <c r="N110" s="13"/>
      <c r="O110" s="13"/>
      <c r="P110" s="13"/>
      <c r="Q110" s="13"/>
      <c r="R110" s="13"/>
      <c r="S110" s="1"/>
      <c r="T110" s="1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13"/>
      <c r="M111" s="13"/>
      <c r="N111" s="13"/>
      <c r="O111" s="13"/>
      <c r="P111" s="13"/>
      <c r="Q111" s="13"/>
      <c r="R111" s="13"/>
      <c r="S111" s="1"/>
      <c r="T111" s="1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13"/>
      <c r="M112" s="13"/>
      <c r="N112" s="13"/>
      <c r="O112" s="13"/>
      <c r="P112" s="13"/>
      <c r="Q112" s="13"/>
      <c r="R112" s="13"/>
      <c r="S112" s="1"/>
      <c r="T112" s="1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13"/>
      <c r="M113" s="13"/>
      <c r="N113" s="13"/>
      <c r="O113" s="13"/>
      <c r="P113" s="13"/>
      <c r="Q113" s="13"/>
      <c r="R113" s="13"/>
      <c r="S113" s="1"/>
      <c r="T113" s="1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13"/>
      <c r="M114" s="13"/>
      <c r="N114" s="13"/>
      <c r="O114" s="13"/>
      <c r="P114" s="13"/>
      <c r="Q114" s="13"/>
      <c r="R114" s="13"/>
      <c r="S114" s="1"/>
      <c r="T114" s="1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13"/>
      <c r="M115" s="13"/>
      <c r="N115" s="13"/>
      <c r="O115" s="13"/>
      <c r="P115" s="13"/>
      <c r="Q115" s="13"/>
      <c r="R115" s="13"/>
      <c r="S115" s="1"/>
      <c r="T115" s="1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13"/>
      <c r="M116" s="13"/>
      <c r="N116" s="13"/>
      <c r="O116" s="13"/>
      <c r="P116" s="13"/>
      <c r="Q116" s="13"/>
      <c r="R116" s="13"/>
      <c r="S116" s="1"/>
      <c r="T116" s="1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13"/>
      <c r="M117" s="13"/>
      <c r="N117" s="13"/>
      <c r="O117" s="13"/>
      <c r="P117" s="13"/>
      <c r="Q117" s="13"/>
      <c r="R117" s="13"/>
      <c r="S117" s="1"/>
      <c r="T117" s="1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13"/>
      <c r="M118" s="13"/>
      <c r="N118" s="13"/>
      <c r="O118" s="13"/>
      <c r="P118" s="13"/>
      <c r="Q118" s="13"/>
      <c r="R118" s="13"/>
      <c r="S118" s="1"/>
      <c r="T118" s="1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13"/>
      <c r="M119" s="13"/>
      <c r="N119" s="13"/>
      <c r="O119" s="13"/>
      <c r="P119" s="13"/>
      <c r="Q119" s="13"/>
      <c r="R119" s="13"/>
      <c r="S119" s="1"/>
      <c r="T119" s="1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13"/>
      <c r="M120" s="13"/>
      <c r="N120" s="13"/>
      <c r="O120" s="13"/>
      <c r="P120" s="13"/>
      <c r="Q120" s="13"/>
      <c r="R120" s="13"/>
      <c r="S120" s="1"/>
      <c r="T120" s="1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13"/>
      <c r="M121" s="13"/>
      <c r="N121" s="13"/>
      <c r="O121" s="13"/>
      <c r="P121" s="13"/>
      <c r="Q121" s="13"/>
      <c r="R121" s="13"/>
      <c r="S121" s="1"/>
      <c r="T121" s="1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13"/>
      <c r="M122" s="13"/>
      <c r="N122" s="13"/>
      <c r="O122" s="13"/>
      <c r="P122" s="13"/>
      <c r="Q122" s="13"/>
      <c r="R122" s="13"/>
      <c r="S122" s="1"/>
      <c r="T122" s="1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13"/>
      <c r="M123" s="13"/>
      <c r="N123" s="13"/>
      <c r="O123" s="13"/>
      <c r="P123" s="13"/>
      <c r="Q123" s="13"/>
      <c r="R123" s="13"/>
      <c r="S123" s="1"/>
      <c r="T123" s="1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13"/>
      <c r="M124" s="13"/>
      <c r="N124" s="13"/>
      <c r="O124" s="13"/>
      <c r="P124" s="13"/>
      <c r="Q124" s="13"/>
      <c r="R124" s="13"/>
      <c r="S124" s="1"/>
      <c r="T124" s="1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13"/>
      <c r="M125" s="13"/>
      <c r="N125" s="13"/>
      <c r="O125" s="13"/>
      <c r="P125" s="13"/>
      <c r="Q125" s="13"/>
      <c r="R125" s="13"/>
      <c r="S125" s="1"/>
      <c r="T125" s="1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13"/>
      <c r="M126" s="13"/>
      <c r="N126" s="13"/>
      <c r="O126" s="13"/>
      <c r="P126" s="13"/>
      <c r="Q126" s="13"/>
      <c r="R126" s="13"/>
      <c r="S126" s="1"/>
      <c r="T126" s="1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13"/>
      <c r="M127" s="13"/>
      <c r="N127" s="13"/>
      <c r="O127" s="13"/>
      <c r="P127" s="13"/>
      <c r="Q127" s="13"/>
      <c r="R127" s="13"/>
      <c r="S127" s="1"/>
      <c r="T127" s="1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13"/>
      <c r="M128" s="13"/>
      <c r="N128" s="13"/>
      <c r="O128" s="13"/>
      <c r="P128" s="13"/>
      <c r="Q128" s="13"/>
      <c r="R128" s="13"/>
      <c r="S128" s="1"/>
      <c r="T128" s="1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13"/>
      <c r="M129" s="13"/>
      <c r="N129" s="13"/>
      <c r="O129" s="13"/>
      <c r="P129" s="13"/>
      <c r="Q129" s="13"/>
      <c r="R129" s="13"/>
      <c r="S129" s="1"/>
      <c r="T129" s="1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13"/>
      <c r="M130" s="13"/>
      <c r="N130" s="13"/>
      <c r="O130" s="13"/>
      <c r="P130" s="13"/>
      <c r="Q130" s="13"/>
      <c r="R130" s="13"/>
      <c r="S130" s="1"/>
      <c r="T130" s="1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13"/>
      <c r="M131" s="13"/>
      <c r="N131" s="13"/>
      <c r="O131" s="13"/>
      <c r="P131" s="13"/>
      <c r="Q131" s="13"/>
      <c r="R131" s="13"/>
      <c r="S131" s="1"/>
      <c r="T131" s="1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13"/>
      <c r="M132" s="13"/>
      <c r="N132" s="13"/>
      <c r="O132" s="13"/>
      <c r="P132" s="13"/>
      <c r="Q132" s="13"/>
      <c r="R132" s="13"/>
      <c r="S132" s="1"/>
      <c r="T132" s="1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13"/>
      <c r="M133" s="13"/>
      <c r="N133" s="13"/>
      <c r="O133" s="13"/>
      <c r="P133" s="13"/>
      <c r="Q133" s="13"/>
      <c r="R133" s="13"/>
      <c r="S133" s="1"/>
      <c r="T133" s="1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13"/>
      <c r="M134" s="13"/>
      <c r="N134" s="13"/>
      <c r="O134" s="13"/>
      <c r="P134" s="13"/>
      <c r="Q134" s="13"/>
      <c r="R134" s="13"/>
      <c r="S134" s="1"/>
      <c r="T134" s="1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13"/>
      <c r="M135" s="13"/>
      <c r="N135" s="13"/>
      <c r="O135" s="13"/>
      <c r="P135" s="13"/>
      <c r="Q135" s="13"/>
      <c r="R135" s="13"/>
      <c r="S135" s="1"/>
      <c r="T135" s="1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13"/>
      <c r="M136" s="13"/>
      <c r="N136" s="13"/>
      <c r="O136" s="13"/>
      <c r="P136" s="13"/>
      <c r="Q136" s="13"/>
      <c r="R136" s="13"/>
      <c r="S136" s="1"/>
      <c r="T136" s="1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13"/>
      <c r="M137" s="13"/>
      <c r="N137" s="13"/>
      <c r="O137" s="13"/>
      <c r="P137" s="13"/>
      <c r="Q137" s="13"/>
      <c r="R137" s="13"/>
      <c r="S137" s="1"/>
      <c r="T137" s="1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13"/>
      <c r="M138" s="13"/>
      <c r="N138" s="13"/>
      <c r="O138" s="13"/>
      <c r="P138" s="13"/>
      <c r="Q138" s="13"/>
      <c r="R138" s="13"/>
      <c r="S138" s="1"/>
      <c r="T138" s="1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13"/>
      <c r="M139" s="13"/>
      <c r="N139" s="13"/>
      <c r="O139" s="13"/>
      <c r="P139" s="13"/>
      <c r="Q139" s="13"/>
      <c r="R139" s="13"/>
      <c r="S139" s="1"/>
      <c r="T139" s="1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13"/>
      <c r="M140" s="13"/>
      <c r="N140" s="13"/>
      <c r="O140" s="13"/>
      <c r="P140" s="13"/>
      <c r="Q140" s="13"/>
      <c r="R140" s="13"/>
      <c r="S140" s="1"/>
      <c r="T140" s="1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13"/>
      <c r="M141" s="13"/>
      <c r="N141" s="13"/>
      <c r="O141" s="13"/>
      <c r="P141" s="13"/>
      <c r="Q141" s="13"/>
      <c r="R141" s="13"/>
      <c r="S141" s="1"/>
      <c r="T141" s="1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13"/>
      <c r="M142" s="13"/>
      <c r="N142" s="13"/>
      <c r="O142" s="13"/>
      <c r="P142" s="13"/>
      <c r="Q142" s="13"/>
      <c r="R142" s="13"/>
      <c r="S142" s="1"/>
      <c r="T142" s="1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13"/>
      <c r="M143" s="13"/>
      <c r="N143" s="13"/>
      <c r="O143" s="13"/>
      <c r="P143" s="13"/>
      <c r="Q143" s="13"/>
      <c r="R143" s="13"/>
      <c r="S143" s="1"/>
      <c r="T143" s="1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13"/>
      <c r="M144" s="13"/>
      <c r="N144" s="13"/>
      <c r="O144" s="13"/>
      <c r="P144" s="13"/>
      <c r="Q144" s="13"/>
      <c r="R144" s="13"/>
      <c r="S144" s="1"/>
      <c r="T144" s="1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13"/>
      <c r="M145" s="13"/>
      <c r="N145" s="13"/>
      <c r="O145" s="13"/>
      <c r="P145" s="13"/>
      <c r="Q145" s="13"/>
      <c r="R145" s="13"/>
      <c r="S145" s="1"/>
      <c r="T145" s="1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13"/>
      <c r="M146" s="13"/>
      <c r="N146" s="13"/>
      <c r="O146" s="13"/>
      <c r="P146" s="13"/>
      <c r="Q146" s="13"/>
      <c r="R146" s="13"/>
      <c r="S146" s="1"/>
      <c r="T146" s="1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13"/>
      <c r="M147" s="13"/>
      <c r="N147" s="13"/>
      <c r="O147" s="13"/>
      <c r="P147" s="13"/>
      <c r="Q147" s="13"/>
      <c r="R147" s="13"/>
      <c r="S147" s="1"/>
      <c r="T147" s="1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13"/>
      <c r="M148" s="13"/>
      <c r="N148" s="13"/>
      <c r="O148" s="13"/>
      <c r="P148" s="13"/>
      <c r="Q148" s="13"/>
      <c r="R148" s="13"/>
      <c r="S148" s="1"/>
      <c r="T148" s="1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13"/>
      <c r="M149" s="13"/>
      <c r="N149" s="13"/>
      <c r="O149" s="13"/>
      <c r="P149" s="13"/>
      <c r="Q149" s="13"/>
      <c r="R149" s="13"/>
      <c r="S149" s="1"/>
      <c r="T149" s="1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13"/>
      <c r="M150" s="13"/>
      <c r="N150" s="13"/>
      <c r="O150" s="13"/>
      <c r="P150" s="13"/>
      <c r="Q150" s="13"/>
      <c r="R150" s="13"/>
      <c r="S150" s="1"/>
      <c r="T150" s="1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13"/>
      <c r="M151" s="13"/>
      <c r="N151" s="13"/>
      <c r="O151" s="13"/>
      <c r="P151" s="13"/>
      <c r="Q151" s="13"/>
      <c r="R151" s="13"/>
      <c r="S151" s="1"/>
      <c r="T151" s="1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13"/>
      <c r="M152" s="13"/>
      <c r="N152" s="13"/>
      <c r="O152" s="13"/>
      <c r="P152" s="13"/>
      <c r="Q152" s="13"/>
      <c r="R152" s="13"/>
      <c r="S152" s="1"/>
      <c r="T152" s="1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13"/>
      <c r="M153" s="13"/>
      <c r="N153" s="13"/>
      <c r="O153" s="13"/>
      <c r="P153" s="13"/>
      <c r="Q153" s="13"/>
      <c r="R153" s="13"/>
      <c r="S153" s="1"/>
      <c r="T153" s="1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13"/>
      <c r="M154" s="13"/>
      <c r="N154" s="13"/>
      <c r="O154" s="13"/>
      <c r="P154" s="13"/>
      <c r="Q154" s="13"/>
      <c r="R154" s="13"/>
      <c r="S154" s="1"/>
      <c r="T154" s="1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13"/>
      <c r="M155" s="13"/>
      <c r="N155" s="13"/>
      <c r="O155" s="13"/>
      <c r="P155" s="13"/>
      <c r="Q155" s="13"/>
      <c r="R155" s="13"/>
      <c r="S155" s="1"/>
      <c r="T155" s="1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13"/>
      <c r="M156" s="13"/>
      <c r="N156" s="13"/>
      <c r="O156" s="13"/>
      <c r="P156" s="13"/>
      <c r="Q156" s="13"/>
      <c r="R156" s="13"/>
      <c r="S156" s="1"/>
      <c r="T156" s="1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13"/>
      <c r="M157" s="13"/>
      <c r="N157" s="13"/>
      <c r="O157" s="13"/>
      <c r="P157" s="13"/>
      <c r="Q157" s="13"/>
      <c r="R157" s="13"/>
      <c r="S157" s="1"/>
      <c r="T157" s="1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13"/>
      <c r="M158" s="13"/>
      <c r="N158" s="13"/>
      <c r="O158" s="13"/>
      <c r="P158" s="13"/>
      <c r="Q158" s="13"/>
      <c r="R158" s="13"/>
      <c r="S158" s="1"/>
      <c r="T158" s="1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13"/>
      <c r="M159" s="13"/>
      <c r="N159" s="13"/>
      <c r="O159" s="13"/>
      <c r="P159" s="13"/>
      <c r="Q159" s="13"/>
      <c r="R159" s="13"/>
      <c r="S159" s="1"/>
      <c r="T159" s="1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13"/>
      <c r="M160" s="13"/>
      <c r="N160" s="13"/>
      <c r="O160" s="13"/>
      <c r="P160" s="13"/>
      <c r="Q160" s="13"/>
      <c r="R160" s="13"/>
      <c r="S160" s="1"/>
      <c r="T160" s="1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13"/>
      <c r="M161" s="13"/>
      <c r="N161" s="13"/>
      <c r="O161" s="13"/>
      <c r="P161" s="13"/>
      <c r="Q161" s="13"/>
      <c r="R161" s="13"/>
      <c r="S161" s="1"/>
      <c r="T161" s="1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13"/>
      <c r="M162" s="13"/>
      <c r="N162" s="13"/>
      <c r="O162" s="13"/>
      <c r="P162" s="13"/>
      <c r="Q162" s="13"/>
      <c r="R162" s="13"/>
      <c r="S162" s="1"/>
      <c r="T162" s="1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13"/>
      <c r="M163" s="13"/>
      <c r="N163" s="13"/>
      <c r="O163" s="13"/>
      <c r="P163" s="13"/>
      <c r="Q163" s="13"/>
      <c r="R163" s="13"/>
      <c r="S163" s="1"/>
      <c r="T163" s="1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13"/>
      <c r="M164" s="13"/>
      <c r="N164" s="13"/>
      <c r="O164" s="13"/>
      <c r="P164" s="13"/>
      <c r="Q164" s="13"/>
      <c r="R164" s="13"/>
      <c r="S164" s="1"/>
      <c r="T164" s="1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13"/>
      <c r="M165" s="13"/>
      <c r="N165" s="13"/>
      <c r="O165" s="13"/>
      <c r="P165" s="13"/>
      <c r="Q165" s="13"/>
      <c r="R165" s="13"/>
      <c r="S165" s="1"/>
      <c r="T165" s="1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13"/>
      <c r="M166" s="13"/>
      <c r="N166" s="13"/>
      <c r="O166" s="13"/>
      <c r="P166" s="13"/>
      <c r="Q166" s="13"/>
      <c r="R166" s="13"/>
      <c r="S166" s="1"/>
      <c r="T166" s="1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13"/>
      <c r="M167" s="13"/>
      <c r="N167" s="13"/>
      <c r="O167" s="13"/>
      <c r="P167" s="13"/>
      <c r="Q167" s="13"/>
      <c r="R167" s="13"/>
      <c r="S167" s="1"/>
      <c r="T167" s="1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13"/>
      <c r="M168" s="13"/>
      <c r="N168" s="13"/>
      <c r="O168" s="13"/>
      <c r="P168" s="13"/>
      <c r="Q168" s="13"/>
      <c r="R168" s="13"/>
      <c r="S168" s="1"/>
      <c r="T168" s="1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13"/>
      <c r="M169" s="13"/>
      <c r="N169" s="13"/>
      <c r="O169" s="13"/>
      <c r="P169" s="13"/>
      <c r="Q169" s="13"/>
      <c r="R169" s="13"/>
      <c r="S169" s="1"/>
      <c r="T169" s="1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13"/>
      <c r="M170" s="13"/>
      <c r="N170" s="13"/>
      <c r="O170" s="13"/>
      <c r="P170" s="13"/>
      <c r="Q170" s="13"/>
      <c r="R170" s="13"/>
      <c r="S170" s="1"/>
      <c r="T170" s="1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13"/>
      <c r="M171" s="13"/>
      <c r="N171" s="13"/>
      <c r="O171" s="13"/>
      <c r="P171" s="13"/>
      <c r="Q171" s="13"/>
      <c r="R171" s="13"/>
      <c r="S171" s="1"/>
      <c r="T171" s="1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13"/>
      <c r="M172" s="13"/>
      <c r="N172" s="13"/>
      <c r="O172" s="13"/>
      <c r="P172" s="13"/>
      <c r="Q172" s="13"/>
      <c r="R172" s="13"/>
      <c r="S172" s="1"/>
      <c r="T172" s="1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13"/>
      <c r="M173" s="13"/>
      <c r="N173" s="13"/>
      <c r="O173" s="13"/>
      <c r="P173" s="13"/>
      <c r="Q173" s="13"/>
      <c r="R173" s="13"/>
      <c r="S173" s="1"/>
      <c r="T173" s="1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13"/>
      <c r="M174" s="13"/>
      <c r="N174" s="13"/>
      <c r="O174" s="13"/>
      <c r="P174" s="13"/>
      <c r="Q174" s="13"/>
      <c r="R174" s="13"/>
      <c r="S174" s="1"/>
      <c r="T174" s="1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13"/>
      <c r="M175" s="13"/>
      <c r="N175" s="13"/>
      <c r="O175" s="13"/>
      <c r="P175" s="13"/>
      <c r="Q175" s="13"/>
      <c r="R175" s="13"/>
      <c r="S175" s="1"/>
      <c r="T175" s="1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13"/>
      <c r="M176" s="13"/>
      <c r="N176" s="13"/>
      <c r="O176" s="13"/>
      <c r="P176" s="13"/>
      <c r="Q176" s="13"/>
      <c r="R176" s="13"/>
      <c r="S176" s="1"/>
      <c r="T176" s="1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13"/>
      <c r="M177" s="13"/>
      <c r="N177" s="13"/>
      <c r="O177" s="13"/>
      <c r="P177" s="13"/>
      <c r="Q177" s="13"/>
      <c r="R177" s="13"/>
      <c r="S177" s="1"/>
      <c r="T177" s="1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13"/>
      <c r="M178" s="13"/>
      <c r="N178" s="13"/>
      <c r="O178" s="13"/>
      <c r="P178" s="13"/>
      <c r="Q178" s="13"/>
      <c r="R178" s="13"/>
      <c r="S178" s="1"/>
      <c r="T178" s="1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13"/>
      <c r="M179" s="13"/>
      <c r="N179" s="13"/>
      <c r="O179" s="13"/>
      <c r="P179" s="13"/>
      <c r="Q179" s="13"/>
      <c r="R179" s="13"/>
      <c r="S179" s="1"/>
      <c r="T179" s="1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13"/>
      <c r="M180" s="13"/>
      <c r="N180" s="13"/>
      <c r="O180" s="13"/>
      <c r="P180" s="13"/>
      <c r="Q180" s="13"/>
      <c r="R180" s="13"/>
      <c r="S180" s="1"/>
      <c r="T180" s="1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13"/>
      <c r="M181" s="13"/>
      <c r="N181" s="13"/>
      <c r="O181" s="13"/>
      <c r="P181" s="13"/>
      <c r="Q181" s="13"/>
      <c r="R181" s="13"/>
      <c r="S181" s="1"/>
      <c r="T181" s="1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13"/>
      <c r="M182" s="13"/>
      <c r="N182" s="13"/>
      <c r="O182" s="13"/>
      <c r="P182" s="13"/>
      <c r="Q182" s="13"/>
      <c r="R182" s="13"/>
      <c r="S182" s="1"/>
      <c r="T182" s="1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13"/>
      <c r="M183" s="13"/>
      <c r="N183" s="13"/>
      <c r="O183" s="13"/>
      <c r="P183" s="13"/>
      <c r="Q183" s="13"/>
      <c r="R183" s="13"/>
      <c r="S183" s="1"/>
      <c r="T183" s="1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13"/>
      <c r="M184" s="13"/>
      <c r="N184" s="13"/>
      <c r="O184" s="13"/>
      <c r="P184" s="13"/>
      <c r="Q184" s="13"/>
      <c r="R184" s="13"/>
      <c r="S184" s="1"/>
      <c r="T184" s="1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13"/>
      <c r="M185" s="13"/>
      <c r="N185" s="13"/>
      <c r="O185" s="13"/>
      <c r="P185" s="13"/>
      <c r="Q185" s="13"/>
      <c r="R185" s="13"/>
      <c r="S185" s="1"/>
      <c r="T185" s="1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13"/>
      <c r="M186" s="13"/>
      <c r="N186" s="13"/>
      <c r="O186" s="13"/>
      <c r="P186" s="13"/>
      <c r="Q186" s="13"/>
      <c r="R186" s="13"/>
      <c r="S186" s="1"/>
      <c r="T186" s="1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13"/>
      <c r="M187" s="13"/>
      <c r="N187" s="13"/>
      <c r="O187" s="13"/>
      <c r="P187" s="13"/>
      <c r="Q187" s="13"/>
      <c r="R187" s="13"/>
      <c r="S187" s="1"/>
      <c r="T187" s="1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13"/>
      <c r="M188" s="13"/>
      <c r="N188" s="13"/>
      <c r="O188" s="13"/>
      <c r="P188" s="13"/>
      <c r="Q188" s="13"/>
      <c r="R188" s="13"/>
      <c r="S188" s="1"/>
      <c r="T188" s="1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13"/>
      <c r="M189" s="13"/>
      <c r="N189" s="13"/>
      <c r="O189" s="13"/>
      <c r="P189" s="13"/>
      <c r="Q189" s="13"/>
      <c r="R189" s="13"/>
      <c r="S189" s="1"/>
      <c r="T189" s="1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13"/>
      <c r="M190" s="13"/>
      <c r="N190" s="13"/>
      <c r="O190" s="13"/>
      <c r="P190" s="13"/>
      <c r="Q190" s="13"/>
      <c r="R190" s="13"/>
      <c r="S190" s="1"/>
      <c r="T190" s="1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13"/>
      <c r="M191" s="13"/>
      <c r="N191" s="13"/>
      <c r="O191" s="13"/>
      <c r="P191" s="13"/>
      <c r="Q191" s="13"/>
      <c r="R191" s="13"/>
      <c r="S191" s="1"/>
      <c r="T191" s="1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13"/>
      <c r="M192" s="13"/>
      <c r="N192" s="13"/>
      <c r="O192" s="13"/>
      <c r="P192" s="13"/>
      <c r="Q192" s="13"/>
      <c r="R192" s="13"/>
      <c r="S192" s="1"/>
      <c r="T192" s="1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13"/>
      <c r="M193" s="13"/>
      <c r="N193" s="13"/>
      <c r="O193" s="13"/>
      <c r="P193" s="13"/>
      <c r="Q193" s="13"/>
      <c r="R193" s="13"/>
      <c r="S193" s="1"/>
      <c r="T193" s="1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13"/>
      <c r="M194" s="13"/>
      <c r="N194" s="13"/>
      <c r="O194" s="13"/>
      <c r="P194" s="13"/>
      <c r="Q194" s="13"/>
      <c r="R194" s="13"/>
      <c r="S194" s="1"/>
      <c r="T194" s="1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13"/>
      <c r="M195" s="13"/>
      <c r="N195" s="13"/>
      <c r="O195" s="13"/>
      <c r="P195" s="13"/>
      <c r="Q195" s="13"/>
      <c r="R195" s="13"/>
      <c r="S195" s="1"/>
      <c r="T195" s="1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13"/>
      <c r="M196" s="13"/>
      <c r="N196" s="13"/>
      <c r="O196" s="13"/>
      <c r="P196" s="13"/>
      <c r="Q196" s="13"/>
      <c r="R196" s="13"/>
      <c r="S196" s="1"/>
      <c r="T196" s="1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13"/>
      <c r="M197" s="13"/>
      <c r="N197" s="13"/>
      <c r="O197" s="13"/>
      <c r="P197" s="13"/>
      <c r="Q197" s="13"/>
      <c r="R197" s="13"/>
      <c r="S197" s="1"/>
      <c r="T197" s="1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13"/>
      <c r="M198" s="13"/>
      <c r="N198" s="13"/>
      <c r="O198" s="13"/>
      <c r="P198" s="13"/>
      <c r="Q198" s="13"/>
      <c r="R198" s="13"/>
      <c r="S198" s="1"/>
      <c r="T198" s="1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13"/>
      <c r="M199" s="13"/>
      <c r="N199" s="13"/>
      <c r="O199" s="13"/>
      <c r="P199" s="13"/>
      <c r="Q199" s="13"/>
      <c r="R199" s="13"/>
      <c r="S199" s="1"/>
      <c r="T199" s="1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13"/>
      <c r="M200" s="13"/>
      <c r="N200" s="13"/>
      <c r="O200" s="13"/>
      <c r="P200" s="13"/>
      <c r="Q200" s="13"/>
      <c r="R200" s="13"/>
      <c r="S200" s="1"/>
      <c r="T200" s="1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13"/>
      <c r="M201" s="13"/>
      <c r="N201" s="13"/>
      <c r="O201" s="13"/>
      <c r="P201" s="13"/>
      <c r="Q201" s="13"/>
      <c r="R201" s="13"/>
      <c r="S201" s="1"/>
      <c r="T201" s="1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13"/>
      <c r="M202" s="13"/>
      <c r="N202" s="13"/>
      <c r="O202" s="13"/>
      <c r="P202" s="13"/>
      <c r="Q202" s="13"/>
      <c r="R202" s="13"/>
      <c r="S202" s="1"/>
      <c r="T202" s="1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13"/>
      <c r="M203" s="13"/>
      <c r="N203" s="13"/>
      <c r="O203" s="13"/>
      <c r="P203" s="13"/>
      <c r="Q203" s="13"/>
      <c r="R203" s="13"/>
      <c r="S203" s="1"/>
      <c r="T203" s="1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13"/>
      <c r="M204" s="13"/>
      <c r="N204" s="13"/>
      <c r="O204" s="13"/>
      <c r="P204" s="13"/>
      <c r="Q204" s="13"/>
      <c r="R204" s="13"/>
      <c r="S204" s="1"/>
      <c r="T204" s="1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13"/>
      <c r="M205" s="13"/>
      <c r="N205" s="13"/>
      <c r="O205" s="13"/>
      <c r="P205" s="13"/>
      <c r="Q205" s="13"/>
      <c r="R205" s="13"/>
      <c r="S205" s="1"/>
      <c r="T205" s="1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13"/>
      <c r="M206" s="13"/>
      <c r="N206" s="13"/>
      <c r="O206" s="13"/>
      <c r="P206" s="13"/>
      <c r="Q206" s="13"/>
      <c r="R206" s="13"/>
      <c r="S206" s="1"/>
      <c r="T206" s="1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13"/>
      <c r="M207" s="13"/>
      <c r="N207" s="13"/>
      <c r="O207" s="13"/>
      <c r="P207" s="13"/>
      <c r="Q207" s="13"/>
      <c r="R207" s="13"/>
      <c r="S207" s="1"/>
      <c r="T207" s="1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13"/>
      <c r="M208" s="13"/>
      <c r="N208" s="13"/>
      <c r="O208" s="13"/>
      <c r="P208" s="13"/>
      <c r="Q208" s="13"/>
      <c r="R208" s="13"/>
      <c r="S208" s="1"/>
      <c r="T208" s="1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13"/>
      <c r="M209" s="13"/>
      <c r="N209" s="13"/>
      <c r="O209" s="13"/>
      <c r="P209" s="13"/>
      <c r="Q209" s="13"/>
      <c r="R209" s="13"/>
      <c r="S209" s="1"/>
      <c r="T209" s="1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13"/>
      <c r="M210" s="13"/>
      <c r="N210" s="13"/>
      <c r="O210" s="13"/>
      <c r="P210" s="13"/>
      <c r="Q210" s="13"/>
      <c r="R210" s="13"/>
      <c r="S210" s="1"/>
      <c r="T210" s="1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13"/>
      <c r="M211" s="13"/>
      <c r="N211" s="13"/>
      <c r="O211" s="13"/>
      <c r="P211" s="13"/>
      <c r="Q211" s="13"/>
      <c r="R211" s="13"/>
      <c r="S211" s="1"/>
      <c r="T211" s="1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13"/>
      <c r="M212" s="13"/>
      <c r="N212" s="13"/>
      <c r="O212" s="13"/>
      <c r="P212" s="13"/>
      <c r="Q212" s="13"/>
      <c r="R212" s="13"/>
      <c r="S212" s="1"/>
      <c r="T212" s="1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13"/>
      <c r="M213" s="13"/>
      <c r="N213" s="13"/>
      <c r="O213" s="13"/>
      <c r="P213" s="13"/>
      <c r="Q213" s="13"/>
      <c r="R213" s="13"/>
      <c r="S213" s="1"/>
      <c r="T213" s="1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13"/>
      <c r="M214" s="13"/>
      <c r="N214" s="13"/>
      <c r="O214" s="13"/>
      <c r="P214" s="13"/>
      <c r="Q214" s="13"/>
      <c r="R214" s="13"/>
      <c r="S214" s="1"/>
      <c r="T214" s="1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13"/>
      <c r="M215" s="13"/>
      <c r="N215" s="13"/>
      <c r="O215" s="13"/>
      <c r="P215" s="13"/>
      <c r="Q215" s="13"/>
      <c r="R215" s="13"/>
      <c r="S215" s="1"/>
      <c r="T215" s="1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13"/>
      <c r="M216" s="13"/>
      <c r="N216" s="13"/>
      <c r="O216" s="13"/>
      <c r="P216" s="13"/>
      <c r="Q216" s="13"/>
      <c r="R216" s="13"/>
      <c r="S216" s="1"/>
      <c r="T216" s="1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13"/>
      <c r="M217" s="13"/>
      <c r="N217" s="13"/>
      <c r="O217" s="13"/>
      <c r="P217" s="13"/>
      <c r="Q217" s="13"/>
      <c r="R217" s="13"/>
      <c r="S217" s="1"/>
      <c r="T217" s="1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13"/>
      <c r="M218" s="13"/>
      <c r="N218" s="13"/>
      <c r="O218" s="13"/>
      <c r="P218" s="13"/>
      <c r="Q218" s="13"/>
      <c r="R218" s="13"/>
      <c r="S218" s="1"/>
      <c r="T218" s="1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13"/>
      <c r="M219" s="13"/>
      <c r="N219" s="13"/>
      <c r="O219" s="13"/>
      <c r="P219" s="13"/>
      <c r="Q219" s="13"/>
      <c r="R219" s="13"/>
      <c r="S219" s="1"/>
      <c r="T219" s="1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13"/>
      <c r="M220" s="13"/>
      <c r="N220" s="13"/>
      <c r="O220" s="13"/>
      <c r="P220" s="13"/>
      <c r="Q220" s="13"/>
      <c r="R220" s="13"/>
      <c r="S220" s="1"/>
      <c r="T220" s="1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  <c r="AR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  <c r="AR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  <c r="AR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14.38"/>
    <col customWidth="1" min="20" max="20" width="16.25"/>
    <col customWidth="1" min="21" max="21" width="5.63"/>
    <col customWidth="1" min="22" max="22" width="13.75"/>
    <col customWidth="1" min="23" max="23" width="14.25"/>
    <col customWidth="1" min="24" max="24" width="15.13"/>
    <col customWidth="1" min="25" max="25" width="16.25"/>
    <col customWidth="1" min="26" max="26" width="18.0"/>
    <col customWidth="1" min="27" max="27" width="19.0"/>
    <col customWidth="1" min="28" max="44" width="12.63"/>
  </cols>
  <sheetData>
    <row r="1">
      <c r="A1" s="1" t="s">
        <v>465</v>
      </c>
      <c r="B1" s="2" t="s">
        <v>466</v>
      </c>
      <c r="C1" s="2" t="s">
        <v>467</v>
      </c>
      <c r="D1" s="2" t="s">
        <v>468</v>
      </c>
      <c r="E1" s="2" t="s">
        <v>469</v>
      </c>
      <c r="F1" s="2" t="s">
        <v>470</v>
      </c>
      <c r="G1" s="1" t="s">
        <v>130</v>
      </c>
      <c r="H1" s="1" t="s">
        <v>471</v>
      </c>
      <c r="I1" s="1" t="s">
        <v>472</v>
      </c>
      <c r="J1" s="1" t="s">
        <v>473</v>
      </c>
      <c r="K1" s="42" t="s">
        <v>479</v>
      </c>
      <c r="L1" s="42" t="s">
        <v>482</v>
      </c>
      <c r="M1" s="1" t="s">
        <v>483</v>
      </c>
      <c r="N1" s="1" t="s">
        <v>500</v>
      </c>
      <c r="O1" s="1" t="s">
        <v>501</v>
      </c>
      <c r="P1" s="1" t="s">
        <v>484</v>
      </c>
      <c r="Q1" s="1" t="s">
        <v>485</v>
      </c>
      <c r="R1" s="1" t="s">
        <v>486</v>
      </c>
      <c r="S1" s="1" t="s">
        <v>487</v>
      </c>
      <c r="T1" s="1" t="s">
        <v>488</v>
      </c>
      <c r="U1" s="1" t="s">
        <v>489</v>
      </c>
      <c r="V1" s="1" t="s">
        <v>490</v>
      </c>
      <c r="W1" s="1" t="s">
        <v>491</v>
      </c>
      <c r="X1" s="1" t="s">
        <v>492</v>
      </c>
      <c r="Y1" s="1" t="s">
        <v>493</v>
      </c>
      <c r="Z1" s="1" t="s">
        <v>494</v>
      </c>
      <c r="AA1" s="1" t="s">
        <v>495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>
      <c r="A2" s="1" t="s">
        <v>502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43">
        <v>0.0</v>
      </c>
      <c r="M2" s="13">
        <f>IF($A2="", -1, $D2)</f>
        <v>0</v>
      </c>
      <c r="N2" s="13">
        <f>IF($A2="", -1, $D2-1)</f>
        <v>-1</v>
      </c>
      <c r="O2" s="13">
        <f>IF($A2="", -1, $D2+1)</f>
        <v>1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>
        <f>COUNTIFS(StageEpisode!$O:$O, $M2)</f>
        <v>1</v>
      </c>
      <c r="T2" s="41">
        <v>0.0</v>
      </c>
      <c r="U2" s="13" t="str">
        <f>JOIN(", ", 1, 1, 1)</f>
        <v>1, 1, 1</v>
      </c>
      <c r="V2" s="13">
        <f>README!$F$2</f>
        <v>-1</v>
      </c>
      <c r="W2" s="13" t="str">
        <f>JOIN(", ", README!$B$14, 0)</f>
        <v>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 t="str">
        <f>JOIN(", ", README!$L$3, README!$B$27, -1, README!$B$10, 0)</f>
        <v>0, -1, -1, 0, 0</v>
      </c>
      <c r="AA2" s="13" t="str">
        <f>JOIN(", ", README!$L$15, README!$B$27, -1, README!$B$10, 0)</f>
        <v>200000000, -1, -1, 0, 0</v>
      </c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4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4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4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4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4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4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4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4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4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4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43"/>
      <c r="M13" s="13"/>
      <c r="N13" s="13"/>
      <c r="O13" s="13"/>
      <c r="P13" s="13"/>
      <c r="Q13" s="13"/>
      <c r="R13" s="13"/>
      <c r="S13" s="1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4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4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4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4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4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4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4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4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4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4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4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43"/>
      <c r="M25" s="13"/>
      <c r="N25" s="13"/>
      <c r="O25" s="13"/>
      <c r="P25" s="13"/>
      <c r="Q25" s="13"/>
      <c r="R25" s="13"/>
      <c r="S25" s="1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4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4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4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4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4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4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4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4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4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4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4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43"/>
      <c r="M37" s="13"/>
      <c r="N37" s="13"/>
      <c r="O37" s="13"/>
      <c r="P37" s="13"/>
      <c r="Q37" s="13"/>
      <c r="R37" s="13"/>
      <c r="S37" s="1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43"/>
      <c r="M38" s="13"/>
      <c r="N38" s="13"/>
      <c r="O38" s="13"/>
      <c r="P38" s="13"/>
      <c r="Q38" s="13"/>
      <c r="R38" s="13"/>
      <c r="S38" s="1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43"/>
      <c r="M39" s="13"/>
      <c r="N39" s="13"/>
      <c r="O39" s="13"/>
      <c r="P39" s="13"/>
      <c r="Q39" s="13"/>
      <c r="R39" s="13"/>
      <c r="S39" s="1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43"/>
      <c r="M40" s="13"/>
      <c r="N40" s="13"/>
      <c r="O40" s="13"/>
      <c r="P40" s="13"/>
      <c r="Q40" s="13"/>
      <c r="R40" s="13"/>
      <c r="S40" s="1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43"/>
      <c r="M41" s="13"/>
      <c r="N41" s="13"/>
      <c r="O41" s="13"/>
      <c r="P41" s="13"/>
      <c r="Q41" s="13"/>
      <c r="R41" s="13"/>
      <c r="S41" s="1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43"/>
      <c r="M42" s="13"/>
      <c r="N42" s="13"/>
      <c r="O42" s="13"/>
      <c r="P42" s="13"/>
      <c r="Q42" s="13"/>
      <c r="R42" s="13"/>
      <c r="S42" s="1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43"/>
      <c r="M43" s="13"/>
      <c r="N43" s="13"/>
      <c r="O43" s="13"/>
      <c r="P43" s="13"/>
      <c r="Q43" s="13"/>
      <c r="R43" s="13"/>
      <c r="S43" s="1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43"/>
      <c r="M44" s="13"/>
      <c r="N44" s="13"/>
      <c r="O44" s="13"/>
      <c r="P44" s="13"/>
      <c r="Q44" s="13"/>
      <c r="R44" s="13"/>
      <c r="S44" s="1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43"/>
      <c r="M45" s="13"/>
      <c r="N45" s="13"/>
      <c r="O45" s="13"/>
      <c r="P45" s="13"/>
      <c r="Q45" s="13"/>
      <c r="R45" s="13"/>
      <c r="S45" s="1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43"/>
      <c r="M46" s="13"/>
      <c r="N46" s="13"/>
      <c r="O46" s="13"/>
      <c r="P46" s="13"/>
      <c r="Q46" s="13"/>
      <c r="R46" s="13"/>
      <c r="S46" s="1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43"/>
      <c r="M47" s="13"/>
      <c r="N47" s="13"/>
      <c r="O47" s="13"/>
      <c r="P47" s="13"/>
      <c r="Q47" s="13"/>
      <c r="R47" s="13"/>
      <c r="S47" s="1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43"/>
      <c r="M48" s="13"/>
      <c r="N48" s="13"/>
      <c r="O48" s="13"/>
      <c r="P48" s="13"/>
      <c r="Q48" s="13"/>
      <c r="R48" s="13"/>
      <c r="S48" s="1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43"/>
      <c r="M49" s="13"/>
      <c r="N49" s="13"/>
      <c r="O49" s="13"/>
      <c r="P49" s="13"/>
      <c r="Q49" s="13"/>
      <c r="R49" s="13"/>
      <c r="S49" s="1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43"/>
      <c r="M50" s="13"/>
      <c r="N50" s="13"/>
      <c r="O50" s="13"/>
      <c r="P50" s="13"/>
      <c r="Q50" s="13"/>
      <c r="R50" s="13"/>
      <c r="S50" s="1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43"/>
      <c r="M51" s="13"/>
      <c r="N51" s="13"/>
      <c r="O51" s="13"/>
      <c r="P51" s="13"/>
      <c r="Q51" s="13"/>
      <c r="R51" s="13"/>
      <c r="S51" s="1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43"/>
      <c r="M52" s="13"/>
      <c r="N52" s="13"/>
      <c r="O52" s="13"/>
      <c r="P52" s="13"/>
      <c r="Q52" s="13"/>
      <c r="R52" s="13"/>
      <c r="S52" s="1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43"/>
      <c r="M53" s="13"/>
      <c r="N53" s="13"/>
      <c r="O53" s="13"/>
      <c r="P53" s="13"/>
      <c r="Q53" s="13"/>
      <c r="R53" s="13"/>
      <c r="S53" s="1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43"/>
      <c r="M54" s="13"/>
      <c r="N54" s="13"/>
      <c r="O54" s="13"/>
      <c r="P54" s="13"/>
      <c r="Q54" s="13"/>
      <c r="R54" s="13"/>
      <c r="S54" s="1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43"/>
      <c r="M55" s="13"/>
      <c r="N55" s="13"/>
      <c r="O55" s="13"/>
      <c r="P55" s="13"/>
      <c r="Q55" s="13"/>
      <c r="R55" s="13"/>
      <c r="S55" s="1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43"/>
      <c r="M56" s="13"/>
      <c r="N56" s="13"/>
      <c r="O56" s="13"/>
      <c r="P56" s="13"/>
      <c r="Q56" s="13"/>
      <c r="R56" s="13"/>
      <c r="S56" s="1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43"/>
      <c r="M57" s="13"/>
      <c r="N57" s="13"/>
      <c r="O57" s="13"/>
      <c r="P57" s="13"/>
      <c r="Q57" s="13"/>
      <c r="R57" s="13"/>
      <c r="S57" s="1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43"/>
      <c r="M58" s="13"/>
      <c r="N58" s="13"/>
      <c r="O58" s="13"/>
      <c r="P58" s="13"/>
      <c r="Q58" s="13"/>
      <c r="R58" s="13"/>
      <c r="S58" s="1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43"/>
      <c r="M59" s="13"/>
      <c r="N59" s="13"/>
      <c r="O59" s="13"/>
      <c r="P59" s="13"/>
      <c r="Q59" s="13"/>
      <c r="R59" s="13"/>
      <c r="S59" s="1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43"/>
      <c r="M60" s="13"/>
      <c r="N60" s="13"/>
      <c r="O60" s="13"/>
      <c r="P60" s="13"/>
      <c r="Q60" s="13"/>
      <c r="R60" s="13"/>
      <c r="S60" s="1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43"/>
      <c r="M61" s="13"/>
      <c r="N61" s="13"/>
      <c r="O61" s="13"/>
      <c r="P61" s="13"/>
      <c r="Q61" s="13"/>
      <c r="R61" s="13"/>
      <c r="S61" s="1"/>
      <c r="T61" s="1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43"/>
      <c r="M62" s="13"/>
      <c r="N62" s="13"/>
      <c r="O62" s="13"/>
      <c r="P62" s="13"/>
      <c r="Q62" s="13"/>
      <c r="R62" s="13"/>
      <c r="S62" s="1"/>
      <c r="T62" s="1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43"/>
      <c r="M63" s="13"/>
      <c r="N63" s="13"/>
      <c r="O63" s="13"/>
      <c r="P63" s="13"/>
      <c r="Q63" s="13"/>
      <c r="R63" s="13"/>
      <c r="S63" s="1"/>
      <c r="T63" s="1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43"/>
      <c r="M64" s="13"/>
      <c r="N64" s="13"/>
      <c r="O64" s="13"/>
      <c r="P64" s="13"/>
      <c r="Q64" s="13"/>
      <c r="R64" s="13"/>
      <c r="S64" s="1"/>
      <c r="T64" s="1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43"/>
      <c r="M65" s="13"/>
      <c r="N65" s="13"/>
      <c r="O65" s="13"/>
      <c r="P65" s="13"/>
      <c r="Q65" s="13"/>
      <c r="R65" s="13"/>
      <c r="S65" s="1"/>
      <c r="T65" s="1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43"/>
      <c r="M66" s="13"/>
      <c r="N66" s="13"/>
      <c r="O66" s="13"/>
      <c r="P66" s="13"/>
      <c r="Q66" s="13"/>
      <c r="R66" s="13"/>
      <c r="S66" s="1"/>
      <c r="T66" s="1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43"/>
      <c r="M67" s="13"/>
      <c r="N67" s="13"/>
      <c r="O67" s="13"/>
      <c r="P67" s="13"/>
      <c r="Q67" s="13"/>
      <c r="R67" s="13"/>
      <c r="S67" s="1"/>
      <c r="T67" s="1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43"/>
      <c r="M68" s="13"/>
      <c r="N68" s="13"/>
      <c r="O68" s="13"/>
      <c r="P68" s="13"/>
      <c r="Q68" s="13"/>
      <c r="R68" s="13"/>
      <c r="S68" s="1"/>
      <c r="T68" s="1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43"/>
      <c r="M69" s="13"/>
      <c r="N69" s="13"/>
      <c r="O69" s="13"/>
      <c r="P69" s="13"/>
      <c r="Q69" s="13"/>
      <c r="R69" s="13"/>
      <c r="S69" s="1"/>
      <c r="T69" s="1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43"/>
      <c r="M70" s="13"/>
      <c r="N70" s="13"/>
      <c r="O70" s="13"/>
      <c r="P70" s="13"/>
      <c r="Q70" s="13"/>
      <c r="R70" s="13"/>
      <c r="S70" s="1"/>
      <c r="T70" s="1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43"/>
      <c r="M71" s="13"/>
      <c r="N71" s="13"/>
      <c r="O71" s="13"/>
      <c r="P71" s="13"/>
      <c r="Q71" s="13"/>
      <c r="R71" s="13"/>
      <c r="S71" s="1"/>
      <c r="T71" s="1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43"/>
      <c r="M72" s="13"/>
      <c r="N72" s="13"/>
      <c r="O72" s="13"/>
      <c r="P72" s="13"/>
      <c r="Q72" s="13"/>
      <c r="R72" s="13"/>
      <c r="S72" s="1"/>
      <c r="T72" s="1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43"/>
      <c r="M73" s="13"/>
      <c r="N73" s="13"/>
      <c r="O73" s="13"/>
      <c r="P73" s="13"/>
      <c r="Q73" s="13"/>
      <c r="R73" s="13"/>
      <c r="S73" s="1"/>
      <c r="T73" s="1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43"/>
      <c r="M74" s="13"/>
      <c r="N74" s="13"/>
      <c r="O74" s="13"/>
      <c r="P74" s="13"/>
      <c r="Q74" s="13"/>
      <c r="R74" s="13"/>
      <c r="S74" s="1"/>
      <c r="T74" s="1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43"/>
      <c r="M75" s="13"/>
      <c r="N75" s="13"/>
      <c r="O75" s="13"/>
      <c r="P75" s="13"/>
      <c r="Q75" s="13"/>
      <c r="R75" s="13"/>
      <c r="S75" s="1"/>
      <c r="T75" s="1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43"/>
      <c r="M76" s="13"/>
      <c r="N76" s="13"/>
      <c r="O76" s="13"/>
      <c r="P76" s="13"/>
      <c r="Q76" s="13"/>
      <c r="R76" s="13"/>
      <c r="S76" s="1"/>
      <c r="T76" s="1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43"/>
      <c r="M77" s="13"/>
      <c r="N77" s="13"/>
      <c r="O77" s="13"/>
      <c r="P77" s="13"/>
      <c r="Q77" s="13"/>
      <c r="R77" s="13"/>
      <c r="S77" s="1"/>
      <c r="T77" s="1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43"/>
      <c r="M78" s="13"/>
      <c r="N78" s="13"/>
      <c r="O78" s="13"/>
      <c r="P78" s="13"/>
      <c r="Q78" s="13"/>
      <c r="R78" s="13"/>
      <c r="S78" s="1"/>
      <c r="T78" s="1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43"/>
      <c r="M79" s="13"/>
      <c r="N79" s="13"/>
      <c r="O79" s="13"/>
      <c r="P79" s="13"/>
      <c r="Q79" s="13"/>
      <c r="R79" s="13"/>
      <c r="S79" s="1"/>
      <c r="T79" s="1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43"/>
      <c r="M80" s="13"/>
      <c r="N80" s="13"/>
      <c r="O80" s="13"/>
      <c r="P80" s="13"/>
      <c r="Q80" s="13"/>
      <c r="R80" s="13"/>
      <c r="S80" s="1"/>
      <c r="T80" s="1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43"/>
      <c r="M81" s="13"/>
      <c r="N81" s="13"/>
      <c r="O81" s="13"/>
      <c r="P81" s="13"/>
      <c r="Q81" s="13"/>
      <c r="R81" s="13"/>
      <c r="S81" s="1"/>
      <c r="T81" s="1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43"/>
      <c r="M82" s="13"/>
      <c r="N82" s="13"/>
      <c r="O82" s="13"/>
      <c r="P82" s="13"/>
      <c r="Q82" s="13"/>
      <c r="R82" s="13"/>
      <c r="S82" s="1"/>
      <c r="T82" s="1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43"/>
      <c r="M83" s="13"/>
      <c r="N83" s="13"/>
      <c r="O83" s="13"/>
      <c r="P83" s="13"/>
      <c r="Q83" s="13"/>
      <c r="R83" s="13"/>
      <c r="S83" s="1"/>
      <c r="T83" s="1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43"/>
      <c r="M84" s="13"/>
      <c r="N84" s="13"/>
      <c r="O84" s="13"/>
      <c r="P84" s="13"/>
      <c r="Q84" s="13"/>
      <c r="R84" s="13"/>
      <c r="S84" s="1"/>
      <c r="T84" s="1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43"/>
      <c r="M85" s="13"/>
      <c r="N85" s="13"/>
      <c r="O85" s="13"/>
      <c r="P85" s="13"/>
      <c r="Q85" s="13"/>
      <c r="R85" s="13"/>
      <c r="S85" s="1"/>
      <c r="T85" s="1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43"/>
      <c r="M86" s="13"/>
      <c r="N86" s="13"/>
      <c r="O86" s="13"/>
      <c r="P86" s="13"/>
      <c r="Q86" s="13"/>
      <c r="R86" s="13"/>
      <c r="S86" s="1"/>
      <c r="T86" s="1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43"/>
      <c r="M87" s="13"/>
      <c r="N87" s="13"/>
      <c r="O87" s="13"/>
      <c r="P87" s="13"/>
      <c r="Q87" s="13"/>
      <c r="R87" s="13"/>
      <c r="S87" s="1"/>
      <c r="T87" s="1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43"/>
      <c r="M88" s="13"/>
      <c r="N88" s="13"/>
      <c r="O88" s="13"/>
      <c r="P88" s="13"/>
      <c r="Q88" s="13"/>
      <c r="R88" s="13"/>
      <c r="S88" s="1"/>
      <c r="T88" s="1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43"/>
      <c r="M89" s="13"/>
      <c r="N89" s="13"/>
      <c r="O89" s="13"/>
      <c r="P89" s="13"/>
      <c r="Q89" s="13"/>
      <c r="R89" s="13"/>
      <c r="S89" s="1"/>
      <c r="T89" s="1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43"/>
      <c r="M90" s="13"/>
      <c r="N90" s="13"/>
      <c r="O90" s="13"/>
      <c r="P90" s="13"/>
      <c r="Q90" s="13"/>
      <c r="R90" s="13"/>
      <c r="S90" s="1"/>
      <c r="T90" s="1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43"/>
      <c r="M91" s="13"/>
      <c r="N91" s="13"/>
      <c r="O91" s="13"/>
      <c r="P91" s="13"/>
      <c r="Q91" s="13"/>
      <c r="R91" s="13"/>
      <c r="S91" s="1"/>
      <c r="T91" s="1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43"/>
      <c r="M92" s="13"/>
      <c r="N92" s="13"/>
      <c r="O92" s="13"/>
      <c r="P92" s="13"/>
      <c r="Q92" s="13"/>
      <c r="R92" s="13"/>
      <c r="S92" s="1"/>
      <c r="T92" s="1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43"/>
      <c r="M93" s="13"/>
      <c r="N93" s="13"/>
      <c r="O93" s="13"/>
      <c r="P93" s="13"/>
      <c r="Q93" s="13"/>
      <c r="R93" s="13"/>
      <c r="S93" s="1"/>
      <c r="T93" s="1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43"/>
      <c r="M94" s="13"/>
      <c r="N94" s="13"/>
      <c r="O94" s="13"/>
      <c r="P94" s="13"/>
      <c r="Q94" s="13"/>
      <c r="R94" s="13"/>
      <c r="S94" s="1"/>
      <c r="T94" s="1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43"/>
      <c r="M95" s="13"/>
      <c r="N95" s="13"/>
      <c r="O95" s="13"/>
      <c r="P95" s="13"/>
      <c r="Q95" s="13"/>
      <c r="R95" s="13"/>
      <c r="S95" s="1"/>
      <c r="T95" s="1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43"/>
      <c r="M96" s="13"/>
      <c r="N96" s="13"/>
      <c r="O96" s="13"/>
      <c r="P96" s="13"/>
      <c r="Q96" s="13"/>
      <c r="R96" s="13"/>
      <c r="S96" s="1"/>
      <c r="T96" s="1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43"/>
      <c r="M97" s="13"/>
      <c r="N97" s="13"/>
      <c r="O97" s="13"/>
      <c r="P97" s="13"/>
      <c r="Q97" s="13"/>
      <c r="R97" s="13"/>
      <c r="S97" s="1"/>
      <c r="T97" s="1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43"/>
      <c r="M98" s="13"/>
      <c r="N98" s="13"/>
      <c r="O98" s="13"/>
      <c r="P98" s="13"/>
      <c r="Q98" s="13"/>
      <c r="R98" s="13"/>
      <c r="S98" s="1"/>
      <c r="T98" s="1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43"/>
      <c r="M99" s="13"/>
      <c r="N99" s="13"/>
      <c r="O99" s="13"/>
      <c r="P99" s="13"/>
      <c r="Q99" s="13"/>
      <c r="R99" s="13"/>
      <c r="S99" s="1"/>
      <c r="T99" s="1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43"/>
      <c r="M100" s="13"/>
      <c r="N100" s="13"/>
      <c r="O100" s="13"/>
      <c r="P100" s="13"/>
      <c r="Q100" s="13"/>
      <c r="R100" s="13"/>
      <c r="S100" s="1"/>
      <c r="T100" s="1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43"/>
      <c r="M101" s="13"/>
      <c r="N101" s="13"/>
      <c r="O101" s="13"/>
      <c r="P101" s="13"/>
      <c r="Q101" s="13"/>
      <c r="R101" s="13"/>
      <c r="S101" s="1"/>
      <c r="T101" s="1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43"/>
      <c r="M102" s="13"/>
      <c r="N102" s="13"/>
      <c r="O102" s="13"/>
      <c r="P102" s="13"/>
      <c r="Q102" s="13"/>
      <c r="R102" s="13"/>
      <c r="S102" s="1"/>
      <c r="T102" s="1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43"/>
      <c r="M103" s="13"/>
      <c r="N103" s="13"/>
      <c r="O103" s="13"/>
      <c r="P103" s="13"/>
      <c r="Q103" s="13"/>
      <c r="R103" s="13"/>
      <c r="S103" s="1"/>
      <c r="T103" s="1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43"/>
      <c r="M104" s="13"/>
      <c r="N104" s="13"/>
      <c r="O104" s="13"/>
      <c r="P104" s="13"/>
      <c r="Q104" s="13"/>
      <c r="R104" s="13"/>
      <c r="S104" s="1"/>
      <c r="T104" s="1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43"/>
      <c r="M105" s="13"/>
      <c r="N105" s="13"/>
      <c r="O105" s="13"/>
      <c r="P105" s="13"/>
      <c r="Q105" s="13"/>
      <c r="R105" s="13"/>
      <c r="S105" s="1"/>
      <c r="T105" s="1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43"/>
      <c r="M106" s="13"/>
      <c r="N106" s="13"/>
      <c r="O106" s="13"/>
      <c r="P106" s="13"/>
      <c r="Q106" s="13"/>
      <c r="R106" s="13"/>
      <c r="S106" s="1"/>
      <c r="T106" s="1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43"/>
      <c r="M107" s="13"/>
      <c r="N107" s="13"/>
      <c r="O107" s="13"/>
      <c r="P107" s="13"/>
      <c r="Q107" s="13"/>
      <c r="R107" s="13"/>
      <c r="S107" s="1"/>
      <c r="T107" s="1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43"/>
      <c r="M108" s="13"/>
      <c r="N108" s="13"/>
      <c r="O108" s="13"/>
      <c r="P108" s="13"/>
      <c r="Q108" s="13"/>
      <c r="R108" s="13"/>
      <c r="S108" s="1"/>
      <c r="T108" s="1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43"/>
      <c r="M109" s="13"/>
      <c r="N109" s="13"/>
      <c r="O109" s="13"/>
      <c r="P109" s="13"/>
      <c r="Q109" s="13"/>
      <c r="R109" s="13"/>
      <c r="S109" s="1"/>
      <c r="T109" s="1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43"/>
      <c r="M110" s="13"/>
      <c r="N110" s="13"/>
      <c r="O110" s="13"/>
      <c r="P110" s="13"/>
      <c r="Q110" s="13"/>
      <c r="R110" s="13"/>
      <c r="S110" s="1"/>
      <c r="T110" s="1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43"/>
      <c r="M111" s="13"/>
      <c r="N111" s="13"/>
      <c r="O111" s="13"/>
      <c r="P111" s="13"/>
      <c r="Q111" s="13"/>
      <c r="R111" s="13"/>
      <c r="S111" s="1"/>
      <c r="T111" s="1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43"/>
      <c r="M112" s="13"/>
      <c r="N112" s="13"/>
      <c r="O112" s="13"/>
      <c r="P112" s="13"/>
      <c r="Q112" s="13"/>
      <c r="R112" s="13"/>
      <c r="S112" s="1"/>
      <c r="T112" s="1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43"/>
      <c r="M113" s="13"/>
      <c r="N113" s="13"/>
      <c r="O113" s="13"/>
      <c r="P113" s="13"/>
      <c r="Q113" s="13"/>
      <c r="R113" s="13"/>
      <c r="S113" s="1"/>
      <c r="T113" s="1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43"/>
      <c r="M114" s="13"/>
      <c r="N114" s="13"/>
      <c r="O114" s="13"/>
      <c r="P114" s="13"/>
      <c r="Q114" s="13"/>
      <c r="R114" s="13"/>
      <c r="S114" s="1"/>
      <c r="T114" s="1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43"/>
      <c r="M115" s="13"/>
      <c r="N115" s="13"/>
      <c r="O115" s="13"/>
      <c r="P115" s="13"/>
      <c r="Q115" s="13"/>
      <c r="R115" s="13"/>
      <c r="S115" s="1"/>
      <c r="T115" s="1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43"/>
      <c r="M116" s="13"/>
      <c r="N116" s="13"/>
      <c r="O116" s="13"/>
      <c r="P116" s="13"/>
      <c r="Q116" s="13"/>
      <c r="R116" s="13"/>
      <c r="S116" s="1"/>
      <c r="T116" s="1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43"/>
      <c r="M117" s="13"/>
      <c r="N117" s="13"/>
      <c r="O117" s="13"/>
      <c r="P117" s="13"/>
      <c r="Q117" s="13"/>
      <c r="R117" s="13"/>
      <c r="S117" s="1"/>
      <c r="T117" s="1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43"/>
      <c r="M118" s="13"/>
      <c r="N118" s="13"/>
      <c r="O118" s="13"/>
      <c r="P118" s="13"/>
      <c r="Q118" s="13"/>
      <c r="R118" s="13"/>
      <c r="S118" s="1"/>
      <c r="T118" s="1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43"/>
      <c r="M119" s="13"/>
      <c r="N119" s="13"/>
      <c r="O119" s="13"/>
      <c r="P119" s="13"/>
      <c r="Q119" s="13"/>
      <c r="R119" s="13"/>
      <c r="S119" s="1"/>
      <c r="T119" s="1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43"/>
      <c r="M120" s="13"/>
      <c r="N120" s="13"/>
      <c r="O120" s="13"/>
      <c r="P120" s="13"/>
      <c r="Q120" s="13"/>
      <c r="R120" s="13"/>
      <c r="S120" s="1"/>
      <c r="T120" s="1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43"/>
      <c r="M121" s="13"/>
      <c r="N121" s="13"/>
      <c r="O121" s="13"/>
      <c r="P121" s="13"/>
      <c r="Q121" s="13"/>
      <c r="R121" s="13"/>
      <c r="S121" s="1"/>
      <c r="T121" s="1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43"/>
      <c r="M122" s="13"/>
      <c r="N122" s="13"/>
      <c r="O122" s="13"/>
      <c r="P122" s="13"/>
      <c r="Q122" s="13"/>
      <c r="R122" s="13"/>
      <c r="S122" s="1"/>
      <c r="T122" s="1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43"/>
      <c r="M123" s="13"/>
      <c r="N123" s="13"/>
      <c r="O123" s="13"/>
      <c r="P123" s="13"/>
      <c r="Q123" s="13"/>
      <c r="R123" s="13"/>
      <c r="S123" s="1"/>
      <c r="T123" s="1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43"/>
      <c r="M124" s="13"/>
      <c r="N124" s="13"/>
      <c r="O124" s="13"/>
      <c r="P124" s="13"/>
      <c r="Q124" s="13"/>
      <c r="R124" s="13"/>
      <c r="S124" s="1"/>
      <c r="T124" s="1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43"/>
      <c r="M125" s="13"/>
      <c r="N125" s="13"/>
      <c r="O125" s="13"/>
      <c r="P125" s="13"/>
      <c r="Q125" s="13"/>
      <c r="R125" s="13"/>
      <c r="S125" s="1"/>
      <c r="T125" s="1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43"/>
      <c r="M126" s="13"/>
      <c r="N126" s="13"/>
      <c r="O126" s="13"/>
      <c r="P126" s="13"/>
      <c r="Q126" s="13"/>
      <c r="R126" s="13"/>
      <c r="S126" s="1"/>
      <c r="T126" s="1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43"/>
      <c r="M127" s="13"/>
      <c r="N127" s="13"/>
      <c r="O127" s="13"/>
      <c r="P127" s="13"/>
      <c r="Q127" s="13"/>
      <c r="R127" s="13"/>
      <c r="S127" s="1"/>
      <c r="T127" s="1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43"/>
      <c r="M128" s="13"/>
      <c r="N128" s="13"/>
      <c r="O128" s="13"/>
      <c r="P128" s="13"/>
      <c r="Q128" s="13"/>
      <c r="R128" s="13"/>
      <c r="S128" s="1"/>
      <c r="T128" s="1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43"/>
      <c r="M129" s="13"/>
      <c r="N129" s="13"/>
      <c r="O129" s="13"/>
      <c r="P129" s="13"/>
      <c r="Q129" s="13"/>
      <c r="R129" s="13"/>
      <c r="S129" s="1"/>
      <c r="T129" s="1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43"/>
      <c r="M130" s="13"/>
      <c r="N130" s="13"/>
      <c r="O130" s="13"/>
      <c r="P130" s="13"/>
      <c r="Q130" s="13"/>
      <c r="R130" s="13"/>
      <c r="S130" s="1"/>
      <c r="T130" s="1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43"/>
      <c r="M131" s="13"/>
      <c r="N131" s="13"/>
      <c r="O131" s="13"/>
      <c r="P131" s="13"/>
      <c r="Q131" s="13"/>
      <c r="R131" s="13"/>
      <c r="S131" s="1"/>
      <c r="T131" s="1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43"/>
      <c r="M132" s="13"/>
      <c r="N132" s="13"/>
      <c r="O132" s="13"/>
      <c r="P132" s="13"/>
      <c r="Q132" s="13"/>
      <c r="R132" s="13"/>
      <c r="S132" s="1"/>
      <c r="T132" s="1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43"/>
      <c r="M133" s="13"/>
      <c r="N133" s="13"/>
      <c r="O133" s="13"/>
      <c r="P133" s="13"/>
      <c r="Q133" s="13"/>
      <c r="R133" s="13"/>
      <c r="S133" s="1"/>
      <c r="T133" s="1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43"/>
      <c r="M134" s="13"/>
      <c r="N134" s="13"/>
      <c r="O134" s="13"/>
      <c r="P134" s="13"/>
      <c r="Q134" s="13"/>
      <c r="R134" s="13"/>
      <c r="S134" s="1"/>
      <c r="T134" s="1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43"/>
      <c r="M135" s="13"/>
      <c r="N135" s="13"/>
      <c r="O135" s="13"/>
      <c r="P135" s="13"/>
      <c r="Q135" s="13"/>
      <c r="R135" s="13"/>
      <c r="S135" s="1"/>
      <c r="T135" s="1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43"/>
      <c r="M136" s="13"/>
      <c r="N136" s="13"/>
      <c r="O136" s="13"/>
      <c r="P136" s="13"/>
      <c r="Q136" s="13"/>
      <c r="R136" s="13"/>
      <c r="S136" s="1"/>
      <c r="T136" s="1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43"/>
      <c r="M137" s="13"/>
      <c r="N137" s="13"/>
      <c r="O137" s="13"/>
      <c r="P137" s="13"/>
      <c r="Q137" s="13"/>
      <c r="R137" s="13"/>
      <c r="S137" s="1"/>
      <c r="T137" s="1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43"/>
      <c r="M138" s="13"/>
      <c r="N138" s="13"/>
      <c r="O138" s="13"/>
      <c r="P138" s="13"/>
      <c r="Q138" s="13"/>
      <c r="R138" s="13"/>
      <c r="S138" s="1"/>
      <c r="T138" s="1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43"/>
      <c r="M139" s="13"/>
      <c r="N139" s="13"/>
      <c r="O139" s="13"/>
      <c r="P139" s="13"/>
      <c r="Q139" s="13"/>
      <c r="R139" s="13"/>
      <c r="S139" s="1"/>
      <c r="T139" s="1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43"/>
      <c r="M140" s="13"/>
      <c r="N140" s="13"/>
      <c r="O140" s="13"/>
      <c r="P140" s="13"/>
      <c r="Q140" s="13"/>
      <c r="R140" s="13"/>
      <c r="S140" s="1"/>
      <c r="T140" s="1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43"/>
      <c r="M141" s="13"/>
      <c r="N141" s="13"/>
      <c r="O141" s="13"/>
      <c r="P141" s="13"/>
      <c r="Q141" s="13"/>
      <c r="R141" s="13"/>
      <c r="S141" s="1"/>
      <c r="T141" s="1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43"/>
      <c r="M142" s="13"/>
      <c r="N142" s="13"/>
      <c r="O142" s="13"/>
      <c r="P142" s="13"/>
      <c r="Q142" s="13"/>
      <c r="R142" s="13"/>
      <c r="S142" s="1"/>
      <c r="T142" s="1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43"/>
      <c r="M143" s="13"/>
      <c r="N143" s="13"/>
      <c r="O143" s="13"/>
      <c r="P143" s="13"/>
      <c r="Q143" s="13"/>
      <c r="R143" s="13"/>
      <c r="S143" s="1"/>
      <c r="T143" s="1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43"/>
      <c r="M144" s="13"/>
      <c r="N144" s="13"/>
      <c r="O144" s="13"/>
      <c r="P144" s="13"/>
      <c r="Q144" s="13"/>
      <c r="R144" s="13"/>
      <c r="S144" s="1"/>
      <c r="T144" s="1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43"/>
      <c r="M145" s="13"/>
      <c r="N145" s="13"/>
      <c r="O145" s="13"/>
      <c r="P145" s="13"/>
      <c r="Q145" s="13"/>
      <c r="R145" s="13"/>
      <c r="S145" s="1"/>
      <c r="T145" s="1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43"/>
      <c r="M146" s="13"/>
      <c r="N146" s="13"/>
      <c r="O146" s="13"/>
      <c r="P146" s="13"/>
      <c r="Q146" s="13"/>
      <c r="R146" s="13"/>
      <c r="S146" s="1"/>
      <c r="T146" s="1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43"/>
      <c r="M147" s="13"/>
      <c r="N147" s="13"/>
      <c r="O147" s="13"/>
      <c r="P147" s="13"/>
      <c r="Q147" s="13"/>
      <c r="R147" s="13"/>
      <c r="S147" s="1"/>
      <c r="T147" s="1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43"/>
      <c r="M148" s="13"/>
      <c r="N148" s="13"/>
      <c r="O148" s="13"/>
      <c r="P148" s="13"/>
      <c r="Q148" s="13"/>
      <c r="R148" s="13"/>
      <c r="S148" s="1"/>
      <c r="T148" s="1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43"/>
      <c r="M149" s="13"/>
      <c r="N149" s="13"/>
      <c r="O149" s="13"/>
      <c r="P149" s="13"/>
      <c r="Q149" s="13"/>
      <c r="R149" s="13"/>
      <c r="S149" s="1"/>
      <c r="T149" s="1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43"/>
      <c r="M150" s="13"/>
      <c r="N150" s="13"/>
      <c r="O150" s="13"/>
      <c r="P150" s="13"/>
      <c r="Q150" s="13"/>
      <c r="R150" s="13"/>
      <c r="S150" s="1"/>
      <c r="T150" s="1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43"/>
      <c r="M151" s="13"/>
      <c r="N151" s="13"/>
      <c r="O151" s="13"/>
      <c r="P151" s="13"/>
      <c r="Q151" s="13"/>
      <c r="R151" s="13"/>
      <c r="S151" s="1"/>
      <c r="T151" s="1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43"/>
      <c r="M152" s="13"/>
      <c r="N152" s="13"/>
      <c r="O152" s="13"/>
      <c r="P152" s="13"/>
      <c r="Q152" s="13"/>
      <c r="R152" s="13"/>
      <c r="S152" s="1"/>
      <c r="T152" s="1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43"/>
      <c r="M153" s="13"/>
      <c r="N153" s="13"/>
      <c r="O153" s="13"/>
      <c r="P153" s="13"/>
      <c r="Q153" s="13"/>
      <c r="R153" s="13"/>
      <c r="S153" s="1"/>
      <c r="T153" s="1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43"/>
      <c r="M154" s="13"/>
      <c r="N154" s="13"/>
      <c r="O154" s="13"/>
      <c r="P154" s="13"/>
      <c r="Q154" s="13"/>
      <c r="R154" s="13"/>
      <c r="S154" s="1"/>
      <c r="T154" s="1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43"/>
      <c r="M155" s="13"/>
      <c r="N155" s="13"/>
      <c r="O155" s="13"/>
      <c r="P155" s="13"/>
      <c r="Q155" s="13"/>
      <c r="R155" s="13"/>
      <c r="S155" s="1"/>
      <c r="T155" s="1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43"/>
      <c r="M156" s="13"/>
      <c r="N156" s="13"/>
      <c r="O156" s="13"/>
      <c r="P156" s="13"/>
      <c r="Q156" s="13"/>
      <c r="R156" s="13"/>
      <c r="S156" s="1"/>
      <c r="T156" s="1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43"/>
      <c r="M157" s="13"/>
      <c r="N157" s="13"/>
      <c r="O157" s="13"/>
      <c r="P157" s="13"/>
      <c r="Q157" s="13"/>
      <c r="R157" s="13"/>
      <c r="S157" s="1"/>
      <c r="T157" s="1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43"/>
      <c r="M158" s="13"/>
      <c r="N158" s="13"/>
      <c r="O158" s="13"/>
      <c r="P158" s="13"/>
      <c r="Q158" s="13"/>
      <c r="R158" s="13"/>
      <c r="S158" s="1"/>
      <c r="T158" s="1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43"/>
      <c r="M159" s="13"/>
      <c r="N159" s="13"/>
      <c r="O159" s="13"/>
      <c r="P159" s="13"/>
      <c r="Q159" s="13"/>
      <c r="R159" s="13"/>
      <c r="S159" s="1"/>
      <c r="T159" s="1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43"/>
      <c r="M160" s="13"/>
      <c r="N160" s="13"/>
      <c r="O160" s="13"/>
      <c r="P160" s="13"/>
      <c r="Q160" s="13"/>
      <c r="R160" s="13"/>
      <c r="S160" s="1"/>
      <c r="T160" s="1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43"/>
      <c r="M161" s="13"/>
      <c r="N161" s="13"/>
      <c r="O161" s="13"/>
      <c r="P161" s="13"/>
      <c r="Q161" s="13"/>
      <c r="R161" s="13"/>
      <c r="S161" s="1"/>
      <c r="T161" s="1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43"/>
      <c r="M162" s="13"/>
      <c r="N162" s="13"/>
      <c r="O162" s="13"/>
      <c r="P162" s="13"/>
      <c r="Q162" s="13"/>
      <c r="R162" s="13"/>
      <c r="S162" s="1"/>
      <c r="T162" s="1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43"/>
      <c r="M163" s="13"/>
      <c r="N163" s="13"/>
      <c r="O163" s="13"/>
      <c r="P163" s="13"/>
      <c r="Q163" s="13"/>
      <c r="R163" s="13"/>
      <c r="S163" s="1"/>
      <c r="T163" s="1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43"/>
      <c r="M164" s="13"/>
      <c r="N164" s="13"/>
      <c r="O164" s="13"/>
      <c r="P164" s="13"/>
      <c r="Q164" s="13"/>
      <c r="R164" s="13"/>
      <c r="S164" s="1"/>
      <c r="T164" s="1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43"/>
      <c r="M165" s="13"/>
      <c r="N165" s="13"/>
      <c r="O165" s="13"/>
      <c r="P165" s="13"/>
      <c r="Q165" s="13"/>
      <c r="R165" s="13"/>
      <c r="S165" s="1"/>
      <c r="T165" s="1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43"/>
      <c r="M166" s="13"/>
      <c r="N166" s="13"/>
      <c r="O166" s="13"/>
      <c r="P166" s="13"/>
      <c r="Q166" s="13"/>
      <c r="R166" s="13"/>
      <c r="S166" s="1"/>
      <c r="T166" s="1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43"/>
      <c r="M167" s="13"/>
      <c r="N167" s="13"/>
      <c r="O167" s="13"/>
      <c r="P167" s="13"/>
      <c r="Q167" s="13"/>
      <c r="R167" s="13"/>
      <c r="S167" s="1"/>
      <c r="T167" s="1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43"/>
      <c r="M168" s="13"/>
      <c r="N168" s="13"/>
      <c r="O168" s="13"/>
      <c r="P168" s="13"/>
      <c r="Q168" s="13"/>
      <c r="R168" s="13"/>
      <c r="S168" s="1"/>
      <c r="T168" s="1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43"/>
      <c r="M169" s="13"/>
      <c r="N169" s="13"/>
      <c r="O169" s="13"/>
      <c r="P169" s="13"/>
      <c r="Q169" s="13"/>
      <c r="R169" s="13"/>
      <c r="S169" s="1"/>
      <c r="T169" s="1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43"/>
      <c r="M170" s="13"/>
      <c r="N170" s="13"/>
      <c r="O170" s="13"/>
      <c r="P170" s="13"/>
      <c r="Q170" s="13"/>
      <c r="R170" s="13"/>
      <c r="S170" s="1"/>
      <c r="T170" s="1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43"/>
      <c r="M171" s="13"/>
      <c r="N171" s="13"/>
      <c r="O171" s="13"/>
      <c r="P171" s="13"/>
      <c r="Q171" s="13"/>
      <c r="R171" s="13"/>
      <c r="S171" s="1"/>
      <c r="T171" s="1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43"/>
      <c r="M172" s="13"/>
      <c r="N172" s="13"/>
      <c r="O172" s="13"/>
      <c r="P172" s="13"/>
      <c r="Q172" s="13"/>
      <c r="R172" s="13"/>
      <c r="S172" s="1"/>
      <c r="T172" s="1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43"/>
      <c r="M173" s="13"/>
      <c r="N173" s="13"/>
      <c r="O173" s="13"/>
      <c r="P173" s="13"/>
      <c r="Q173" s="13"/>
      <c r="R173" s="13"/>
      <c r="S173" s="1"/>
      <c r="T173" s="1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43"/>
      <c r="M174" s="13"/>
      <c r="N174" s="13"/>
      <c r="O174" s="13"/>
      <c r="P174" s="13"/>
      <c r="Q174" s="13"/>
      <c r="R174" s="13"/>
      <c r="S174" s="1"/>
      <c r="T174" s="1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43"/>
      <c r="M175" s="13"/>
      <c r="N175" s="13"/>
      <c r="O175" s="13"/>
      <c r="P175" s="13"/>
      <c r="Q175" s="13"/>
      <c r="R175" s="13"/>
      <c r="S175" s="1"/>
      <c r="T175" s="1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43"/>
      <c r="M176" s="13"/>
      <c r="N176" s="13"/>
      <c r="O176" s="13"/>
      <c r="P176" s="13"/>
      <c r="Q176" s="13"/>
      <c r="R176" s="13"/>
      <c r="S176" s="1"/>
      <c r="T176" s="1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43"/>
      <c r="M177" s="13"/>
      <c r="N177" s="13"/>
      <c r="O177" s="13"/>
      <c r="P177" s="13"/>
      <c r="Q177" s="13"/>
      <c r="R177" s="13"/>
      <c r="S177" s="1"/>
      <c r="T177" s="1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43"/>
      <c r="M178" s="13"/>
      <c r="N178" s="13"/>
      <c r="O178" s="13"/>
      <c r="P178" s="13"/>
      <c r="Q178" s="13"/>
      <c r="R178" s="13"/>
      <c r="S178" s="1"/>
      <c r="T178" s="1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43"/>
      <c r="M179" s="13"/>
      <c r="N179" s="13"/>
      <c r="O179" s="13"/>
      <c r="P179" s="13"/>
      <c r="Q179" s="13"/>
      <c r="R179" s="13"/>
      <c r="S179" s="1"/>
      <c r="T179" s="1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43"/>
      <c r="M180" s="13"/>
      <c r="N180" s="13"/>
      <c r="O180" s="13"/>
      <c r="P180" s="13"/>
      <c r="Q180" s="13"/>
      <c r="R180" s="13"/>
      <c r="S180" s="1"/>
      <c r="T180" s="1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43"/>
      <c r="M181" s="13"/>
      <c r="N181" s="13"/>
      <c r="O181" s="13"/>
      <c r="P181" s="13"/>
      <c r="Q181" s="13"/>
      <c r="R181" s="13"/>
      <c r="S181" s="1"/>
      <c r="T181" s="1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43"/>
      <c r="M182" s="13"/>
      <c r="N182" s="13"/>
      <c r="O182" s="13"/>
      <c r="P182" s="13"/>
      <c r="Q182" s="13"/>
      <c r="R182" s="13"/>
      <c r="S182" s="1"/>
      <c r="T182" s="1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43"/>
      <c r="M183" s="13"/>
      <c r="N183" s="13"/>
      <c r="O183" s="13"/>
      <c r="P183" s="13"/>
      <c r="Q183" s="13"/>
      <c r="R183" s="13"/>
      <c r="S183" s="1"/>
      <c r="T183" s="1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43"/>
      <c r="M184" s="13"/>
      <c r="N184" s="13"/>
      <c r="O184" s="13"/>
      <c r="P184" s="13"/>
      <c r="Q184" s="13"/>
      <c r="R184" s="13"/>
      <c r="S184" s="1"/>
      <c r="T184" s="1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43"/>
      <c r="M185" s="13"/>
      <c r="N185" s="13"/>
      <c r="O185" s="13"/>
      <c r="P185" s="13"/>
      <c r="Q185" s="13"/>
      <c r="R185" s="13"/>
      <c r="S185" s="1"/>
      <c r="T185" s="1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43"/>
      <c r="M186" s="13"/>
      <c r="N186" s="13"/>
      <c r="O186" s="13"/>
      <c r="P186" s="13"/>
      <c r="Q186" s="13"/>
      <c r="R186" s="13"/>
      <c r="S186" s="1"/>
      <c r="T186" s="1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43"/>
      <c r="M187" s="13"/>
      <c r="N187" s="13"/>
      <c r="O187" s="13"/>
      <c r="P187" s="13"/>
      <c r="Q187" s="13"/>
      <c r="R187" s="13"/>
      <c r="S187" s="1"/>
      <c r="T187" s="1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43"/>
      <c r="M188" s="13"/>
      <c r="N188" s="13"/>
      <c r="O188" s="13"/>
      <c r="P188" s="13"/>
      <c r="Q188" s="13"/>
      <c r="R188" s="13"/>
      <c r="S188" s="1"/>
      <c r="T188" s="1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43"/>
      <c r="M189" s="13"/>
      <c r="N189" s="13"/>
      <c r="O189" s="13"/>
      <c r="P189" s="13"/>
      <c r="Q189" s="13"/>
      <c r="R189" s="13"/>
      <c r="S189" s="1"/>
      <c r="T189" s="1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43"/>
      <c r="M190" s="13"/>
      <c r="N190" s="13"/>
      <c r="O190" s="13"/>
      <c r="P190" s="13"/>
      <c r="Q190" s="13"/>
      <c r="R190" s="13"/>
      <c r="S190" s="1"/>
      <c r="T190" s="1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43"/>
      <c r="M191" s="13"/>
      <c r="N191" s="13"/>
      <c r="O191" s="13"/>
      <c r="P191" s="13"/>
      <c r="Q191" s="13"/>
      <c r="R191" s="13"/>
      <c r="S191" s="1"/>
      <c r="T191" s="1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43"/>
      <c r="M192" s="13"/>
      <c r="N192" s="13"/>
      <c r="O192" s="13"/>
      <c r="P192" s="13"/>
      <c r="Q192" s="13"/>
      <c r="R192" s="13"/>
      <c r="S192" s="1"/>
      <c r="T192" s="1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43"/>
      <c r="M193" s="13"/>
      <c r="N193" s="13"/>
      <c r="O193" s="13"/>
      <c r="P193" s="13"/>
      <c r="Q193" s="13"/>
      <c r="R193" s="13"/>
      <c r="S193" s="1"/>
      <c r="T193" s="1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43"/>
      <c r="M194" s="13"/>
      <c r="N194" s="13"/>
      <c r="O194" s="13"/>
      <c r="P194" s="13"/>
      <c r="Q194" s="13"/>
      <c r="R194" s="13"/>
      <c r="S194" s="1"/>
      <c r="T194" s="1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43"/>
      <c r="M195" s="13"/>
      <c r="N195" s="13"/>
      <c r="O195" s="13"/>
      <c r="P195" s="13"/>
      <c r="Q195" s="13"/>
      <c r="R195" s="13"/>
      <c r="S195" s="1"/>
      <c r="T195" s="1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43"/>
      <c r="M196" s="13"/>
      <c r="N196" s="13"/>
      <c r="O196" s="13"/>
      <c r="P196" s="13"/>
      <c r="Q196" s="13"/>
      <c r="R196" s="13"/>
      <c r="S196" s="1"/>
      <c r="T196" s="1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43"/>
      <c r="M197" s="13"/>
      <c r="N197" s="13"/>
      <c r="O197" s="13"/>
      <c r="P197" s="13"/>
      <c r="Q197" s="13"/>
      <c r="R197" s="13"/>
      <c r="S197" s="1"/>
      <c r="T197" s="1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43"/>
      <c r="M198" s="13"/>
      <c r="N198" s="13"/>
      <c r="O198" s="13"/>
      <c r="P198" s="13"/>
      <c r="Q198" s="13"/>
      <c r="R198" s="13"/>
      <c r="S198" s="1"/>
      <c r="T198" s="1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43"/>
      <c r="M199" s="13"/>
      <c r="N199" s="13"/>
      <c r="O199" s="13"/>
      <c r="P199" s="13"/>
      <c r="Q199" s="13"/>
      <c r="R199" s="13"/>
      <c r="S199" s="1"/>
      <c r="T199" s="1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43"/>
      <c r="M200" s="13"/>
      <c r="N200" s="13"/>
      <c r="O200" s="13"/>
      <c r="P200" s="13"/>
      <c r="Q200" s="13"/>
      <c r="R200" s="13"/>
      <c r="S200" s="1"/>
      <c r="T200" s="1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43"/>
      <c r="M201" s="13"/>
      <c r="N201" s="13"/>
      <c r="O201" s="13"/>
      <c r="P201" s="13"/>
      <c r="Q201" s="13"/>
      <c r="R201" s="13"/>
      <c r="S201" s="1"/>
      <c r="T201" s="1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43"/>
      <c r="M202" s="13"/>
      <c r="N202" s="13"/>
      <c r="O202" s="13"/>
      <c r="P202" s="13"/>
      <c r="Q202" s="13"/>
      <c r="R202" s="13"/>
      <c r="S202" s="1"/>
      <c r="T202" s="1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43"/>
      <c r="M203" s="13"/>
      <c r="N203" s="13"/>
      <c r="O203" s="13"/>
      <c r="P203" s="13"/>
      <c r="Q203" s="13"/>
      <c r="R203" s="13"/>
      <c r="S203" s="1"/>
      <c r="T203" s="1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43"/>
      <c r="M204" s="13"/>
      <c r="N204" s="13"/>
      <c r="O204" s="13"/>
      <c r="P204" s="13"/>
      <c r="Q204" s="13"/>
      <c r="R204" s="13"/>
      <c r="S204" s="1"/>
      <c r="T204" s="1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43"/>
      <c r="M205" s="13"/>
      <c r="N205" s="13"/>
      <c r="O205" s="13"/>
      <c r="P205" s="13"/>
      <c r="Q205" s="13"/>
      <c r="R205" s="13"/>
      <c r="S205" s="1"/>
      <c r="T205" s="1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43"/>
      <c r="M206" s="13"/>
      <c r="N206" s="13"/>
      <c r="O206" s="13"/>
      <c r="P206" s="13"/>
      <c r="Q206" s="13"/>
      <c r="R206" s="13"/>
      <c r="S206" s="1"/>
      <c r="T206" s="1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43"/>
      <c r="M207" s="13"/>
      <c r="N207" s="13"/>
      <c r="O207" s="13"/>
      <c r="P207" s="13"/>
      <c r="Q207" s="13"/>
      <c r="R207" s="13"/>
      <c r="S207" s="1"/>
      <c r="T207" s="1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43"/>
      <c r="M208" s="13"/>
      <c r="N208" s="13"/>
      <c r="O208" s="13"/>
      <c r="P208" s="13"/>
      <c r="Q208" s="13"/>
      <c r="R208" s="13"/>
      <c r="S208" s="1"/>
      <c r="T208" s="1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43"/>
      <c r="M209" s="13"/>
      <c r="N209" s="13"/>
      <c r="O209" s="13"/>
      <c r="P209" s="13"/>
      <c r="Q209" s="13"/>
      <c r="R209" s="13"/>
      <c r="S209" s="1"/>
      <c r="T209" s="1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43"/>
      <c r="M210" s="13"/>
      <c r="N210" s="13"/>
      <c r="O210" s="13"/>
      <c r="P210" s="13"/>
      <c r="Q210" s="13"/>
      <c r="R210" s="13"/>
      <c r="S210" s="1"/>
      <c r="T210" s="1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43"/>
      <c r="M211" s="13"/>
      <c r="N211" s="13"/>
      <c r="O211" s="13"/>
      <c r="P211" s="13"/>
      <c r="Q211" s="13"/>
      <c r="R211" s="13"/>
      <c r="S211" s="1"/>
      <c r="T211" s="1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43"/>
      <c r="M212" s="13"/>
      <c r="N212" s="13"/>
      <c r="O212" s="13"/>
      <c r="P212" s="13"/>
      <c r="Q212" s="13"/>
      <c r="R212" s="13"/>
      <c r="S212" s="1"/>
      <c r="T212" s="1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43"/>
      <c r="M213" s="13"/>
      <c r="N213" s="13"/>
      <c r="O213" s="13"/>
      <c r="P213" s="13"/>
      <c r="Q213" s="13"/>
      <c r="R213" s="13"/>
      <c r="S213" s="1"/>
      <c r="T213" s="1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43"/>
      <c r="M214" s="13"/>
      <c r="N214" s="13"/>
      <c r="O214" s="13"/>
      <c r="P214" s="13"/>
      <c r="Q214" s="13"/>
      <c r="R214" s="13"/>
      <c r="S214" s="1"/>
      <c r="T214" s="1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43"/>
      <c r="M215" s="13"/>
      <c r="N215" s="13"/>
      <c r="O215" s="13"/>
      <c r="P215" s="13"/>
      <c r="Q215" s="13"/>
      <c r="R215" s="13"/>
      <c r="S215" s="1"/>
      <c r="T215" s="1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43"/>
      <c r="M216" s="13"/>
      <c r="N216" s="13"/>
      <c r="O216" s="13"/>
      <c r="P216" s="13"/>
      <c r="Q216" s="13"/>
      <c r="R216" s="13"/>
      <c r="S216" s="1"/>
      <c r="T216" s="1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43"/>
      <c r="M217" s="13"/>
      <c r="N217" s="13"/>
      <c r="O217" s="13"/>
      <c r="P217" s="13"/>
      <c r="Q217" s="13"/>
      <c r="R217" s="13"/>
      <c r="S217" s="1"/>
      <c r="T217" s="1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43"/>
      <c r="M218" s="13"/>
      <c r="N218" s="13"/>
      <c r="O218" s="13"/>
      <c r="P218" s="13"/>
      <c r="Q218" s="13"/>
      <c r="R218" s="13"/>
      <c r="S218" s="1"/>
      <c r="T218" s="1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43"/>
      <c r="M219" s="13"/>
      <c r="N219" s="13"/>
      <c r="O219" s="13"/>
      <c r="P219" s="13"/>
      <c r="Q219" s="13"/>
      <c r="R219" s="13"/>
      <c r="S219" s="1"/>
      <c r="T219" s="1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43"/>
      <c r="M220" s="13"/>
      <c r="N220" s="13"/>
      <c r="O220" s="13"/>
      <c r="P220" s="13"/>
      <c r="Q220" s="13"/>
      <c r="R220" s="13"/>
      <c r="S220" s="1"/>
      <c r="T220" s="1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  <c r="AR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  <c r="AR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  <c r="AR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1" t="s">
        <v>465</v>
      </c>
      <c r="B1" s="2" t="s">
        <v>466</v>
      </c>
      <c r="C1" s="2" t="s">
        <v>467</v>
      </c>
      <c r="D1" s="2" t="s">
        <v>468</v>
      </c>
      <c r="E1" s="2" t="s">
        <v>469</v>
      </c>
      <c r="F1" s="2" t="s">
        <v>470</v>
      </c>
      <c r="G1" s="34" t="s">
        <v>130</v>
      </c>
      <c r="H1" s="34" t="s">
        <v>471</v>
      </c>
      <c r="I1" s="34" t="s">
        <v>472</v>
      </c>
      <c r="J1" s="34" t="s">
        <v>473</v>
      </c>
      <c r="K1" s="34" t="s">
        <v>486</v>
      </c>
      <c r="L1" s="34" t="s">
        <v>503</v>
      </c>
      <c r="M1" s="34" t="s">
        <v>504</v>
      </c>
      <c r="N1" s="34" t="s">
        <v>490</v>
      </c>
      <c r="O1" s="34" t="s">
        <v>505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 t="s">
        <v>506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>
        <f>README!$F$2</f>
        <v>-1</v>
      </c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1" t="s">
        <v>465</v>
      </c>
      <c r="B1" s="2" t="s">
        <v>466</v>
      </c>
      <c r="C1" s="2" t="s">
        <v>467</v>
      </c>
      <c r="D1" s="2" t="s">
        <v>468</v>
      </c>
      <c r="E1" s="2" t="s">
        <v>469</v>
      </c>
      <c r="F1" s="2" t="s">
        <v>470</v>
      </c>
      <c r="G1" s="27" t="s">
        <v>130</v>
      </c>
      <c r="H1" s="27" t="s">
        <v>471</v>
      </c>
      <c r="I1" s="27" t="s">
        <v>472</v>
      </c>
      <c r="J1" s="27" t="s">
        <v>473</v>
      </c>
      <c r="K1" s="27" t="s">
        <v>486</v>
      </c>
      <c r="L1" s="27" t="s">
        <v>503</v>
      </c>
      <c r="M1" s="27" t="s">
        <v>504</v>
      </c>
      <c r="N1" s="34" t="s">
        <v>490</v>
      </c>
      <c r="O1" s="27" t="s">
        <v>505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</row>
    <row r="2">
      <c r="A2" s="27" t="s">
        <v>507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8">
        <f>README!$F$2</f>
        <v>-1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38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38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38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38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38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38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3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38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38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38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38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38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38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38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38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38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38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38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38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38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38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38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38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38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38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38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38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38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38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38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38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38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38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38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38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38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38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38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38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38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38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38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38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38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38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38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38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38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38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38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38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38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38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38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38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38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38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38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38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38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38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38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38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38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38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38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38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38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38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38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38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38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38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38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38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38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38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38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38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38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38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38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38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38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38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38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38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38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38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38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38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38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38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38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38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38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38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38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38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38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38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38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38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38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38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38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38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38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38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38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38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38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38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38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38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38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38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38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38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38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38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38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38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38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38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38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38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38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38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38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38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38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38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38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38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38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38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38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38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38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38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38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38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38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38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38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38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38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38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38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38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38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38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38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38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38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38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38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38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38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38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38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38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38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38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38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38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38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38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38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38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38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38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38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38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38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38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38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38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38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38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38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38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38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38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38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38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38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38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38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38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38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38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38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38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38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38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38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38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38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38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38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38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38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38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38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38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38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38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38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38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38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38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38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38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38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38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38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28"/>
      <c r="B221" s="24"/>
      <c r="C221" s="24"/>
      <c r="D221" s="24"/>
      <c r="E221" s="24"/>
      <c r="F221" s="24"/>
      <c r="G221" s="24"/>
      <c r="H221" s="24"/>
      <c r="I221" s="28"/>
      <c r="J221" s="28"/>
      <c r="K221" s="24"/>
      <c r="L221" s="24"/>
      <c r="M221" s="24"/>
      <c r="N221" s="39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28"/>
      <c r="B222" s="24"/>
      <c r="C222" s="24"/>
      <c r="D222" s="24"/>
      <c r="E222" s="24"/>
      <c r="F222" s="24"/>
      <c r="G222" s="24"/>
      <c r="H222" s="24"/>
      <c r="I222" s="28"/>
      <c r="J222" s="28"/>
      <c r="K222" s="24"/>
      <c r="L222" s="24"/>
      <c r="M222" s="24"/>
      <c r="N222" s="39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28"/>
      <c r="B223" s="24"/>
      <c r="C223" s="24"/>
      <c r="D223" s="24"/>
      <c r="E223" s="24"/>
      <c r="F223" s="24"/>
      <c r="G223" s="24"/>
      <c r="H223" s="24"/>
      <c r="I223" s="28"/>
      <c r="J223" s="28"/>
      <c r="K223" s="24"/>
      <c r="L223" s="24"/>
      <c r="M223" s="24"/>
      <c r="N223" s="39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28"/>
      <c r="B224" s="24"/>
      <c r="C224" s="24"/>
      <c r="D224" s="24"/>
      <c r="E224" s="24"/>
      <c r="F224" s="24"/>
      <c r="G224" s="24"/>
      <c r="H224" s="24"/>
      <c r="I224" s="28"/>
      <c r="J224" s="28"/>
      <c r="K224" s="24"/>
      <c r="L224" s="24"/>
      <c r="M224" s="24"/>
      <c r="N224" s="39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28"/>
      <c r="B225" s="24"/>
      <c r="C225" s="24"/>
      <c r="D225" s="24"/>
      <c r="E225" s="24"/>
      <c r="F225" s="24"/>
      <c r="G225" s="24"/>
      <c r="H225" s="24"/>
      <c r="I225" s="28"/>
      <c r="J225" s="28"/>
      <c r="K225" s="24"/>
      <c r="L225" s="24"/>
      <c r="M225" s="24"/>
      <c r="N225" s="39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28"/>
      <c r="B226" s="24"/>
      <c r="C226" s="24"/>
      <c r="D226" s="24"/>
      <c r="E226" s="24"/>
      <c r="F226" s="24"/>
      <c r="G226" s="24"/>
      <c r="H226" s="24"/>
      <c r="I226" s="28"/>
      <c r="J226" s="28"/>
      <c r="K226" s="24"/>
      <c r="L226" s="24"/>
      <c r="M226" s="24"/>
      <c r="N226" s="39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28"/>
      <c r="B227" s="24"/>
      <c r="C227" s="24"/>
      <c r="D227" s="24"/>
      <c r="E227" s="24"/>
      <c r="F227" s="24"/>
      <c r="G227" s="24"/>
      <c r="H227" s="24"/>
      <c r="I227" s="28"/>
      <c r="J227" s="28"/>
      <c r="K227" s="24"/>
      <c r="L227" s="24"/>
      <c r="M227" s="24"/>
      <c r="N227" s="39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28"/>
      <c r="B228" s="24"/>
      <c r="C228" s="24"/>
      <c r="D228" s="24"/>
      <c r="E228" s="24"/>
      <c r="F228" s="24"/>
      <c r="G228" s="24"/>
      <c r="H228" s="24"/>
      <c r="I228" s="28"/>
      <c r="J228" s="28"/>
      <c r="K228" s="24"/>
      <c r="L228" s="24"/>
      <c r="M228" s="24"/>
      <c r="N228" s="39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28"/>
      <c r="B229" s="24"/>
      <c r="C229" s="24"/>
      <c r="D229" s="24"/>
      <c r="E229" s="24"/>
      <c r="F229" s="24"/>
      <c r="G229" s="24"/>
      <c r="H229" s="24"/>
      <c r="I229" s="28"/>
      <c r="J229" s="28"/>
      <c r="K229" s="24"/>
      <c r="L229" s="24"/>
      <c r="M229" s="24"/>
      <c r="N229" s="39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28"/>
      <c r="B230" s="24"/>
      <c r="C230" s="24"/>
      <c r="D230" s="24"/>
      <c r="E230" s="24"/>
      <c r="F230" s="24"/>
      <c r="G230" s="24"/>
      <c r="H230" s="24"/>
      <c r="I230" s="28"/>
      <c r="J230" s="28"/>
      <c r="K230" s="24"/>
      <c r="L230" s="24"/>
      <c r="M230" s="24"/>
      <c r="N230" s="39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28"/>
      <c r="B231" s="24"/>
      <c r="C231" s="24"/>
      <c r="D231" s="24"/>
      <c r="E231" s="24"/>
      <c r="F231" s="24"/>
      <c r="G231" s="24"/>
      <c r="H231" s="24"/>
      <c r="I231" s="28"/>
      <c r="J231" s="28"/>
      <c r="K231" s="24"/>
      <c r="L231" s="24"/>
      <c r="M231" s="24"/>
      <c r="N231" s="39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28"/>
      <c r="B232" s="24"/>
      <c r="C232" s="24"/>
      <c r="D232" s="24"/>
      <c r="E232" s="24"/>
      <c r="F232" s="24"/>
      <c r="G232" s="24"/>
      <c r="H232" s="24"/>
      <c r="I232" s="28"/>
      <c r="J232" s="28"/>
      <c r="K232" s="24"/>
      <c r="L232" s="24"/>
      <c r="M232" s="24"/>
      <c r="N232" s="39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28"/>
      <c r="B233" s="24"/>
      <c r="C233" s="24"/>
      <c r="D233" s="24"/>
      <c r="E233" s="24"/>
      <c r="F233" s="24"/>
      <c r="G233" s="24"/>
      <c r="H233" s="24"/>
      <c r="I233" s="28"/>
      <c r="J233" s="28"/>
      <c r="K233" s="24"/>
      <c r="L233" s="24"/>
      <c r="M233" s="24"/>
      <c r="N233" s="39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28"/>
      <c r="B234" s="24"/>
      <c r="C234" s="24"/>
      <c r="D234" s="24"/>
      <c r="E234" s="24"/>
      <c r="F234" s="24"/>
      <c r="G234" s="24"/>
      <c r="H234" s="24"/>
      <c r="I234" s="28"/>
      <c r="J234" s="28"/>
      <c r="K234" s="24"/>
      <c r="L234" s="24"/>
      <c r="M234" s="24"/>
      <c r="N234" s="39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28"/>
      <c r="B235" s="24"/>
      <c r="C235" s="24"/>
      <c r="D235" s="24"/>
      <c r="E235" s="24"/>
      <c r="F235" s="24"/>
      <c r="G235" s="24"/>
      <c r="H235" s="24"/>
      <c r="I235" s="28"/>
      <c r="J235" s="28"/>
      <c r="K235" s="24"/>
      <c r="L235" s="24"/>
      <c r="M235" s="24"/>
      <c r="N235" s="39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28"/>
      <c r="B236" s="24"/>
      <c r="C236" s="24"/>
      <c r="D236" s="24"/>
      <c r="E236" s="24"/>
      <c r="F236" s="24"/>
      <c r="G236" s="24"/>
      <c r="H236" s="24"/>
      <c r="I236" s="28"/>
      <c r="J236" s="28"/>
      <c r="K236" s="24"/>
      <c r="L236" s="24"/>
      <c r="M236" s="24"/>
      <c r="N236" s="39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28"/>
      <c r="B237" s="24"/>
      <c r="C237" s="24"/>
      <c r="D237" s="24"/>
      <c r="E237" s="24"/>
      <c r="F237" s="24"/>
      <c r="G237" s="24"/>
      <c r="H237" s="24"/>
      <c r="I237" s="28"/>
      <c r="J237" s="28"/>
      <c r="K237" s="24"/>
      <c r="L237" s="24"/>
      <c r="M237" s="24"/>
      <c r="N237" s="39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28"/>
      <c r="B238" s="24"/>
      <c r="C238" s="24"/>
      <c r="D238" s="24"/>
      <c r="E238" s="24"/>
      <c r="F238" s="24"/>
      <c r="G238" s="24"/>
      <c r="H238" s="24"/>
      <c r="I238" s="28"/>
      <c r="J238" s="28"/>
      <c r="K238" s="24"/>
      <c r="L238" s="24"/>
      <c r="M238" s="24"/>
      <c r="N238" s="39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28"/>
      <c r="B239" s="24"/>
      <c r="C239" s="24"/>
      <c r="D239" s="24"/>
      <c r="E239" s="24"/>
      <c r="F239" s="24"/>
      <c r="G239" s="24"/>
      <c r="H239" s="24"/>
      <c r="I239" s="28"/>
      <c r="J239" s="28"/>
      <c r="K239" s="24"/>
      <c r="L239" s="24"/>
      <c r="M239" s="24"/>
      <c r="N239" s="39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28"/>
      <c r="B240" s="24"/>
      <c r="C240" s="24"/>
      <c r="D240" s="24"/>
      <c r="E240" s="24"/>
      <c r="F240" s="24"/>
      <c r="G240" s="24"/>
      <c r="H240" s="24"/>
      <c r="I240" s="28"/>
      <c r="J240" s="28"/>
      <c r="K240" s="24"/>
      <c r="L240" s="24"/>
      <c r="M240" s="24"/>
      <c r="N240" s="39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28"/>
      <c r="B241" s="24"/>
      <c r="C241" s="24"/>
      <c r="D241" s="24"/>
      <c r="E241" s="24"/>
      <c r="F241" s="24"/>
      <c r="G241" s="24"/>
      <c r="H241" s="24"/>
      <c r="I241" s="28"/>
      <c r="J241" s="28"/>
      <c r="K241" s="24"/>
      <c r="L241" s="24"/>
      <c r="M241" s="24"/>
      <c r="N241" s="39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28"/>
      <c r="B242" s="24"/>
      <c r="C242" s="24"/>
      <c r="D242" s="24"/>
      <c r="E242" s="24"/>
      <c r="F242" s="24"/>
      <c r="G242" s="24"/>
      <c r="H242" s="24"/>
      <c r="I242" s="28"/>
      <c r="J242" s="28"/>
      <c r="K242" s="24"/>
      <c r="L242" s="24"/>
      <c r="M242" s="24"/>
      <c r="N242" s="39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28"/>
      <c r="B243" s="24"/>
      <c r="C243" s="24"/>
      <c r="D243" s="24"/>
      <c r="E243" s="24"/>
      <c r="F243" s="24"/>
      <c r="G243" s="24"/>
      <c r="H243" s="24"/>
      <c r="I243" s="28"/>
      <c r="J243" s="28"/>
      <c r="K243" s="24"/>
      <c r="L243" s="24"/>
      <c r="M243" s="24"/>
      <c r="N243" s="39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28"/>
      <c r="B244" s="24"/>
      <c r="C244" s="24"/>
      <c r="D244" s="24"/>
      <c r="E244" s="24"/>
      <c r="F244" s="24"/>
      <c r="G244" s="24"/>
      <c r="H244" s="24"/>
      <c r="I244" s="28"/>
      <c r="J244" s="28"/>
      <c r="K244" s="24"/>
      <c r="L244" s="24"/>
      <c r="M244" s="24"/>
      <c r="N244" s="39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28"/>
      <c r="B245" s="24"/>
      <c r="C245" s="24"/>
      <c r="D245" s="24"/>
      <c r="E245" s="24"/>
      <c r="F245" s="24"/>
      <c r="G245" s="24"/>
      <c r="H245" s="24"/>
      <c r="I245" s="28"/>
      <c r="J245" s="28"/>
      <c r="K245" s="24"/>
      <c r="L245" s="24"/>
      <c r="M245" s="24"/>
      <c r="N245" s="39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28"/>
      <c r="B246" s="24"/>
      <c r="C246" s="24"/>
      <c r="D246" s="24"/>
      <c r="E246" s="24"/>
      <c r="F246" s="24"/>
      <c r="G246" s="24"/>
      <c r="H246" s="24"/>
      <c r="I246" s="28"/>
      <c r="J246" s="28"/>
      <c r="K246" s="24"/>
      <c r="L246" s="24"/>
      <c r="M246" s="24"/>
      <c r="N246" s="39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28"/>
      <c r="B247" s="24"/>
      <c r="C247" s="24"/>
      <c r="D247" s="24"/>
      <c r="E247" s="24"/>
      <c r="F247" s="24"/>
      <c r="G247" s="24"/>
      <c r="H247" s="24"/>
      <c r="I247" s="28"/>
      <c r="J247" s="28"/>
      <c r="K247" s="24"/>
      <c r="L247" s="24"/>
      <c r="M247" s="24"/>
      <c r="N247" s="39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28"/>
      <c r="B248" s="24"/>
      <c r="C248" s="24"/>
      <c r="D248" s="24"/>
      <c r="E248" s="24"/>
      <c r="F248" s="24"/>
      <c r="G248" s="24"/>
      <c r="H248" s="24"/>
      <c r="I248" s="28"/>
      <c r="J248" s="28"/>
      <c r="K248" s="24"/>
      <c r="L248" s="24"/>
      <c r="M248" s="24"/>
      <c r="N248" s="39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28"/>
      <c r="B249" s="24"/>
      <c r="C249" s="24"/>
      <c r="D249" s="24"/>
      <c r="E249" s="24"/>
      <c r="F249" s="24"/>
      <c r="G249" s="24"/>
      <c r="H249" s="24"/>
      <c r="I249" s="28"/>
      <c r="J249" s="28"/>
      <c r="K249" s="24"/>
      <c r="L249" s="24"/>
      <c r="M249" s="24"/>
      <c r="N249" s="39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28"/>
      <c r="B250" s="24"/>
      <c r="C250" s="24"/>
      <c r="D250" s="24"/>
      <c r="E250" s="24"/>
      <c r="F250" s="24"/>
      <c r="G250" s="24"/>
      <c r="H250" s="24"/>
      <c r="I250" s="28"/>
      <c r="J250" s="28"/>
      <c r="K250" s="24"/>
      <c r="L250" s="24"/>
      <c r="M250" s="24"/>
      <c r="N250" s="39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28"/>
      <c r="B251" s="24"/>
      <c r="C251" s="24"/>
      <c r="D251" s="24"/>
      <c r="E251" s="24"/>
      <c r="F251" s="24"/>
      <c r="G251" s="24"/>
      <c r="H251" s="24"/>
      <c r="I251" s="28"/>
      <c r="J251" s="28"/>
      <c r="K251" s="24"/>
      <c r="L251" s="24"/>
      <c r="M251" s="24"/>
      <c r="N251" s="39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28"/>
      <c r="B252" s="24"/>
      <c r="C252" s="24"/>
      <c r="D252" s="24"/>
      <c r="E252" s="24"/>
      <c r="F252" s="24"/>
      <c r="G252" s="24"/>
      <c r="H252" s="24"/>
      <c r="I252" s="28"/>
      <c r="J252" s="28"/>
      <c r="K252" s="24"/>
      <c r="L252" s="24"/>
      <c r="M252" s="24"/>
      <c r="N252" s="39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28"/>
      <c r="B253" s="24"/>
      <c r="C253" s="24"/>
      <c r="D253" s="24"/>
      <c r="E253" s="24"/>
      <c r="F253" s="24"/>
      <c r="G253" s="24"/>
      <c r="H253" s="24"/>
      <c r="I253" s="28"/>
      <c r="J253" s="28"/>
      <c r="K253" s="24"/>
      <c r="L253" s="24"/>
      <c r="M253" s="24"/>
      <c r="N253" s="39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28"/>
      <c r="B254" s="24"/>
      <c r="C254" s="24"/>
      <c r="D254" s="24"/>
      <c r="E254" s="24"/>
      <c r="F254" s="24"/>
      <c r="G254" s="24"/>
      <c r="H254" s="24"/>
      <c r="I254" s="28"/>
      <c r="J254" s="28"/>
      <c r="K254" s="24"/>
      <c r="L254" s="24"/>
      <c r="M254" s="24"/>
      <c r="N254" s="39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28"/>
      <c r="B255" s="24"/>
      <c r="C255" s="24"/>
      <c r="D255" s="24"/>
      <c r="E255" s="24"/>
      <c r="F255" s="24"/>
      <c r="G255" s="24"/>
      <c r="H255" s="24"/>
      <c r="I255" s="28"/>
      <c r="J255" s="28"/>
      <c r="K255" s="24"/>
      <c r="L255" s="24"/>
      <c r="M255" s="24"/>
      <c r="N255" s="39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28"/>
      <c r="B256" s="24"/>
      <c r="C256" s="24"/>
      <c r="D256" s="24"/>
      <c r="E256" s="24"/>
      <c r="F256" s="24"/>
      <c r="G256" s="24"/>
      <c r="H256" s="24"/>
      <c r="I256" s="28"/>
      <c r="J256" s="28"/>
      <c r="K256" s="24"/>
      <c r="L256" s="24"/>
      <c r="M256" s="24"/>
      <c r="N256" s="39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28"/>
      <c r="B257" s="24"/>
      <c r="C257" s="24"/>
      <c r="D257" s="24"/>
      <c r="E257" s="24"/>
      <c r="F257" s="24"/>
      <c r="G257" s="24"/>
      <c r="H257" s="24"/>
      <c r="I257" s="28"/>
      <c r="J257" s="28"/>
      <c r="K257" s="24"/>
      <c r="L257" s="24"/>
      <c r="M257" s="24"/>
      <c r="N257" s="39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28"/>
      <c r="B258" s="24"/>
      <c r="C258" s="24"/>
      <c r="D258" s="24"/>
      <c r="E258" s="24"/>
      <c r="F258" s="24"/>
      <c r="G258" s="24"/>
      <c r="H258" s="24"/>
      <c r="I258" s="28"/>
      <c r="J258" s="28"/>
      <c r="K258" s="24"/>
      <c r="L258" s="24"/>
      <c r="M258" s="24"/>
      <c r="N258" s="39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28"/>
      <c r="B259" s="24"/>
      <c r="C259" s="24"/>
      <c r="D259" s="24"/>
      <c r="E259" s="24"/>
      <c r="F259" s="24"/>
      <c r="G259" s="24"/>
      <c r="H259" s="24"/>
      <c r="I259" s="28"/>
      <c r="J259" s="28"/>
      <c r="K259" s="24"/>
      <c r="L259" s="24"/>
      <c r="M259" s="24"/>
      <c r="N259" s="39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28"/>
      <c r="B260" s="24"/>
      <c r="C260" s="24"/>
      <c r="D260" s="24"/>
      <c r="E260" s="24"/>
      <c r="F260" s="24"/>
      <c r="G260" s="24"/>
      <c r="H260" s="24"/>
      <c r="I260" s="28"/>
      <c r="J260" s="28"/>
      <c r="K260" s="24"/>
      <c r="L260" s="24"/>
      <c r="M260" s="24"/>
      <c r="N260" s="39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28"/>
      <c r="B261" s="24"/>
      <c r="C261" s="24"/>
      <c r="D261" s="24"/>
      <c r="E261" s="24"/>
      <c r="F261" s="24"/>
      <c r="G261" s="24"/>
      <c r="H261" s="24"/>
      <c r="I261" s="28"/>
      <c r="J261" s="28"/>
      <c r="K261" s="24"/>
      <c r="L261" s="24"/>
      <c r="M261" s="24"/>
      <c r="N261" s="39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28"/>
      <c r="B262" s="24"/>
      <c r="C262" s="24"/>
      <c r="D262" s="24"/>
      <c r="E262" s="24"/>
      <c r="F262" s="24"/>
      <c r="G262" s="24"/>
      <c r="H262" s="24"/>
      <c r="I262" s="28"/>
      <c r="J262" s="28"/>
      <c r="K262" s="24"/>
      <c r="L262" s="24"/>
      <c r="M262" s="24"/>
      <c r="N262" s="39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28"/>
      <c r="B263" s="24"/>
      <c r="C263" s="24"/>
      <c r="D263" s="24"/>
      <c r="E263" s="24"/>
      <c r="F263" s="24"/>
      <c r="G263" s="24"/>
      <c r="H263" s="24"/>
      <c r="I263" s="28"/>
      <c r="J263" s="28"/>
      <c r="K263" s="24"/>
      <c r="L263" s="24"/>
      <c r="M263" s="24"/>
      <c r="N263" s="39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28"/>
      <c r="B264" s="24"/>
      <c r="C264" s="24"/>
      <c r="D264" s="24"/>
      <c r="E264" s="24"/>
      <c r="F264" s="24"/>
      <c r="G264" s="24"/>
      <c r="H264" s="24"/>
      <c r="I264" s="28"/>
      <c r="J264" s="28"/>
      <c r="K264" s="24"/>
      <c r="L264" s="24"/>
      <c r="M264" s="24"/>
      <c r="N264" s="39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28"/>
      <c r="B265" s="24"/>
      <c r="C265" s="24"/>
      <c r="D265" s="24"/>
      <c r="E265" s="24"/>
      <c r="F265" s="24"/>
      <c r="G265" s="24"/>
      <c r="H265" s="24"/>
      <c r="I265" s="28"/>
      <c r="J265" s="28"/>
      <c r="K265" s="24"/>
      <c r="L265" s="24"/>
      <c r="M265" s="24"/>
      <c r="N265" s="39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28"/>
      <c r="B266" s="24"/>
      <c r="C266" s="24"/>
      <c r="D266" s="24"/>
      <c r="E266" s="24"/>
      <c r="F266" s="24"/>
      <c r="G266" s="24"/>
      <c r="H266" s="24"/>
      <c r="I266" s="28"/>
      <c r="J266" s="28"/>
      <c r="K266" s="24"/>
      <c r="L266" s="24"/>
      <c r="M266" s="24"/>
      <c r="N266" s="39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28"/>
      <c r="B267" s="24"/>
      <c r="C267" s="24"/>
      <c r="D267" s="24"/>
      <c r="E267" s="24"/>
      <c r="F267" s="24"/>
      <c r="G267" s="24"/>
      <c r="H267" s="24"/>
      <c r="I267" s="28"/>
      <c r="J267" s="28"/>
      <c r="K267" s="24"/>
      <c r="L267" s="24"/>
      <c r="M267" s="24"/>
      <c r="N267" s="39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28"/>
      <c r="B268" s="24"/>
      <c r="C268" s="24"/>
      <c r="D268" s="24"/>
      <c r="E268" s="24"/>
      <c r="F268" s="24"/>
      <c r="G268" s="24"/>
      <c r="H268" s="24"/>
      <c r="I268" s="28"/>
      <c r="J268" s="28"/>
      <c r="K268" s="24"/>
      <c r="L268" s="24"/>
      <c r="M268" s="24"/>
      <c r="N268" s="39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28"/>
      <c r="B269" s="24"/>
      <c r="C269" s="24"/>
      <c r="D269" s="24"/>
      <c r="E269" s="24"/>
      <c r="F269" s="24"/>
      <c r="G269" s="24"/>
      <c r="H269" s="24"/>
      <c r="I269" s="28"/>
      <c r="J269" s="28"/>
      <c r="K269" s="24"/>
      <c r="L269" s="24"/>
      <c r="M269" s="24"/>
      <c r="N269" s="39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28"/>
      <c r="B270" s="24"/>
      <c r="C270" s="24"/>
      <c r="D270" s="24"/>
      <c r="E270" s="24"/>
      <c r="F270" s="24"/>
      <c r="G270" s="24"/>
      <c r="H270" s="24"/>
      <c r="I270" s="28"/>
      <c r="J270" s="28"/>
      <c r="K270" s="24"/>
      <c r="L270" s="24"/>
      <c r="M270" s="24"/>
      <c r="N270" s="39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28"/>
      <c r="B271" s="24"/>
      <c r="C271" s="24"/>
      <c r="D271" s="24"/>
      <c r="E271" s="24"/>
      <c r="F271" s="24"/>
      <c r="G271" s="24"/>
      <c r="H271" s="24"/>
      <c r="I271" s="28"/>
      <c r="J271" s="28"/>
      <c r="K271" s="24"/>
      <c r="L271" s="24"/>
      <c r="M271" s="24"/>
      <c r="N271" s="39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28"/>
      <c r="B272" s="24"/>
      <c r="C272" s="24"/>
      <c r="D272" s="24"/>
      <c r="E272" s="24"/>
      <c r="F272" s="24"/>
      <c r="G272" s="24"/>
      <c r="H272" s="24"/>
      <c r="I272" s="28"/>
      <c r="J272" s="28"/>
      <c r="K272" s="24"/>
      <c r="L272" s="24"/>
      <c r="M272" s="24"/>
      <c r="N272" s="39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28"/>
      <c r="B273" s="24"/>
      <c r="C273" s="24"/>
      <c r="D273" s="24"/>
      <c r="E273" s="24"/>
      <c r="F273" s="24"/>
      <c r="G273" s="24"/>
      <c r="H273" s="24"/>
      <c r="I273" s="28"/>
      <c r="J273" s="28"/>
      <c r="K273" s="24"/>
      <c r="L273" s="24"/>
      <c r="M273" s="24"/>
      <c r="N273" s="39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28"/>
      <c r="B274" s="24"/>
      <c r="C274" s="24"/>
      <c r="D274" s="24"/>
      <c r="E274" s="24"/>
      <c r="F274" s="24"/>
      <c r="G274" s="24"/>
      <c r="H274" s="24"/>
      <c r="I274" s="28"/>
      <c r="J274" s="28"/>
      <c r="K274" s="24"/>
      <c r="L274" s="24"/>
      <c r="M274" s="24"/>
      <c r="N274" s="39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28"/>
      <c r="B275" s="24"/>
      <c r="C275" s="24"/>
      <c r="D275" s="24"/>
      <c r="E275" s="24"/>
      <c r="F275" s="24"/>
      <c r="G275" s="24"/>
      <c r="H275" s="24"/>
      <c r="I275" s="28"/>
      <c r="J275" s="28"/>
      <c r="K275" s="24"/>
      <c r="L275" s="24"/>
      <c r="M275" s="24"/>
      <c r="N275" s="39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28"/>
      <c r="B276" s="24"/>
      <c r="C276" s="24"/>
      <c r="D276" s="24"/>
      <c r="E276" s="24"/>
      <c r="F276" s="24"/>
      <c r="G276" s="24"/>
      <c r="H276" s="24"/>
      <c r="I276" s="28"/>
      <c r="J276" s="28"/>
      <c r="K276" s="24"/>
      <c r="L276" s="24"/>
      <c r="M276" s="24"/>
      <c r="N276" s="39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28"/>
      <c r="B277" s="24"/>
      <c r="C277" s="24"/>
      <c r="D277" s="24"/>
      <c r="E277" s="24"/>
      <c r="F277" s="24"/>
      <c r="G277" s="24"/>
      <c r="H277" s="24"/>
      <c r="I277" s="28"/>
      <c r="J277" s="28"/>
      <c r="K277" s="24"/>
      <c r="L277" s="24"/>
      <c r="M277" s="24"/>
      <c r="N277" s="39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28"/>
      <c r="B278" s="24"/>
      <c r="C278" s="24"/>
      <c r="D278" s="24"/>
      <c r="E278" s="24"/>
      <c r="F278" s="24"/>
      <c r="G278" s="24"/>
      <c r="H278" s="24"/>
      <c r="I278" s="28"/>
      <c r="J278" s="28"/>
      <c r="K278" s="24"/>
      <c r="L278" s="24"/>
      <c r="M278" s="24"/>
      <c r="N278" s="39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28"/>
      <c r="B279" s="24"/>
      <c r="C279" s="24"/>
      <c r="D279" s="24"/>
      <c r="E279" s="24"/>
      <c r="F279" s="24"/>
      <c r="G279" s="24"/>
      <c r="H279" s="24"/>
      <c r="I279" s="28"/>
      <c r="J279" s="28"/>
      <c r="K279" s="24"/>
      <c r="L279" s="24"/>
      <c r="M279" s="24"/>
      <c r="N279" s="39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28"/>
      <c r="B280" s="24"/>
      <c r="C280" s="24"/>
      <c r="D280" s="24"/>
      <c r="E280" s="24"/>
      <c r="F280" s="24"/>
      <c r="G280" s="24"/>
      <c r="H280" s="24"/>
      <c r="I280" s="28"/>
      <c r="J280" s="28"/>
      <c r="K280" s="24"/>
      <c r="L280" s="24"/>
      <c r="M280" s="24"/>
      <c r="N280" s="39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39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39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39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39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39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39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39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39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39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39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39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39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39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39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39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39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39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39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39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39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39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39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39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39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39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39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39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39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39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39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39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39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39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39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39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39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39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39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39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39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39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39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39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39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39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39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39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39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39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39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39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39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39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39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39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39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39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39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39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39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39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39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39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39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39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39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39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39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39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39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39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39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39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39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39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39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39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39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39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39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39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39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39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39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39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39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39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39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39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39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39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39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39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39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39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39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39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39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39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39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39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39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39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39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39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39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39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39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39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39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39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39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39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39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39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39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39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39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39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39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39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39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39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39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39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39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39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39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39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39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39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39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39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39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39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39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39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39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39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39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39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39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39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39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39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39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39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39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39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39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39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39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39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39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39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39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39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39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39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39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39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39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39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39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39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39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39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39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39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39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39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39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39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39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39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39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39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39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39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39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39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39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39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39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39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39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39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39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39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39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39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39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39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39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39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39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39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39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39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39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39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39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39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39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39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39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39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39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39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39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39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39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39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39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39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39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39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39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39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39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39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39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39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39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39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39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39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39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39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39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39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39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39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39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39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39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39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39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39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39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39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39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39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39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39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39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39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39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39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39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39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39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39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39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39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39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39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39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39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39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39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39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39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39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39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39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39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39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39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39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39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39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39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39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39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39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39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39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39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39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39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39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39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39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39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39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39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39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39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39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39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39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39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39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39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39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39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39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39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39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39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39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39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39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39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39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39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39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39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39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39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39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39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39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39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39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39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39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39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39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39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39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39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39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39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39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39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39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39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39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39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39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39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39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39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39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39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39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39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39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39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39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39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39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39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39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39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39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39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39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39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39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39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39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39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39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39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39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39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39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39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39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39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39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39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39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39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39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39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39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39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39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39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39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39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39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39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39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39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39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39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39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39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39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39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39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39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39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39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39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39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39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39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39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39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39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39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39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39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39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39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39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39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39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39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39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39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39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39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39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39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39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39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39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39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39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39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39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39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39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39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39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39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39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39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39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39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39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39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39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39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39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39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39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39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39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39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39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39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39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39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39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39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39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39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39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39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39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39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39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39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39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39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39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39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39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39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39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39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39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39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39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39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39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39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39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39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39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39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39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39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39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39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39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39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39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39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39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39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39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39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39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39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39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39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39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39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39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39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39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39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39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39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39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39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39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39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39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39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39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39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39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39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39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39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39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39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39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39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39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39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39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39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39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39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39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39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39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39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39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39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39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39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39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39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39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39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39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39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39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39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39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39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39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39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39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39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39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39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39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39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39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39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39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39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39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39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39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39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39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39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39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39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39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39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39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39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39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39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39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39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39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39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39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39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39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39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39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39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39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39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39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39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39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39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39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39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39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39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39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39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39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39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39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39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39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39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39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39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39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39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39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39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39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39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39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39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39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39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39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39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39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39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39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39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39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39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39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39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39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39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39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39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39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39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39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39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39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39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39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39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39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39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39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39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39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39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39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39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39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39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39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39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39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39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39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39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39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39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39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39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39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39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39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39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39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39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39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39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39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39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39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39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39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39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39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39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39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39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39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39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39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39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39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39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39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39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39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39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39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39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39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39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39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39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39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39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39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39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39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39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39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39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39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39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39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39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39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39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39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39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39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39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39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39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39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39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39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39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39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39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39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39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39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39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39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39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39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39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39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39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39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39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39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39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39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39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39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39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39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465</v>
      </c>
      <c r="B1" s="2" t="s">
        <v>466</v>
      </c>
      <c r="C1" s="2" t="s">
        <v>467</v>
      </c>
      <c r="D1" s="2" t="s">
        <v>468</v>
      </c>
      <c r="E1" s="2" t="s">
        <v>469</v>
      </c>
      <c r="F1" s="2" t="s">
        <v>470</v>
      </c>
      <c r="G1" s="34" t="s">
        <v>130</v>
      </c>
      <c r="H1" s="34" t="s">
        <v>471</v>
      </c>
      <c r="I1" s="34" t="s">
        <v>472</v>
      </c>
      <c r="J1" s="34" t="s">
        <v>473</v>
      </c>
      <c r="K1" s="34" t="s">
        <v>508</v>
      </c>
      <c r="L1" s="34" t="s">
        <v>509</v>
      </c>
      <c r="M1" s="34" t="s">
        <v>510</v>
      </c>
      <c r="N1" s="34" t="s">
        <v>511</v>
      </c>
      <c r="O1" s="34" t="s">
        <v>512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6"/>
      <c r="AH1" s="36"/>
    </row>
    <row r="2">
      <c r="A2" s="34" t="s">
        <v>513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 t="str">
        <f>JOIN(", ", 0, 0, 0)</f>
        <v>0, 0, 0</v>
      </c>
      <c r="O2" s="38">
        <f>README!$J$2</f>
        <v>-1</v>
      </c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9"/>
      <c r="AH2" s="39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9"/>
      <c r="AH3" s="39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9"/>
      <c r="AH4" s="39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9"/>
      <c r="AH5" s="39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9"/>
      <c r="AH6" s="39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9"/>
      <c r="AH7" s="39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9"/>
      <c r="AH8" s="39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9"/>
      <c r="AH9" s="39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9"/>
      <c r="AH10" s="39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9"/>
      <c r="AH11" s="39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9"/>
      <c r="AH12" s="39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9"/>
      <c r="AH13" s="39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9"/>
      <c r="AH14" s="39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9"/>
      <c r="AH15" s="39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9"/>
      <c r="AH16" s="39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9"/>
      <c r="AH17" s="39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9"/>
      <c r="AH18" s="39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9"/>
      <c r="AH19" s="39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9"/>
      <c r="AH20" s="39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9"/>
      <c r="AH21" s="39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9"/>
      <c r="AH22" s="39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9"/>
      <c r="AH23" s="39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9"/>
      <c r="AH24" s="39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9"/>
      <c r="AH25" s="39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9"/>
      <c r="AH26" s="39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9"/>
      <c r="AH27" s="39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9"/>
      <c r="AH28" s="39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9"/>
      <c r="AH29" s="39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9"/>
      <c r="AH30" s="39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9"/>
      <c r="AH31" s="39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9"/>
      <c r="AH32" s="39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9"/>
      <c r="AH33" s="39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9"/>
      <c r="AH34" s="39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9"/>
      <c r="AH35" s="39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9"/>
      <c r="AH36" s="39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9"/>
      <c r="AH37" s="39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9"/>
      <c r="AH38" s="39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9"/>
      <c r="AH39" s="39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9"/>
      <c r="AH40" s="39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9"/>
      <c r="AH41" s="39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9"/>
      <c r="AH42" s="39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9"/>
      <c r="AH43" s="39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9"/>
      <c r="AH44" s="39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9"/>
      <c r="AH45" s="39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9"/>
      <c r="AH46" s="39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9"/>
      <c r="AH47" s="39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9"/>
      <c r="AH48" s="39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9"/>
      <c r="AH49" s="39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9"/>
      <c r="AH50" s="39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9"/>
      <c r="AH51" s="39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9"/>
      <c r="AH52" s="39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9"/>
      <c r="AH53" s="39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9"/>
      <c r="AH54" s="39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9"/>
      <c r="AH55" s="39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9"/>
      <c r="AH56" s="39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9"/>
      <c r="AH57" s="39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9"/>
      <c r="AH58" s="39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9"/>
      <c r="AH59" s="39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9"/>
      <c r="AH60" s="39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9"/>
      <c r="AH61" s="39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9"/>
      <c r="AH62" s="39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9"/>
      <c r="AH63" s="39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9"/>
      <c r="AH64" s="39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9"/>
      <c r="AH65" s="39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9"/>
      <c r="AH66" s="39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9"/>
      <c r="AH67" s="39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9"/>
      <c r="AH68" s="39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9"/>
      <c r="AH69" s="39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9"/>
      <c r="AH70" s="39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9"/>
      <c r="AH71" s="39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9"/>
      <c r="AH72" s="39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9"/>
      <c r="AH73" s="39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9"/>
      <c r="AH74" s="39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9"/>
      <c r="AH75" s="39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9"/>
      <c r="AH76" s="39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9"/>
      <c r="AH77" s="39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9"/>
      <c r="AH78" s="39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9"/>
      <c r="AH79" s="39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9"/>
      <c r="AH80" s="39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9"/>
      <c r="AH81" s="39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9"/>
      <c r="AH82" s="39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9"/>
      <c r="AH83" s="39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9"/>
      <c r="AH84" s="39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9"/>
      <c r="AH85" s="39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9"/>
      <c r="AH86" s="39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9"/>
      <c r="AH87" s="39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9"/>
      <c r="AH88" s="39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9"/>
      <c r="AH89" s="39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9"/>
      <c r="AH90" s="39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9"/>
      <c r="AH91" s="39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9"/>
      <c r="AH92" s="39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9"/>
      <c r="AH93" s="39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9"/>
      <c r="AH94" s="39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9"/>
      <c r="AH95" s="39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9"/>
      <c r="AH96" s="39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9"/>
      <c r="AH97" s="39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9"/>
      <c r="AH98" s="39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9"/>
      <c r="AH99" s="39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9"/>
      <c r="AH100" s="39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9"/>
      <c r="AH101" s="39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9"/>
      <c r="AH102" s="39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9"/>
      <c r="AH103" s="39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9"/>
      <c r="AH104" s="39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9"/>
      <c r="AH105" s="39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9"/>
      <c r="AH106" s="39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9"/>
      <c r="AH107" s="39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9"/>
      <c r="AH108" s="39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9"/>
      <c r="AH109" s="39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9"/>
      <c r="AH110" s="39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9"/>
      <c r="AH111" s="39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9"/>
      <c r="AH112" s="39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9"/>
      <c r="AH113" s="39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9"/>
      <c r="AH114" s="39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9"/>
      <c r="AH115" s="39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9"/>
      <c r="AH116" s="39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9"/>
      <c r="AH117" s="39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9"/>
      <c r="AH118" s="39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9"/>
      <c r="AH119" s="39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9"/>
      <c r="AH120" s="39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9"/>
      <c r="AH121" s="39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9"/>
      <c r="AH122" s="39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9"/>
      <c r="AH123" s="39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9"/>
      <c r="AH124" s="39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9"/>
      <c r="AH125" s="39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9"/>
      <c r="AH126" s="39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9"/>
      <c r="AH127" s="39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9"/>
      <c r="AH128" s="39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9"/>
      <c r="AH129" s="39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9"/>
      <c r="AH130" s="39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9"/>
      <c r="AH131" s="39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9"/>
      <c r="AH132" s="39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9"/>
      <c r="AH133" s="39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9"/>
      <c r="AH134" s="39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9"/>
      <c r="AH135" s="39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9"/>
      <c r="AH136" s="39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9"/>
      <c r="AH137" s="39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9"/>
      <c r="AH138" s="39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9"/>
      <c r="AH139" s="39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9"/>
      <c r="AH140" s="39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9"/>
      <c r="AH141" s="39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9"/>
      <c r="AH142" s="39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9"/>
      <c r="AH143" s="39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9"/>
      <c r="AH144" s="39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9"/>
      <c r="AH145" s="39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9"/>
      <c r="AH146" s="39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9"/>
      <c r="AH147" s="39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9"/>
      <c r="AH148" s="39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9"/>
      <c r="AH149" s="39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9"/>
      <c r="AH150" s="39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9"/>
      <c r="AH151" s="39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9"/>
      <c r="AH152" s="39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9"/>
      <c r="AH153" s="39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9"/>
      <c r="AH154" s="39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9"/>
      <c r="AH155" s="39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9"/>
      <c r="AH156" s="39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9"/>
      <c r="AH157" s="39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9"/>
      <c r="AH158" s="39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9"/>
      <c r="AH159" s="39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9"/>
      <c r="AH160" s="39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9"/>
      <c r="AH161" s="39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9"/>
      <c r="AH162" s="39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9"/>
      <c r="AH163" s="39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9"/>
      <c r="AH164" s="39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9"/>
      <c r="AH165" s="39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9"/>
      <c r="AH166" s="39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9"/>
      <c r="AH167" s="39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9"/>
      <c r="AH168" s="39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9"/>
      <c r="AH169" s="39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9"/>
      <c r="AH170" s="39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9"/>
      <c r="AH171" s="39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9"/>
      <c r="AH172" s="39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9"/>
      <c r="AH173" s="39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9"/>
      <c r="AH174" s="39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9"/>
      <c r="AH175" s="39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9"/>
      <c r="AH176" s="39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9"/>
      <c r="AH177" s="39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9"/>
      <c r="AH178" s="39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9"/>
      <c r="AH179" s="39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9"/>
      <c r="AH180" s="39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9"/>
      <c r="AH181" s="39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9"/>
      <c r="AH182" s="39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9"/>
      <c r="AH183" s="39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9"/>
      <c r="AH184" s="39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9"/>
      <c r="AH185" s="39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9"/>
      <c r="AH186" s="39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9"/>
      <c r="AH187" s="39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9"/>
      <c r="AH188" s="39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9"/>
      <c r="AH189" s="39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9"/>
      <c r="AH190" s="39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9"/>
      <c r="AH191" s="39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9"/>
      <c r="AH192" s="39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9"/>
      <c r="AH193" s="39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9"/>
      <c r="AH194" s="39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9"/>
      <c r="AH195" s="39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9"/>
      <c r="AH196" s="39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9"/>
      <c r="AH197" s="39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9"/>
      <c r="AH198" s="39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9"/>
      <c r="AH199" s="39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9"/>
      <c r="AH200" s="39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9"/>
      <c r="AH201" s="39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9"/>
      <c r="AH202" s="39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9"/>
      <c r="AH203" s="39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9"/>
      <c r="AH204" s="39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9"/>
      <c r="AH205" s="39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9"/>
      <c r="AH206" s="39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9"/>
      <c r="AH207" s="39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9"/>
      <c r="AH208" s="39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9"/>
      <c r="AH209" s="39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9"/>
      <c r="AH210" s="39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9"/>
      <c r="AH211" s="39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9"/>
      <c r="AH212" s="39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9"/>
      <c r="AH213" s="39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9"/>
      <c r="AH214" s="39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9"/>
      <c r="AH215" s="39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9"/>
      <c r="AH216" s="39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9"/>
      <c r="AH217" s="39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9"/>
      <c r="AH218" s="39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9"/>
      <c r="AH219" s="39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9"/>
      <c r="AH220" s="39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465</v>
      </c>
      <c r="B1" s="2" t="s">
        <v>466</v>
      </c>
      <c r="C1" s="2" t="s">
        <v>467</v>
      </c>
      <c r="D1" s="2" t="s">
        <v>468</v>
      </c>
      <c r="E1" s="2" t="s">
        <v>469</v>
      </c>
      <c r="F1" s="2" t="s">
        <v>470</v>
      </c>
      <c r="G1" s="27" t="s">
        <v>130</v>
      </c>
      <c r="H1" s="27" t="s">
        <v>471</v>
      </c>
      <c r="I1" s="27" t="s">
        <v>472</v>
      </c>
      <c r="J1" s="27" t="s">
        <v>473</v>
      </c>
      <c r="K1" s="27" t="s">
        <v>508</v>
      </c>
      <c r="L1" s="27" t="s">
        <v>509</v>
      </c>
      <c r="M1" s="27" t="s">
        <v>510</v>
      </c>
      <c r="N1" s="27" t="s">
        <v>511</v>
      </c>
      <c r="O1" s="34" t="s">
        <v>512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8"/>
      <c r="AH1" s="28"/>
    </row>
    <row r="2">
      <c r="A2" s="27" t="s">
        <v>514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0, 0, 0)</f>
        <v>0, 0, 0</v>
      </c>
      <c r="O2" s="38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24"/>
      <c r="AH2" s="24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8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24"/>
      <c r="AH3" s="24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8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24"/>
      <c r="AH4" s="24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8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24"/>
      <c r="AH5" s="24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8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24"/>
      <c r="AH6" s="24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8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24"/>
      <c r="AH7" s="24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8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24"/>
      <c r="AH8" s="24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8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24"/>
      <c r="AH9" s="24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8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24"/>
      <c r="AH10" s="24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8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24"/>
      <c r="AH11" s="24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8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24"/>
      <c r="AH12" s="24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8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24"/>
      <c r="AH13" s="24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8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24"/>
      <c r="AH14" s="24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8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24"/>
      <c r="AH15" s="24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8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24"/>
      <c r="AH16" s="24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8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24"/>
      <c r="AH17" s="24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8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24"/>
      <c r="AH18" s="24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8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24"/>
      <c r="AH19" s="24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8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24"/>
      <c r="AH20" s="24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8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24"/>
      <c r="AH21" s="24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8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24"/>
      <c r="AH22" s="24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8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24"/>
      <c r="AH23" s="24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8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24"/>
      <c r="AH24" s="24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8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24"/>
      <c r="AH25" s="24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8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24"/>
      <c r="AH26" s="24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8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24"/>
      <c r="AH27" s="24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8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24"/>
      <c r="AH28" s="24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8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24"/>
      <c r="AH29" s="24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8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24"/>
      <c r="AH30" s="24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8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24"/>
      <c r="AH31" s="24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8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24"/>
      <c r="AH32" s="24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8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24"/>
      <c r="AH33" s="24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8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24"/>
      <c r="AH34" s="24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8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24"/>
      <c r="AH35" s="24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8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24"/>
      <c r="AH36" s="24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8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24"/>
      <c r="AH37" s="24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8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24"/>
      <c r="AH38" s="24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8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24"/>
      <c r="AH39" s="24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8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24"/>
      <c r="AH40" s="24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8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24"/>
      <c r="AH41" s="24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8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24"/>
      <c r="AH42" s="24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8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24"/>
      <c r="AH43" s="24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8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24"/>
      <c r="AH44" s="24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8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24"/>
      <c r="AH45" s="24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8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24"/>
      <c r="AH46" s="24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8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24"/>
      <c r="AH47" s="24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8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24"/>
      <c r="AH48" s="24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8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24"/>
      <c r="AH49" s="24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8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24"/>
      <c r="AH50" s="24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8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24"/>
      <c r="AH51" s="24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8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24"/>
      <c r="AH52" s="24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8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24"/>
      <c r="AH53" s="24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8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24"/>
      <c r="AH54" s="24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8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24"/>
      <c r="AH55" s="24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8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24"/>
      <c r="AH56" s="24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8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24"/>
      <c r="AH57" s="24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8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24"/>
      <c r="AH58" s="24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8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24"/>
      <c r="AH59" s="24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8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24"/>
      <c r="AH60" s="24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8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24"/>
      <c r="AH61" s="24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8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24"/>
      <c r="AH62" s="24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8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24"/>
      <c r="AH63" s="24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8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24"/>
      <c r="AH64" s="24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8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24"/>
      <c r="AH65" s="24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8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24"/>
      <c r="AH66" s="24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8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24"/>
      <c r="AH67" s="24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8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24"/>
      <c r="AH68" s="24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8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24"/>
      <c r="AH69" s="24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8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24"/>
      <c r="AH70" s="24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8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24"/>
      <c r="AH71" s="24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8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24"/>
      <c r="AH72" s="24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8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24"/>
      <c r="AH73" s="24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8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24"/>
      <c r="AH74" s="24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24"/>
      <c r="AH75" s="24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8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24"/>
      <c r="AH76" s="24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8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24"/>
      <c r="AH77" s="24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8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24"/>
      <c r="AH78" s="24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8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24"/>
      <c r="AH79" s="24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8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24"/>
      <c r="AH80" s="24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8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24"/>
      <c r="AH81" s="24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8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24"/>
      <c r="AH82" s="24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8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24"/>
      <c r="AH83" s="24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8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24"/>
      <c r="AH84" s="24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8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24"/>
      <c r="AH85" s="24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8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24"/>
      <c r="AH86" s="24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8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24"/>
      <c r="AH87" s="24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8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24"/>
      <c r="AH88" s="24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8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24"/>
      <c r="AH89" s="24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8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24"/>
      <c r="AH90" s="24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8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24"/>
      <c r="AH91" s="24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8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24"/>
      <c r="AH92" s="24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8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24"/>
      <c r="AH93" s="24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8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24"/>
      <c r="AH94" s="24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8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24"/>
      <c r="AH95" s="24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8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24"/>
      <c r="AH96" s="24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8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24"/>
      <c r="AH97" s="24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8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24"/>
      <c r="AH98" s="24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8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24"/>
      <c r="AH99" s="24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8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24"/>
      <c r="AH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8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24"/>
      <c r="AH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8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24"/>
      <c r="AH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8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24"/>
      <c r="AH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8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24"/>
      <c r="AH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8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24"/>
      <c r="AH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8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24"/>
      <c r="AH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8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24"/>
      <c r="AH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8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24"/>
      <c r="AH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8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24"/>
      <c r="AH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8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24"/>
      <c r="AH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8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24"/>
      <c r="AH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8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24"/>
      <c r="AH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8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24"/>
      <c r="AH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8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24"/>
      <c r="AH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8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24"/>
      <c r="AH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8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24"/>
      <c r="AH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8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24"/>
      <c r="AH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8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24"/>
      <c r="AH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8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24"/>
      <c r="AH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8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24"/>
      <c r="AH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8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24"/>
      <c r="AH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8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24"/>
      <c r="AH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8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24"/>
      <c r="AH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8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24"/>
      <c r="AH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8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24"/>
      <c r="AH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8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24"/>
      <c r="AH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8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24"/>
      <c r="AH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8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24"/>
      <c r="AH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8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24"/>
      <c r="AH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8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24"/>
      <c r="AH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8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24"/>
      <c r="AH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8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24"/>
      <c r="AH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8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24"/>
      <c r="AH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8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24"/>
      <c r="AH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8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24"/>
      <c r="AH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8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24"/>
      <c r="AH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8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24"/>
      <c r="AH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8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24"/>
      <c r="AH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8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24"/>
      <c r="AH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8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24"/>
      <c r="AH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8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24"/>
      <c r="AH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8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24"/>
      <c r="AH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8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24"/>
      <c r="AH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8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24"/>
      <c r="AH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8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24"/>
      <c r="AH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8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24"/>
      <c r="AH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8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24"/>
      <c r="AH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8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24"/>
      <c r="AH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8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24"/>
      <c r="AH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8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24"/>
      <c r="AH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8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24"/>
      <c r="AH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8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24"/>
      <c r="AH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8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24"/>
      <c r="AH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8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24"/>
      <c r="AH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8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24"/>
      <c r="AH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8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24"/>
      <c r="AH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8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24"/>
      <c r="AH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8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24"/>
      <c r="AH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8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24"/>
      <c r="AH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8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24"/>
      <c r="AH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8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24"/>
      <c r="AH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8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24"/>
      <c r="AH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8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24"/>
      <c r="AH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8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24"/>
      <c r="AH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8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24"/>
      <c r="AH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8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24"/>
      <c r="AH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8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24"/>
      <c r="AH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8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24"/>
      <c r="AH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8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24"/>
      <c r="AH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8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24"/>
      <c r="AH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8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24"/>
      <c r="AH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8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24"/>
      <c r="AH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8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24"/>
      <c r="AH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8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24"/>
      <c r="AH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8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24"/>
      <c r="AH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8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24"/>
      <c r="AH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8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24"/>
      <c r="AH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8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24"/>
      <c r="AH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8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24"/>
      <c r="AH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8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24"/>
      <c r="AH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8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24"/>
      <c r="AH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8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24"/>
      <c r="AH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8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24"/>
      <c r="AH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8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24"/>
      <c r="AH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8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24"/>
      <c r="AH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8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24"/>
      <c r="AH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8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24"/>
      <c r="AH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8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24"/>
      <c r="AH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8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24"/>
      <c r="AH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8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24"/>
      <c r="AH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8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24"/>
      <c r="AH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8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24"/>
      <c r="AH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8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24"/>
      <c r="AH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8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24"/>
      <c r="AH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8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24"/>
      <c r="AH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8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24"/>
      <c r="AH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8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24"/>
      <c r="AH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8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24"/>
      <c r="AH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8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24"/>
      <c r="AH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8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24"/>
      <c r="AH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8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24"/>
      <c r="AH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8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24"/>
      <c r="AH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8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24"/>
      <c r="AH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8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24"/>
      <c r="AH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8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24"/>
      <c r="AH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8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24"/>
      <c r="AH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8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24"/>
      <c r="AH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8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24"/>
      <c r="AH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8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24"/>
      <c r="AH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8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24"/>
      <c r="AH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8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24"/>
      <c r="AH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8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24"/>
      <c r="AH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8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24"/>
      <c r="AH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8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24"/>
      <c r="AH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8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24"/>
      <c r="AH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8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24"/>
      <c r="AH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8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24"/>
      <c r="AH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8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24"/>
      <c r="AH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8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24"/>
      <c r="AH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8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24"/>
      <c r="AH220" s="24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465</v>
      </c>
      <c r="B1" s="2" t="s">
        <v>466</v>
      </c>
      <c r="C1" s="2" t="s">
        <v>467</v>
      </c>
      <c r="D1" s="2" t="s">
        <v>468</v>
      </c>
      <c r="E1" s="2" t="s">
        <v>469</v>
      </c>
      <c r="F1" s="2" t="s">
        <v>470</v>
      </c>
      <c r="G1" s="27" t="s">
        <v>130</v>
      </c>
      <c r="H1" s="27" t="s">
        <v>471</v>
      </c>
      <c r="I1" s="27" t="s">
        <v>472</v>
      </c>
      <c r="J1" s="27" t="s">
        <v>473</v>
      </c>
      <c r="K1" s="27" t="s">
        <v>508</v>
      </c>
      <c r="L1" s="27" t="s">
        <v>509</v>
      </c>
      <c r="M1" s="27" t="s">
        <v>510</v>
      </c>
      <c r="N1" s="27" t="s">
        <v>511</v>
      </c>
      <c r="O1" s="34" t="s">
        <v>512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8"/>
      <c r="AG1" s="28"/>
      <c r="AH1" s="36"/>
    </row>
    <row r="2">
      <c r="A2" s="27" t="s">
        <v>515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0, 0, 0)</f>
        <v>0, 0, 0</v>
      </c>
      <c r="O2" s="38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24"/>
      <c r="AG2" s="24"/>
      <c r="AH2" s="39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8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24"/>
      <c r="AG3" s="24"/>
      <c r="AH3" s="39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8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24"/>
      <c r="AG4" s="24"/>
      <c r="AH4" s="39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8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24"/>
      <c r="AG5" s="24"/>
      <c r="AH5" s="39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8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24"/>
      <c r="AG6" s="24"/>
      <c r="AH6" s="39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8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24"/>
      <c r="AG7" s="24"/>
      <c r="AH7" s="39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8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24"/>
      <c r="AG8" s="24"/>
      <c r="AH8" s="39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8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24"/>
      <c r="AG9" s="24"/>
      <c r="AH9" s="39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8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24"/>
      <c r="AG10" s="24"/>
      <c r="AH10" s="39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8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24"/>
      <c r="AG11" s="24"/>
      <c r="AH11" s="39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8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24"/>
      <c r="AG12" s="24"/>
      <c r="AH12" s="39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8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24"/>
      <c r="AG13" s="24"/>
      <c r="AH13" s="39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8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24"/>
      <c r="AG14" s="24"/>
      <c r="AH14" s="39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8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24"/>
      <c r="AG15" s="24"/>
      <c r="AH15" s="39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8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24"/>
      <c r="AG16" s="24"/>
      <c r="AH16" s="39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8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24"/>
      <c r="AG17" s="24"/>
      <c r="AH17" s="39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8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24"/>
      <c r="AG18" s="24"/>
      <c r="AH18" s="39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8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24"/>
      <c r="AG19" s="24"/>
      <c r="AH19" s="39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8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24"/>
      <c r="AG20" s="24"/>
      <c r="AH20" s="39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8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24"/>
      <c r="AG21" s="24"/>
      <c r="AH21" s="39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8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24"/>
      <c r="AG22" s="24"/>
      <c r="AH22" s="39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8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24"/>
      <c r="AG23" s="24"/>
      <c r="AH23" s="39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8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24"/>
      <c r="AG24" s="24"/>
      <c r="AH24" s="39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8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24"/>
      <c r="AG25" s="24"/>
      <c r="AH25" s="39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8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24"/>
      <c r="AG26" s="24"/>
      <c r="AH26" s="39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8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24"/>
      <c r="AG27" s="24"/>
      <c r="AH27" s="39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8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24"/>
      <c r="AG28" s="24"/>
      <c r="AH28" s="39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8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24"/>
      <c r="AG29" s="24"/>
      <c r="AH29" s="39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8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24"/>
      <c r="AG30" s="24"/>
      <c r="AH30" s="39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8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24"/>
      <c r="AG31" s="24"/>
      <c r="AH31" s="39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8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24"/>
      <c r="AG32" s="24"/>
      <c r="AH32" s="39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8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24"/>
      <c r="AG33" s="24"/>
      <c r="AH33" s="39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8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24"/>
      <c r="AG34" s="24"/>
      <c r="AH34" s="39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8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24"/>
      <c r="AG35" s="24"/>
      <c r="AH35" s="39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8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24"/>
      <c r="AG36" s="24"/>
      <c r="AH36" s="39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8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24"/>
      <c r="AG37" s="24"/>
      <c r="AH37" s="39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8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24"/>
      <c r="AG38" s="24"/>
      <c r="AH38" s="39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8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24"/>
      <c r="AG39" s="24"/>
      <c r="AH39" s="39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8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24"/>
      <c r="AG40" s="24"/>
      <c r="AH40" s="39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8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24"/>
      <c r="AG41" s="24"/>
      <c r="AH41" s="39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8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24"/>
      <c r="AG42" s="24"/>
      <c r="AH42" s="39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8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24"/>
      <c r="AG43" s="24"/>
      <c r="AH43" s="39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8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24"/>
      <c r="AG44" s="24"/>
      <c r="AH44" s="39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8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24"/>
      <c r="AG45" s="24"/>
      <c r="AH45" s="39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8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24"/>
      <c r="AG46" s="24"/>
      <c r="AH46" s="39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8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24"/>
      <c r="AG47" s="24"/>
      <c r="AH47" s="39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8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24"/>
      <c r="AG48" s="24"/>
      <c r="AH48" s="39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8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24"/>
      <c r="AG49" s="24"/>
      <c r="AH49" s="39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8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24"/>
      <c r="AG50" s="24"/>
      <c r="AH50" s="39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8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24"/>
      <c r="AG51" s="24"/>
      <c r="AH51" s="39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8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24"/>
      <c r="AG52" s="24"/>
      <c r="AH52" s="39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8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24"/>
      <c r="AG53" s="24"/>
      <c r="AH53" s="39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8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24"/>
      <c r="AG54" s="24"/>
      <c r="AH54" s="39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8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24"/>
      <c r="AG55" s="24"/>
      <c r="AH55" s="39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8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24"/>
      <c r="AG56" s="24"/>
      <c r="AH56" s="39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8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24"/>
      <c r="AG57" s="24"/>
      <c r="AH57" s="39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8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24"/>
      <c r="AG58" s="24"/>
      <c r="AH58" s="39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8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24"/>
      <c r="AG59" s="24"/>
      <c r="AH59" s="39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8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24"/>
      <c r="AG60" s="24"/>
      <c r="AH60" s="39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8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24"/>
      <c r="AG61" s="24"/>
      <c r="AH61" s="39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8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24"/>
      <c r="AG62" s="24"/>
      <c r="AH62" s="39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8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24"/>
      <c r="AG63" s="24"/>
      <c r="AH63" s="39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8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24"/>
      <c r="AG64" s="24"/>
      <c r="AH64" s="39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8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24"/>
      <c r="AG65" s="24"/>
      <c r="AH65" s="39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8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24"/>
      <c r="AG66" s="24"/>
      <c r="AH66" s="39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8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24"/>
      <c r="AG67" s="24"/>
      <c r="AH67" s="39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8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24"/>
      <c r="AG68" s="24"/>
      <c r="AH68" s="39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8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24"/>
      <c r="AG69" s="24"/>
      <c r="AH69" s="39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8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24"/>
      <c r="AG70" s="24"/>
      <c r="AH70" s="39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8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24"/>
      <c r="AG71" s="24"/>
      <c r="AH71" s="39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8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24"/>
      <c r="AG72" s="24"/>
      <c r="AH72" s="39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8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24"/>
      <c r="AG73" s="24"/>
      <c r="AH73" s="39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8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24"/>
      <c r="AG74" s="24"/>
      <c r="AH74" s="39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24"/>
      <c r="AG75" s="24"/>
      <c r="AH75" s="39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8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24"/>
      <c r="AG76" s="24"/>
      <c r="AH76" s="39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8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24"/>
      <c r="AG77" s="24"/>
      <c r="AH77" s="39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8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24"/>
      <c r="AG78" s="24"/>
      <c r="AH78" s="39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8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24"/>
      <c r="AG79" s="24"/>
      <c r="AH79" s="39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8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24"/>
      <c r="AG80" s="24"/>
      <c r="AH80" s="39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8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24"/>
      <c r="AG81" s="24"/>
      <c r="AH81" s="39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8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24"/>
      <c r="AG82" s="24"/>
      <c r="AH82" s="39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8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24"/>
      <c r="AG83" s="24"/>
      <c r="AH83" s="39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8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24"/>
      <c r="AG84" s="24"/>
      <c r="AH84" s="39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8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24"/>
      <c r="AG85" s="24"/>
      <c r="AH85" s="39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8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24"/>
      <c r="AG86" s="24"/>
      <c r="AH86" s="39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8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24"/>
      <c r="AG87" s="24"/>
      <c r="AH87" s="39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8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24"/>
      <c r="AG88" s="24"/>
      <c r="AH88" s="39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8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24"/>
      <c r="AG89" s="24"/>
      <c r="AH89" s="39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8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24"/>
      <c r="AG90" s="24"/>
      <c r="AH90" s="39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8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24"/>
      <c r="AG91" s="24"/>
      <c r="AH91" s="39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8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24"/>
      <c r="AG92" s="24"/>
      <c r="AH92" s="39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8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24"/>
      <c r="AG93" s="24"/>
      <c r="AH93" s="39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8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24"/>
      <c r="AG94" s="24"/>
      <c r="AH94" s="39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8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24"/>
      <c r="AG95" s="24"/>
      <c r="AH95" s="39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8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24"/>
      <c r="AG96" s="24"/>
      <c r="AH96" s="39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8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24"/>
      <c r="AG97" s="24"/>
      <c r="AH97" s="39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8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24"/>
      <c r="AG98" s="24"/>
      <c r="AH98" s="39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8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24"/>
      <c r="AG99" s="24"/>
      <c r="AH99" s="39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8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24"/>
      <c r="AG100" s="24"/>
      <c r="AH100" s="39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8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24"/>
      <c r="AG101" s="24"/>
      <c r="AH101" s="39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8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24"/>
      <c r="AG102" s="24"/>
      <c r="AH102" s="39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8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24"/>
      <c r="AG103" s="24"/>
      <c r="AH103" s="39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8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24"/>
      <c r="AG104" s="24"/>
      <c r="AH104" s="39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8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24"/>
      <c r="AG105" s="24"/>
      <c r="AH105" s="39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8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24"/>
      <c r="AG106" s="24"/>
      <c r="AH106" s="39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8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24"/>
      <c r="AG107" s="24"/>
      <c r="AH107" s="39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8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24"/>
      <c r="AG108" s="24"/>
      <c r="AH108" s="39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8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24"/>
      <c r="AG109" s="24"/>
      <c r="AH109" s="39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8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24"/>
      <c r="AG110" s="24"/>
      <c r="AH110" s="39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8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24"/>
      <c r="AG111" s="24"/>
      <c r="AH111" s="39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8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24"/>
      <c r="AG112" s="24"/>
      <c r="AH112" s="39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8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24"/>
      <c r="AG113" s="24"/>
      <c r="AH113" s="39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8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24"/>
      <c r="AG114" s="24"/>
      <c r="AH114" s="39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8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24"/>
      <c r="AG115" s="24"/>
      <c r="AH115" s="39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8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24"/>
      <c r="AG116" s="24"/>
      <c r="AH116" s="39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8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24"/>
      <c r="AG117" s="24"/>
      <c r="AH117" s="39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8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24"/>
      <c r="AG118" s="24"/>
      <c r="AH118" s="39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8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24"/>
      <c r="AG119" s="24"/>
      <c r="AH119" s="39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8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24"/>
      <c r="AG120" s="24"/>
      <c r="AH120" s="39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8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24"/>
      <c r="AG121" s="24"/>
      <c r="AH121" s="39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8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24"/>
      <c r="AG122" s="24"/>
      <c r="AH122" s="39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8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24"/>
      <c r="AG123" s="24"/>
      <c r="AH123" s="39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8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24"/>
      <c r="AG124" s="24"/>
      <c r="AH124" s="39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8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24"/>
      <c r="AG125" s="24"/>
      <c r="AH125" s="39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8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24"/>
      <c r="AG126" s="24"/>
      <c r="AH126" s="39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8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24"/>
      <c r="AG127" s="24"/>
      <c r="AH127" s="39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8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24"/>
      <c r="AG128" s="24"/>
      <c r="AH128" s="39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8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24"/>
      <c r="AG129" s="24"/>
      <c r="AH129" s="39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8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24"/>
      <c r="AG130" s="24"/>
      <c r="AH130" s="39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8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24"/>
      <c r="AG131" s="24"/>
      <c r="AH131" s="39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8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24"/>
      <c r="AG132" s="24"/>
      <c r="AH132" s="39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8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24"/>
      <c r="AG133" s="24"/>
      <c r="AH133" s="39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8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24"/>
      <c r="AG134" s="24"/>
      <c r="AH134" s="39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8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24"/>
      <c r="AG135" s="24"/>
      <c r="AH135" s="39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8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24"/>
      <c r="AG136" s="24"/>
      <c r="AH136" s="39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8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24"/>
      <c r="AG137" s="24"/>
      <c r="AH137" s="39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8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24"/>
      <c r="AG138" s="24"/>
      <c r="AH138" s="39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8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24"/>
      <c r="AG139" s="24"/>
      <c r="AH139" s="39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8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24"/>
      <c r="AG140" s="24"/>
      <c r="AH140" s="39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8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24"/>
      <c r="AG141" s="24"/>
      <c r="AH141" s="39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8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24"/>
      <c r="AG142" s="24"/>
      <c r="AH142" s="39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8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24"/>
      <c r="AG143" s="24"/>
      <c r="AH143" s="39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8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24"/>
      <c r="AG144" s="24"/>
      <c r="AH144" s="39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8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24"/>
      <c r="AG145" s="24"/>
      <c r="AH145" s="39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8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24"/>
      <c r="AG146" s="24"/>
      <c r="AH146" s="39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8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24"/>
      <c r="AG147" s="24"/>
      <c r="AH147" s="39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8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24"/>
      <c r="AG148" s="24"/>
      <c r="AH148" s="39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8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24"/>
      <c r="AG149" s="24"/>
      <c r="AH149" s="39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8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24"/>
      <c r="AG150" s="24"/>
      <c r="AH150" s="39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8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24"/>
      <c r="AG151" s="24"/>
      <c r="AH151" s="39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8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24"/>
      <c r="AG152" s="24"/>
      <c r="AH152" s="39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8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24"/>
      <c r="AG153" s="24"/>
      <c r="AH153" s="39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8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24"/>
      <c r="AG154" s="24"/>
      <c r="AH154" s="39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8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24"/>
      <c r="AG155" s="24"/>
      <c r="AH155" s="39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8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24"/>
      <c r="AG156" s="24"/>
      <c r="AH156" s="39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8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24"/>
      <c r="AG157" s="24"/>
      <c r="AH157" s="39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8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24"/>
      <c r="AG158" s="24"/>
      <c r="AH158" s="39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8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24"/>
      <c r="AG159" s="24"/>
      <c r="AH159" s="39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8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24"/>
      <c r="AG160" s="24"/>
      <c r="AH160" s="39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8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24"/>
      <c r="AG161" s="24"/>
      <c r="AH161" s="39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8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24"/>
      <c r="AG162" s="24"/>
      <c r="AH162" s="39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8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24"/>
      <c r="AG163" s="24"/>
      <c r="AH163" s="39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8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24"/>
      <c r="AG164" s="24"/>
      <c r="AH164" s="39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8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24"/>
      <c r="AG165" s="24"/>
      <c r="AH165" s="39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8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24"/>
      <c r="AG166" s="24"/>
      <c r="AH166" s="39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8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24"/>
      <c r="AG167" s="24"/>
      <c r="AH167" s="39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8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24"/>
      <c r="AG168" s="24"/>
      <c r="AH168" s="39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8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24"/>
      <c r="AG169" s="24"/>
      <c r="AH169" s="39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8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24"/>
      <c r="AG170" s="24"/>
      <c r="AH170" s="39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8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24"/>
      <c r="AG171" s="24"/>
      <c r="AH171" s="39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8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24"/>
      <c r="AG172" s="24"/>
      <c r="AH172" s="39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8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24"/>
      <c r="AG173" s="24"/>
      <c r="AH173" s="39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8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24"/>
      <c r="AG174" s="24"/>
      <c r="AH174" s="39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8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24"/>
      <c r="AG175" s="24"/>
      <c r="AH175" s="39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8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24"/>
      <c r="AG176" s="24"/>
      <c r="AH176" s="39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8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24"/>
      <c r="AG177" s="24"/>
      <c r="AH177" s="39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8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24"/>
      <c r="AG178" s="24"/>
      <c r="AH178" s="39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8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24"/>
      <c r="AG179" s="24"/>
      <c r="AH179" s="39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8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24"/>
      <c r="AG180" s="24"/>
      <c r="AH180" s="39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8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24"/>
      <c r="AG181" s="24"/>
      <c r="AH181" s="39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8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24"/>
      <c r="AG182" s="24"/>
      <c r="AH182" s="39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8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24"/>
      <c r="AG183" s="24"/>
      <c r="AH183" s="39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8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24"/>
      <c r="AG184" s="24"/>
      <c r="AH184" s="39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8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24"/>
      <c r="AG185" s="24"/>
      <c r="AH185" s="39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8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24"/>
      <c r="AG186" s="24"/>
      <c r="AH186" s="39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8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24"/>
      <c r="AG187" s="24"/>
      <c r="AH187" s="39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8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24"/>
      <c r="AG188" s="24"/>
      <c r="AH188" s="39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8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24"/>
      <c r="AG189" s="24"/>
      <c r="AH189" s="39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8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24"/>
      <c r="AG190" s="24"/>
      <c r="AH190" s="39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8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24"/>
      <c r="AG191" s="24"/>
      <c r="AH191" s="39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8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24"/>
      <c r="AG192" s="24"/>
      <c r="AH192" s="39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8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24"/>
      <c r="AG193" s="24"/>
      <c r="AH193" s="39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8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24"/>
      <c r="AG194" s="24"/>
      <c r="AH194" s="39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8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24"/>
      <c r="AG195" s="24"/>
      <c r="AH195" s="39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8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24"/>
      <c r="AG196" s="24"/>
      <c r="AH196" s="39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8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24"/>
      <c r="AG197" s="24"/>
      <c r="AH197" s="39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8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24"/>
      <c r="AG198" s="24"/>
      <c r="AH198" s="39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8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24"/>
      <c r="AG199" s="24"/>
      <c r="AH199" s="39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8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24"/>
      <c r="AG200" s="24"/>
      <c r="AH200" s="39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8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24"/>
      <c r="AG201" s="24"/>
      <c r="AH201" s="39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8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24"/>
      <c r="AG202" s="24"/>
      <c r="AH202" s="39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8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24"/>
      <c r="AG203" s="24"/>
      <c r="AH203" s="39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8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24"/>
      <c r="AG204" s="24"/>
      <c r="AH204" s="39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8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24"/>
      <c r="AG205" s="24"/>
      <c r="AH205" s="39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8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24"/>
      <c r="AG206" s="24"/>
      <c r="AH206" s="39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8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24"/>
      <c r="AG207" s="24"/>
      <c r="AH207" s="39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8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24"/>
      <c r="AG208" s="24"/>
      <c r="AH208" s="39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8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24"/>
      <c r="AG209" s="24"/>
      <c r="AH209" s="39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8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24"/>
      <c r="AG210" s="24"/>
      <c r="AH210" s="39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8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24"/>
      <c r="AG211" s="24"/>
      <c r="AH211" s="39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8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24"/>
      <c r="AG212" s="24"/>
      <c r="AH212" s="39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8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24"/>
      <c r="AG213" s="24"/>
      <c r="AH213" s="39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8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24"/>
      <c r="AG214" s="24"/>
      <c r="AH214" s="39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8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24"/>
      <c r="AG215" s="24"/>
      <c r="AH215" s="39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8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24"/>
      <c r="AG216" s="24"/>
      <c r="AH216" s="39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8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24"/>
      <c r="AG217" s="24"/>
      <c r="AH217" s="39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8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24"/>
      <c r="AG218" s="24"/>
      <c r="AH218" s="39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8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24"/>
      <c r="AG219" s="24"/>
      <c r="AH219" s="39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8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24"/>
      <c r="AG220" s="24"/>
      <c r="AH220" s="39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