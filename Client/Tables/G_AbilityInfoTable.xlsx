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EnhanceTrade" sheetId="3" r:id="rId6"/>
  </sheets>
  <definedNames/>
  <calcPr/>
</workbook>
</file>

<file path=xl/sharedStrings.xml><?xml version="1.0" encoding="utf-8"?>
<sst xmlns="http://schemas.openxmlformats.org/spreadsheetml/2006/main" count="350" uniqueCount="201">
  <si>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</si>
  <si>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</si>
  <si>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</si>
  <si>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</si>
  <si>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</si>
  <si>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</si>
  <si>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</si>
  <si>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</si>
  <si>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</si>
  <si>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</si>
  <si>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</si>
  <si>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</si>
  <si>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</si>
  <si>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</si>
  <si>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</si>
  <si>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</si>
  <si>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</si>
  <si>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</si>
  <si>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</si>
  <si>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</si>
  <si>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</si>
  <si>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</si>
  <si>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</si>
  <si>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</si>
  <si>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</si>
  <si>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</si>
  <si>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</si>
  <si>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</si>
  <si>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</si>
  <si>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</si>
  <si>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</si>
  <si>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</si>
  <si>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</si>
  <si>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</si>
  <si>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</si>
  <si>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</si>
  <si>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</si>
  <si>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</si>
  <si>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</si>
  <si>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</si>
  <si>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</si>
  <si>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</si>
  <si>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</si>
  <si>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</si>
  <si>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</si>
  <si>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</si>
  <si>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</si>
  <si>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</si>
  <si>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</si>
  <si>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</si>
  <si>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</si>
  <si>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</si>
  <si>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</si>
  <si>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</si>
  <si>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</si>
  <si>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</si>
  <si>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</si>
  <si>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</si>
  <si>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</si>
  <si>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</si>
  <si>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</si>
  <si>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</si>
  <si>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</si>
  <si>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</si>
  <si>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</si>
  <si>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</si>
  <si>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</si>
  <si>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</si>
  <si>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</si>
  <si>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</si>
  <si>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</si>
  <si>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</si>
  <si>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</si>
  <si>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</si>
  <si>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</si>
  <si>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</si>
  <si>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</si>
  <si>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어빌리티 값 타입</t>
  </si>
  <si>
    <t>기력 감소 - 1</t>
  </si>
  <si>
    <t>일반</t>
  </si>
  <si>
    <t>회복 - 1</t>
  </si>
  <si>
    <t>증가</t>
  </si>
  <si>
    <t>회복 - 2</t>
  </si>
  <si>
    <t>감소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</si>
  <si>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</si>
  <si>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</si>
  <si>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</si>
  <si>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</si>
  <si>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</si>
  <si>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</si>
  <si>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</si>
  <si>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</si>
  <si>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</si>
  <si>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</si>
  <si>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</si>
  <si>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</si>
  <si>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</si>
  <si>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</si>
  <si>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</si>
  <si>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</si>
  <si>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</si>
  <si>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</si>
  <si>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</si>
  <si>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</si>
  <si>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</si>
  <si>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</si>
  <si>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</si>
  <si>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</si>
  <si>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</si>
  <si>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</si>
  <si>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</si>
  <si>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</si>
  <si>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</si>
  <si>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</si>
  <si>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</si>
  <si>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</si>
  <si>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</si>
  <si>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</si>
  <si>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</si>
  <si>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</si>
  <si>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</si>
  <si>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</si>
  <si>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</si>
  <si>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</si>
  <si>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</si>
  <si>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</si>
  <si>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</si>
  <si>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</si>
  <si>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</si>
  <si>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</si>
  <si>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</si>
  <si>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</si>
  <si>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</si>
  <si>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</si>
  <si>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</si>
  <si>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</si>
  <si>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</si>
  <si>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</si>
  <si>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</si>
  <si>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</si>
  <si>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</si>
  <si>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</si>
  <si>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</si>
  <si>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</si>
  <si>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</si>
  <si>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</si>
  <si>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</si>
  <si>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</si>
  <si>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</si>
  <si>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</si>
  <si>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</si>
  <si>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</si>
  <si>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</si>
  <si>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</si>
  <si>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</si>
  <si>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</si>
  <si>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</si>
  <si>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</si>
  <si>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</si>
  <si>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</si>
  <si>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</si>
  <si>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</si>
  <si>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</si>
  <si>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</si>
  <si>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</si>
  <si>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</si>
  <si>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</si>
  <si>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</si>
  <si>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</si>
  <si>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</si>
  <si>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</si>
  <si>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</si>
  <si>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</si>
  <si>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</si>
  <si>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</si>
  <si>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</si>
  <si>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</si>
  <si>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</si>
  <si>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</si>
  <si>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</si>
  <si>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</si>
  <si>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</si>
  <si>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</si>
  <si>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</si>
  <si>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</si>
  <si>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</si>
  <si>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AbilityKinds</t>
  </si>
  <si>
    <t>PrevAbilityKinds</t>
  </si>
  <si>
    <t>NextAbilityKinds</t>
  </si>
  <si>
    <t>AbilityValType</t>
  </si>
  <si>
    <t>ValInfo</t>
  </si>
  <si>
    <t>ExtraAbilityTargetInfo_01</t>
  </si>
  <si>
    <t>버프 어빌리티 샘플</t>
  </si>
  <si>
    <t>디버프 어빌리티 샘플</t>
  </si>
  <si>
    <t>업그레이드 어빌리티 샘플</t>
  </si>
  <si>
    <t>PayTargetInfo_01</t>
  </si>
  <si>
    <t>AcquireTargetInfo_01</t>
  </si>
  <si>
    <t>스탯 어빌리티 강화 샘플</t>
  </si>
  <si>
    <t>버프 어빌리티 강화 샘플</t>
  </si>
  <si>
    <t>디버프 어빌리티 강화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</si>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</sst>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2" numFmtId="0" xfId="0" applyFont="1"/>
    <xf borderId="0" fillId="2" fontId="1" numFmtId="1" xfId="0" applyAlignment="1" applyFont="1" applyNumberFormat="1">
      <alignment vertical="bottom"/>
    </xf>
    <xf borderId="0" fillId="2" fontId="1" numFmtId="1" xfId="0" applyAlignment="1" applyFont="1" applyNumberFormat="1">
      <alignment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3" fontId="2" numFmtId="0" xfId="0" applyFont="1"/>
    <xf borderId="0" fillId="2" fontId="2" numFmtId="0" xfId="0" applyFont="1"/>
    <xf borderId="0" fillId="2" fontId="2" numFmtId="0" xfId="0" applyAlignment="1" applyFont="1">
      <alignment horizontal="right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2" fontId="1" numFmtId="0" xfId="0" applyAlignment="1" applyFont="1">
      <alignment horizontal="right" vertical="bottom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1" numFmtId="0" xfId="0" applyAlignment="1" applyFont="1">
      <alignment horizontal="right"/>
    </xf>
    <xf borderId="0" fillId="3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1.0E7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/>
      <c r="V6" s="23"/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1.001002E8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1.00001E7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/>
      <c r="V10" s="23"/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200.0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1.00002E7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2.00002E7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48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49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50</v>
      </c>
      <c r="V15" s="23">
        <v>300.0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51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52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53</v>
      </c>
      <c r="V16" s="23">
        <v>1.00003E7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54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55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56</v>
      </c>
      <c r="V17" s="23">
        <v>2.00003E7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25"/>
      <c r="B18" s="26"/>
      <c r="C18" s="2"/>
      <c r="D18" s="14"/>
      <c r="E18" s="3"/>
      <c r="F18" s="15"/>
      <c r="G18" s="4"/>
      <c r="H18" s="16"/>
      <c r="I18" s="5"/>
      <c r="J18" s="17"/>
      <c r="K18" s="6" t="s">
        <v>57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27" t="s">
        <v>58</v>
      </c>
      <c r="B19" s="28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100000.0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27" t="s">
        <v>12</v>
      </c>
      <c r="B20" s="28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100001.0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 ht="15.75" customHeight="1">
      <c r="A21" s="27" t="s">
        <v>14</v>
      </c>
      <c r="B21" s="28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1.01E7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 ht="15.75" customHeight="1">
      <c r="A22" s="27" t="s">
        <v>35</v>
      </c>
      <c r="B22" s="28">
        <v>1.0</v>
      </c>
      <c r="C22" s="2"/>
      <c r="D22" s="14"/>
      <c r="E22" s="3"/>
      <c r="F22" s="15"/>
      <c r="G22" s="4"/>
      <c r="H22" s="16"/>
      <c r="I22" s="5"/>
      <c r="J22" s="17"/>
      <c r="K22" s="6" t="s">
        <v>64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65</v>
      </c>
      <c r="V22" s="23">
        <v>2.01E7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 ht="15.75" customHeight="1">
      <c r="A23" s="27" t="s">
        <v>49</v>
      </c>
      <c r="B23" s="28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24"/>
      <c r="X23" s="24"/>
      <c r="Y23" s="24"/>
      <c r="Z23" s="24"/>
      <c r="AA23" s="24"/>
      <c r="AB23" s="24"/>
      <c r="AC23" s="24"/>
      <c r="AD23" s="24"/>
      <c r="AE23" s="24"/>
    </row>
    <row r="24" ht="15.75" customHeight="1">
      <c r="A24" s="27" t="s">
        <v>62</v>
      </c>
      <c r="B24" s="28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66</v>
      </c>
      <c r="V24" s="23">
        <v>100100.0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 ht="15.75" customHeight="1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67</v>
      </c>
      <c r="V25" s="23">
        <v>100101.0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 ht="15.75" customHeight="1">
      <c r="A26" s="1" t="s">
        <v>68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69</v>
      </c>
      <c r="V26" s="23">
        <v>1.01001E7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 ht="15.75" customHeight="1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70</v>
      </c>
      <c r="V27" s="23">
        <v>2.01001E7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 ht="15.75" customHeight="1">
      <c r="A28" s="1" t="s">
        <v>71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 ht="15.75" customHeight="1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100200.0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 ht="15.75" customHeight="1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75</v>
      </c>
      <c r="V30" s="11">
        <v>100201.0</v>
      </c>
      <c r="W30" s="24"/>
      <c r="X30" s="24"/>
      <c r="Y30" s="24"/>
      <c r="Z30" s="24"/>
      <c r="AA30" s="24"/>
      <c r="AB30" s="24"/>
      <c r="AC30" s="24"/>
      <c r="AD30" s="24"/>
      <c r="AE30" s="24"/>
    </row>
    <row r="31" ht="15.75" customHeight="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76</v>
      </c>
      <c r="V31" s="23">
        <v>1.01002E7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 ht="15.75" customHeight="1">
      <c r="A32" s="1" t="s">
        <v>77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78</v>
      </c>
      <c r="V32" s="23">
        <v>2.01002E7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 ht="15.75" customHeight="1">
      <c r="A33" s="1" t="s">
        <v>12</v>
      </c>
      <c r="B33" s="13">
        <v>-1.0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 ht="15.75" customHeight="1">
      <c r="A34" s="1" t="s">
        <v>79</v>
      </c>
      <c r="B34" s="13">
        <v>0.0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80</v>
      </c>
      <c r="V34" s="23">
        <v>200000.0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 ht="15.75" customHeight="1">
      <c r="A35" s="1" t="s">
        <v>81</v>
      </c>
      <c r="B35" s="13">
        <v>1.0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82</v>
      </c>
      <c r="V35" s="23">
        <v>200001.0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 ht="15.75" customHeight="1">
      <c r="A36" s="1" t="s">
        <v>83</v>
      </c>
      <c r="B36" s="13">
        <v>2.0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84</v>
      </c>
      <c r="V36" s="23">
        <v>1.02E7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 ht="15.75" customHeight="1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85</v>
      </c>
      <c r="V37" s="11">
        <v>2.02E7</v>
      </c>
      <c r="W37" s="24"/>
      <c r="X37" s="24"/>
      <c r="Y37" s="24"/>
      <c r="Z37" s="24"/>
      <c r="AA37" s="24"/>
      <c r="AB37" s="24"/>
      <c r="AC37" s="24"/>
      <c r="AD37" s="24"/>
      <c r="AE37" s="24"/>
    </row>
    <row r="38" ht="15.75" customHeight="1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 ht="15.75" customHeight="1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86</v>
      </c>
      <c r="V39" s="23">
        <v>200100.0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 ht="15.75" customHeight="1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87</v>
      </c>
      <c r="V40" s="23">
        <v>200101.0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 ht="15.75" customHeight="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88</v>
      </c>
      <c r="V41" s="23">
        <v>1.02001E7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 ht="15.75" customHeight="1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89</v>
      </c>
      <c r="V42" s="23">
        <v>2.02001E7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 ht="15.75" customHeight="1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 ht="15.75" customHeight="1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90</v>
      </c>
      <c r="V44" s="11">
        <v>200200.0</v>
      </c>
      <c r="W44" s="24"/>
      <c r="X44" s="24"/>
      <c r="Y44" s="24"/>
      <c r="Z44" s="24"/>
      <c r="AA44" s="24"/>
      <c r="AB44" s="24"/>
      <c r="AC44" s="24"/>
      <c r="AD44" s="24"/>
      <c r="AE44" s="24"/>
    </row>
    <row r="45" ht="15.75" customHeight="1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91</v>
      </c>
      <c r="V45" s="23">
        <v>200201.0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 ht="15.75" customHeight="1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92</v>
      </c>
      <c r="V46" s="23">
        <v>1.02002E7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 ht="15.75" customHeight="1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93</v>
      </c>
      <c r="V47" s="23">
        <v>2.02002E7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 ht="15.75" customHeight="1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 ht="15.75" customHeight="1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94</v>
      </c>
      <c r="V49" s="23">
        <v>200300.0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 ht="15.75" customHeight="1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95</v>
      </c>
      <c r="V50" s="23">
        <v>200301.0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 ht="15.75" customHeight="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96</v>
      </c>
      <c r="V51" s="11">
        <v>1.02003E7</v>
      </c>
      <c r="W51" s="24"/>
      <c r="X51" s="24"/>
      <c r="Y51" s="24"/>
      <c r="Z51" s="24"/>
      <c r="AA51" s="24"/>
      <c r="AB51" s="24"/>
      <c r="AC51" s="24"/>
      <c r="AD51" s="24"/>
      <c r="AE51" s="24"/>
    </row>
    <row r="52" ht="15.75" customHeight="1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97</v>
      </c>
      <c r="V52" s="23">
        <v>2.02003E7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 ht="15.75" customHeight="1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 ht="15.75" customHeight="1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98</v>
      </c>
      <c r="V54" s="23">
        <v>300000.0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 ht="15.75" customHeight="1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99</v>
      </c>
      <c r="V55" s="23">
        <v>300001.0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 ht="15.75" customHeight="1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100</v>
      </c>
      <c r="V56" s="23">
        <v>1.03E7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 ht="15.75" customHeight="1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101</v>
      </c>
      <c r="V57" s="23">
        <v>2.03E7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 ht="15.75" customHeight="1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24"/>
      <c r="X58" s="24"/>
      <c r="Y58" s="24"/>
      <c r="Z58" s="24"/>
      <c r="AA58" s="24"/>
      <c r="AB58" s="24"/>
      <c r="AC58" s="24"/>
      <c r="AD58" s="24"/>
      <c r="AE58" s="24"/>
    </row>
    <row r="59" ht="15.75" customHeight="1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102</v>
      </c>
      <c r="V59" s="23">
        <v>300100.0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 ht="15.75" customHeight="1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103</v>
      </c>
      <c r="V60" s="23">
        <v>300101.0</v>
      </c>
      <c r="W60" s="24"/>
      <c r="X60" s="24"/>
      <c r="Y60" s="24"/>
      <c r="Z60" s="24"/>
      <c r="AA60" s="24"/>
      <c r="AB60" s="24"/>
      <c r="AC60" s="24"/>
      <c r="AD60" s="24"/>
      <c r="AE60" s="24"/>
    </row>
    <row r="61" ht="15.75" customHeight="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104</v>
      </c>
      <c r="V61" s="23">
        <v>1.03001E7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 ht="15.75" customHeight="1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105</v>
      </c>
      <c r="V62" s="23">
        <v>2.03001E7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 ht="15.75" customHeight="1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106</v>
      </c>
      <c r="V64" s="23">
        <v>300200.0</v>
      </c>
      <c r="W64" s="24"/>
      <c r="X64" s="24"/>
      <c r="Y64" s="24"/>
      <c r="Z64" s="24"/>
      <c r="AA64" s="24"/>
      <c r="AB64" s="24"/>
      <c r="AC64" s="24"/>
      <c r="AD64" s="24"/>
      <c r="AE64" s="24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107</v>
      </c>
      <c r="V65" s="23">
        <v>300201.0</v>
      </c>
      <c r="W65" s="24"/>
      <c r="X65" s="24"/>
      <c r="Y65" s="24"/>
      <c r="Z65" s="24"/>
      <c r="AA65" s="24"/>
      <c r="AB65" s="24"/>
      <c r="AC65" s="24"/>
      <c r="AD65" s="24"/>
      <c r="AE65" s="24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108</v>
      </c>
      <c r="V66" s="23">
        <v>1.03002E7</v>
      </c>
      <c r="W66" s="24"/>
      <c r="X66" s="24"/>
      <c r="Y66" s="24"/>
      <c r="Z66" s="24"/>
      <c r="AA66" s="24"/>
      <c r="AB66" s="24"/>
      <c r="AC66" s="24"/>
      <c r="AD66" s="24"/>
      <c r="AE66" s="24"/>
    </row>
    <row r="67" ht="15.75" customHeight="1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109</v>
      </c>
      <c r="V67" s="23">
        <v>2.03002E7</v>
      </c>
      <c r="W67" s="24"/>
      <c r="X67" s="24"/>
      <c r="Y67" s="24"/>
      <c r="Z67" s="24"/>
      <c r="AA67" s="24"/>
      <c r="AB67" s="24"/>
      <c r="AC67" s="24"/>
      <c r="AD67" s="24"/>
      <c r="AE67" s="24"/>
    </row>
    <row r="68" ht="15.75" customHeight="1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 ht="15.75" customHeight="1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110</v>
      </c>
      <c r="V69" s="23">
        <v>400000.0</v>
      </c>
      <c r="W69" s="24"/>
      <c r="X69" s="24"/>
      <c r="Y69" s="24"/>
      <c r="Z69" s="24"/>
      <c r="AA69" s="24"/>
      <c r="AB69" s="24"/>
      <c r="AC69" s="24"/>
      <c r="AD69" s="24"/>
      <c r="AE69" s="24"/>
    </row>
    <row r="70" ht="15.75" customHeight="1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111</v>
      </c>
      <c r="V70" s="23">
        <v>400001.0</v>
      </c>
      <c r="W70" s="24"/>
      <c r="X70" s="24"/>
      <c r="Y70" s="24"/>
      <c r="Z70" s="24"/>
      <c r="AA70" s="24"/>
      <c r="AB70" s="24"/>
      <c r="AC70" s="24"/>
      <c r="AD70" s="24"/>
      <c r="AE70" s="24"/>
    </row>
    <row r="71" ht="15.75" customHeight="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112</v>
      </c>
      <c r="V71" s="23">
        <v>1.04E7</v>
      </c>
      <c r="W71" s="24"/>
      <c r="X71" s="24"/>
      <c r="Y71" s="24"/>
      <c r="Z71" s="24"/>
      <c r="AA71" s="24"/>
      <c r="AB71" s="24"/>
      <c r="AC71" s="24"/>
      <c r="AD71" s="24"/>
      <c r="AE71" s="24"/>
    </row>
    <row r="72" ht="15.75" customHeight="1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113</v>
      </c>
      <c r="V72" s="23">
        <v>2.04E7</v>
      </c>
      <c r="W72" s="24"/>
      <c r="X72" s="24"/>
      <c r="Y72" s="24"/>
      <c r="Z72" s="24"/>
      <c r="AA72" s="24"/>
      <c r="AB72" s="24"/>
      <c r="AC72" s="24"/>
      <c r="AD72" s="24"/>
      <c r="AE72" s="24"/>
    </row>
    <row r="73" ht="15.75" customHeight="1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 ht="15.75" customHeight="1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114</v>
      </c>
      <c r="V74" s="23">
        <v>400100.0</v>
      </c>
      <c r="W74" s="24"/>
      <c r="X74" s="24"/>
      <c r="Y74" s="24"/>
      <c r="Z74" s="24"/>
      <c r="AA74" s="24"/>
      <c r="AB74" s="24"/>
      <c r="AC74" s="24"/>
      <c r="AD74" s="24"/>
      <c r="AE74" s="24"/>
    </row>
    <row r="75" ht="15.75" customHeight="1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115</v>
      </c>
      <c r="V75" s="23">
        <v>400101.0</v>
      </c>
      <c r="W75" s="24"/>
      <c r="X75" s="24"/>
      <c r="Y75" s="24"/>
      <c r="Z75" s="24"/>
      <c r="AA75" s="24"/>
      <c r="AB75" s="24"/>
      <c r="AC75" s="24"/>
      <c r="AD75" s="24"/>
      <c r="AE75" s="24"/>
    </row>
    <row r="76" ht="15.75" customHeight="1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116</v>
      </c>
      <c r="V76" s="23">
        <v>1.04001E7</v>
      </c>
      <c r="W76" s="24"/>
      <c r="X76" s="24"/>
      <c r="Y76" s="24"/>
      <c r="Z76" s="24"/>
      <c r="AA76" s="24"/>
      <c r="AB76" s="24"/>
      <c r="AC76" s="24"/>
      <c r="AD76" s="24"/>
      <c r="AE76" s="24"/>
    </row>
    <row r="77" ht="15.75" customHeight="1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117</v>
      </c>
      <c r="V77" s="23">
        <v>2.04001E7</v>
      </c>
      <c r="W77" s="24"/>
      <c r="X77" s="24"/>
      <c r="Y77" s="24"/>
      <c r="Z77" s="24"/>
      <c r="AA77" s="24"/>
      <c r="AB77" s="24"/>
      <c r="AC77" s="24"/>
      <c r="AD77" s="24"/>
      <c r="AE77" s="24"/>
    </row>
    <row r="78" ht="15.75" customHeight="1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 ht="15.75" customHeight="1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118</v>
      </c>
      <c r="V79" s="23">
        <v>400200.0</v>
      </c>
      <c r="W79" s="24"/>
      <c r="X79" s="24"/>
      <c r="Y79" s="24"/>
      <c r="Z79" s="24"/>
      <c r="AA79" s="24"/>
      <c r="AB79" s="24"/>
      <c r="AC79" s="24"/>
      <c r="AD79" s="24"/>
      <c r="AE79" s="24"/>
    </row>
    <row r="80" ht="15.75" customHeight="1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119</v>
      </c>
      <c r="V80" s="23">
        <v>400201.0</v>
      </c>
      <c r="W80" s="24"/>
      <c r="X80" s="24"/>
      <c r="Y80" s="24"/>
      <c r="Z80" s="24"/>
      <c r="AA80" s="24"/>
      <c r="AB80" s="24"/>
      <c r="AC80" s="24"/>
      <c r="AD80" s="24"/>
      <c r="AE80" s="24"/>
    </row>
    <row r="81" ht="15.75" customHeight="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120</v>
      </c>
      <c r="V81" s="23">
        <v>1.04002E7</v>
      </c>
      <c r="W81" s="24"/>
      <c r="X81" s="24"/>
      <c r="Y81" s="24"/>
      <c r="Z81" s="24"/>
      <c r="AA81" s="24"/>
      <c r="AB81" s="24"/>
      <c r="AC81" s="24"/>
      <c r="AD81" s="24"/>
      <c r="AE81" s="24"/>
    </row>
    <row r="82" ht="15.75" customHeight="1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121</v>
      </c>
      <c r="V82" s="23">
        <v>2.04002E7</v>
      </c>
      <c r="W82" s="24"/>
      <c r="X82" s="24"/>
      <c r="Y82" s="24"/>
      <c r="Z82" s="24"/>
      <c r="AA82" s="24"/>
      <c r="AB82" s="24"/>
      <c r="AC82" s="24"/>
      <c r="AD82" s="24"/>
      <c r="AE82" s="24"/>
    </row>
    <row r="83" ht="15.75" customHeight="1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 ht="15.75" customHeight="1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122</v>
      </c>
      <c r="V84" s="23">
        <v>500000.0</v>
      </c>
      <c r="W84" s="24"/>
      <c r="X84" s="24"/>
      <c r="Y84" s="24"/>
      <c r="Z84" s="24"/>
      <c r="AA84" s="24"/>
      <c r="AB84" s="24"/>
      <c r="AC84" s="24"/>
      <c r="AD84" s="24"/>
      <c r="AE84" s="24"/>
    </row>
    <row r="85" ht="15.75" customHeight="1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123</v>
      </c>
      <c r="V85" s="23">
        <v>500001.0</v>
      </c>
      <c r="W85" s="24"/>
      <c r="X85" s="24"/>
      <c r="Y85" s="24"/>
      <c r="Z85" s="24"/>
      <c r="AA85" s="24"/>
      <c r="AB85" s="24"/>
      <c r="AC85" s="24"/>
      <c r="AD85" s="24"/>
      <c r="AE85" s="24"/>
    </row>
    <row r="86" ht="15.75" customHeight="1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124</v>
      </c>
      <c r="V86" s="23">
        <v>1.05E7</v>
      </c>
      <c r="W86" s="24"/>
      <c r="X86" s="24"/>
      <c r="Y86" s="24"/>
      <c r="Z86" s="24"/>
      <c r="AA86" s="24"/>
      <c r="AB86" s="24"/>
      <c r="AC86" s="24"/>
      <c r="AD86" s="24"/>
      <c r="AE86" s="24"/>
    </row>
    <row r="87" ht="15.75" customHeight="1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125</v>
      </c>
      <c r="V87" s="23">
        <v>2.05E7</v>
      </c>
      <c r="W87" s="24"/>
      <c r="X87" s="24"/>
      <c r="Y87" s="24"/>
      <c r="Z87" s="24"/>
      <c r="AA87" s="24"/>
      <c r="AB87" s="24"/>
      <c r="AC87" s="24"/>
      <c r="AD87" s="24"/>
      <c r="AE87" s="24"/>
    </row>
    <row r="88" ht="15.75" customHeight="1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 ht="15.75" customHeight="1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126</v>
      </c>
      <c r="V89" s="23">
        <v>500100.0</v>
      </c>
      <c r="W89" s="24"/>
      <c r="X89" s="24"/>
      <c r="Y89" s="24"/>
      <c r="Z89" s="24"/>
      <c r="AA89" s="24"/>
      <c r="AB89" s="24"/>
      <c r="AC89" s="24"/>
      <c r="AD89" s="24"/>
      <c r="AE89" s="24"/>
    </row>
    <row r="90" ht="15.75" customHeight="1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127</v>
      </c>
      <c r="V90" s="23">
        <v>500101.0</v>
      </c>
      <c r="W90" s="24"/>
      <c r="X90" s="24"/>
      <c r="Y90" s="24"/>
      <c r="Z90" s="24"/>
      <c r="AA90" s="24"/>
      <c r="AB90" s="24"/>
      <c r="AC90" s="24"/>
      <c r="AD90" s="24"/>
      <c r="AE90" s="24"/>
    </row>
    <row r="91" ht="15.75" customHeight="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128</v>
      </c>
      <c r="V91" s="23">
        <v>1.05001E7</v>
      </c>
      <c r="W91" s="24"/>
      <c r="X91" s="24"/>
      <c r="Y91" s="24"/>
      <c r="Z91" s="24"/>
      <c r="AA91" s="24"/>
      <c r="AB91" s="24"/>
      <c r="AC91" s="24"/>
      <c r="AD91" s="24"/>
      <c r="AE91" s="24"/>
    </row>
    <row r="92" ht="15.75" customHeight="1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129</v>
      </c>
      <c r="V92" s="23">
        <v>2.05001E7</v>
      </c>
      <c r="W92" s="24"/>
      <c r="X92" s="24"/>
      <c r="Y92" s="24"/>
      <c r="Z92" s="24"/>
      <c r="AA92" s="24"/>
      <c r="AB92" s="24"/>
      <c r="AC92" s="24"/>
      <c r="AD92" s="24"/>
      <c r="AE92" s="24"/>
    </row>
    <row r="93" ht="15.75" customHeight="1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 ht="15.75" customHeight="1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130</v>
      </c>
      <c r="V94" s="23">
        <v>500200.0</v>
      </c>
      <c r="W94" s="24"/>
      <c r="X94" s="24"/>
      <c r="Y94" s="24"/>
      <c r="Z94" s="24"/>
      <c r="AA94" s="24"/>
      <c r="AB94" s="24"/>
      <c r="AC94" s="24"/>
      <c r="AD94" s="24"/>
      <c r="AE94" s="24"/>
    </row>
    <row r="95" ht="15.75" customHeight="1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131</v>
      </c>
      <c r="V95" s="23">
        <v>500201.0</v>
      </c>
      <c r="W95" s="24"/>
      <c r="X95" s="24"/>
      <c r="Y95" s="24"/>
      <c r="Z95" s="24"/>
      <c r="AA95" s="24"/>
      <c r="AB95" s="24"/>
      <c r="AC95" s="24"/>
      <c r="AD95" s="24"/>
      <c r="AE95" s="24"/>
    </row>
    <row r="96" ht="15.75" customHeight="1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132</v>
      </c>
      <c r="V96" s="23">
        <v>1.05002E7</v>
      </c>
      <c r="W96" s="24"/>
      <c r="X96" s="24"/>
      <c r="Y96" s="24"/>
      <c r="Z96" s="24"/>
      <c r="AA96" s="24"/>
      <c r="AB96" s="24"/>
      <c r="AC96" s="24"/>
      <c r="AD96" s="24"/>
      <c r="AE96" s="24"/>
    </row>
    <row r="97" ht="15.75" customHeight="1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133</v>
      </c>
      <c r="V97" s="23">
        <v>2.05002E7</v>
      </c>
      <c r="W97" s="24"/>
      <c r="X97" s="24"/>
      <c r="Y97" s="24"/>
      <c r="Z97" s="24"/>
      <c r="AA97" s="24"/>
      <c r="AB97" s="24"/>
      <c r="AC97" s="24"/>
      <c r="AD97" s="24"/>
      <c r="AE97" s="24"/>
    </row>
    <row r="98" ht="15.75" customHeight="1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 ht="15.75" customHeight="1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134</v>
      </c>
      <c r="V99" s="23">
        <v>600000.0</v>
      </c>
      <c r="W99" s="24"/>
      <c r="X99" s="24"/>
      <c r="Y99" s="24"/>
      <c r="Z99" s="24"/>
      <c r="AA99" s="24"/>
      <c r="AB99" s="24"/>
      <c r="AC99" s="24"/>
      <c r="AD99" s="24"/>
      <c r="AE99" s="24"/>
    </row>
    <row r="100" ht="15.75" customHeight="1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135</v>
      </c>
      <c r="V100" s="23">
        <v>600001.0</v>
      </c>
      <c r="W100" s="24"/>
      <c r="X100" s="24"/>
      <c r="Y100" s="24"/>
      <c r="Z100" s="24"/>
      <c r="AA100" s="24"/>
      <c r="AB100" s="24"/>
      <c r="AC100" s="24"/>
      <c r="AD100" s="24"/>
      <c r="AE100" s="24"/>
    </row>
    <row r="101" ht="15.75" customHeight="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136</v>
      </c>
      <c r="V101" s="11">
        <v>1.06E7</v>
      </c>
      <c r="W101" s="24"/>
      <c r="X101" s="24"/>
      <c r="Y101" s="24"/>
      <c r="Z101" s="24"/>
      <c r="AA101" s="24"/>
      <c r="AB101" s="24"/>
      <c r="AC101" s="24"/>
      <c r="AD101" s="24"/>
      <c r="AE101" s="24"/>
    </row>
    <row r="102" ht="15.75" customHeight="1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137</v>
      </c>
      <c r="V102" s="23">
        <v>2.06E7</v>
      </c>
      <c r="W102" s="24"/>
      <c r="X102" s="24"/>
      <c r="Y102" s="24"/>
      <c r="Z102" s="24"/>
      <c r="AA102" s="24"/>
      <c r="AB102" s="24"/>
      <c r="AC102" s="24"/>
      <c r="AD102" s="24"/>
      <c r="AE102" s="24"/>
    </row>
    <row r="103" ht="15.75" customHeight="1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 ht="15.75" customHeight="1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138</v>
      </c>
      <c r="V104" s="23">
        <v>600100.0</v>
      </c>
      <c r="W104" s="24"/>
      <c r="X104" s="24"/>
      <c r="Y104" s="24"/>
      <c r="Z104" s="24"/>
      <c r="AA104" s="24"/>
      <c r="AB104" s="24"/>
      <c r="AC104" s="24"/>
      <c r="AD104" s="24"/>
      <c r="AE104" s="24"/>
    </row>
    <row r="105" ht="15.75" customHeight="1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139</v>
      </c>
      <c r="V105" s="23">
        <v>600101.0</v>
      </c>
      <c r="W105" s="24"/>
      <c r="X105" s="24"/>
      <c r="Y105" s="24"/>
      <c r="Z105" s="24"/>
      <c r="AA105" s="24"/>
      <c r="AB105" s="24"/>
      <c r="AC105" s="24"/>
      <c r="AD105" s="24"/>
      <c r="AE105" s="24"/>
    </row>
    <row r="106" ht="15.75" customHeight="1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140</v>
      </c>
      <c r="V106" s="23">
        <v>1.06001E7</v>
      </c>
      <c r="W106" s="24"/>
      <c r="X106" s="24"/>
      <c r="Y106" s="24"/>
      <c r="Z106" s="24"/>
      <c r="AA106" s="24"/>
      <c r="AB106" s="24"/>
      <c r="AC106" s="24"/>
      <c r="AD106" s="24"/>
      <c r="AE106" s="24"/>
    </row>
    <row r="107" ht="15.75" customHeight="1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141</v>
      </c>
      <c r="V107" s="23">
        <v>2.06001E7</v>
      </c>
      <c r="W107" s="24"/>
      <c r="X107" s="24"/>
      <c r="Y107" s="24"/>
      <c r="Z107" s="24"/>
      <c r="AA107" s="24"/>
      <c r="AB107" s="24"/>
      <c r="AC107" s="24"/>
      <c r="AD107" s="24"/>
      <c r="AE107" s="24"/>
    </row>
    <row r="108" ht="15.75" customHeight="1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 ht="15.75" customHeight="1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142</v>
      </c>
      <c r="V109" s="23">
        <v>600200.0</v>
      </c>
      <c r="W109" s="24"/>
      <c r="X109" s="24"/>
      <c r="Y109" s="24"/>
      <c r="Z109" s="24"/>
      <c r="AA109" s="24"/>
      <c r="AB109" s="24"/>
      <c r="AC109" s="24"/>
      <c r="AD109" s="24"/>
      <c r="AE109" s="24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143</v>
      </c>
      <c r="V110" s="23">
        <v>600201.0</v>
      </c>
      <c r="W110" s="24"/>
      <c r="X110" s="24"/>
      <c r="Y110" s="24"/>
      <c r="Z110" s="24"/>
      <c r="AA110" s="24"/>
      <c r="AB110" s="24"/>
      <c r="AC110" s="24"/>
      <c r="AD110" s="24"/>
      <c r="AE110" s="24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144</v>
      </c>
      <c r="V111" s="23">
        <v>1.06002E7</v>
      </c>
      <c r="W111" s="24"/>
      <c r="X111" s="24"/>
      <c r="Y111" s="24"/>
      <c r="Z111" s="24"/>
      <c r="AA111" s="24"/>
      <c r="AB111" s="24"/>
      <c r="AC111" s="24"/>
      <c r="AD111" s="24"/>
      <c r="AE111" s="24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145</v>
      </c>
      <c r="V112" s="23">
        <v>2.06002E7</v>
      </c>
      <c r="W112" s="24"/>
      <c r="X112" s="24"/>
      <c r="Y112" s="24"/>
      <c r="Z112" s="24"/>
      <c r="AA112" s="24"/>
      <c r="AB112" s="24"/>
      <c r="AC112" s="24"/>
      <c r="AD112" s="24"/>
      <c r="AE112" s="24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146</v>
      </c>
      <c r="V114" s="23">
        <v>700000.0</v>
      </c>
      <c r="W114" s="24"/>
      <c r="X114" s="24"/>
      <c r="Y114" s="24"/>
      <c r="Z114" s="24"/>
      <c r="AA114" s="24"/>
      <c r="AB114" s="24"/>
      <c r="AC114" s="24"/>
      <c r="AD114" s="24"/>
      <c r="AE114" s="24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147</v>
      </c>
      <c r="V115" s="23">
        <v>700001.0</v>
      </c>
      <c r="W115" s="24"/>
      <c r="X115" s="24"/>
      <c r="Y115" s="24"/>
      <c r="Z115" s="24"/>
      <c r="AA115" s="24"/>
      <c r="AB115" s="24"/>
      <c r="AC115" s="24"/>
      <c r="AD115" s="24"/>
      <c r="AE115" s="24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148</v>
      </c>
      <c r="V116" s="23">
        <v>1.07E7</v>
      </c>
      <c r="W116" s="24"/>
      <c r="X116" s="24"/>
      <c r="Y116" s="24"/>
      <c r="Z116" s="24"/>
      <c r="AA116" s="24"/>
      <c r="AB116" s="24"/>
      <c r="AC116" s="24"/>
      <c r="AD116" s="24"/>
      <c r="AE116" s="24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149</v>
      </c>
      <c r="V117" s="23">
        <v>2.07E7</v>
      </c>
      <c r="W117" s="24"/>
      <c r="X117" s="24"/>
      <c r="Y117" s="24"/>
      <c r="Z117" s="24"/>
      <c r="AA117" s="24"/>
      <c r="AB117" s="24"/>
      <c r="AC117" s="24"/>
      <c r="AD117" s="24"/>
      <c r="AE117" s="24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150</v>
      </c>
      <c r="V119" s="23">
        <v>700100.0</v>
      </c>
      <c r="W119" s="24"/>
      <c r="X119" s="24"/>
      <c r="Y119" s="24"/>
      <c r="Z119" s="24"/>
      <c r="AA119" s="24"/>
      <c r="AB119" s="24"/>
      <c r="AC119" s="24"/>
      <c r="AD119" s="24"/>
      <c r="AE119" s="24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151</v>
      </c>
      <c r="V120" s="23">
        <v>700101.0</v>
      </c>
      <c r="W120" s="24"/>
      <c r="X120" s="24"/>
      <c r="Y120" s="24"/>
      <c r="Z120" s="24"/>
      <c r="AA120" s="24"/>
      <c r="AB120" s="24"/>
      <c r="AC120" s="24"/>
      <c r="AD120" s="24"/>
      <c r="AE120" s="24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152</v>
      </c>
      <c r="V121" s="23">
        <v>1.07001E7</v>
      </c>
      <c r="W121" s="24"/>
      <c r="X121" s="24"/>
      <c r="Y121" s="24"/>
      <c r="Z121" s="24"/>
      <c r="AA121" s="24"/>
      <c r="AB121" s="24"/>
      <c r="AC121" s="24"/>
      <c r="AD121" s="24"/>
      <c r="AE121" s="24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153</v>
      </c>
      <c r="V122" s="23">
        <v>2.07001E7</v>
      </c>
      <c r="W122" s="24"/>
      <c r="X122" s="24"/>
      <c r="Y122" s="24"/>
      <c r="Z122" s="24"/>
      <c r="AA122" s="24"/>
      <c r="AB122" s="24"/>
      <c r="AC122" s="24"/>
      <c r="AD122" s="24"/>
      <c r="AE122" s="24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154</v>
      </c>
      <c r="V124" s="23">
        <v>700200.0</v>
      </c>
      <c r="W124" s="24"/>
      <c r="X124" s="24"/>
      <c r="Y124" s="24"/>
      <c r="Z124" s="24"/>
      <c r="AA124" s="24"/>
      <c r="AB124" s="24"/>
      <c r="AC124" s="24"/>
      <c r="AD124" s="24"/>
      <c r="AE124" s="24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155</v>
      </c>
      <c r="V125" s="23">
        <v>700201.0</v>
      </c>
      <c r="W125" s="24"/>
      <c r="X125" s="24"/>
      <c r="Y125" s="24"/>
      <c r="Z125" s="24"/>
      <c r="AA125" s="24"/>
      <c r="AB125" s="24"/>
      <c r="AC125" s="24"/>
      <c r="AD125" s="24"/>
      <c r="AE125" s="24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156</v>
      </c>
      <c r="V126" s="23">
        <v>1.07002E7</v>
      </c>
      <c r="W126" s="24"/>
      <c r="X126" s="24"/>
      <c r="Y126" s="24"/>
      <c r="Z126" s="24"/>
      <c r="AA126" s="24"/>
      <c r="AB126" s="24"/>
      <c r="AC126" s="24"/>
      <c r="AD126" s="24"/>
      <c r="AE126" s="24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157</v>
      </c>
      <c r="V127" s="23">
        <v>2.07002E7</v>
      </c>
      <c r="W127" s="24"/>
      <c r="X127" s="24"/>
      <c r="Y127" s="24"/>
      <c r="Z127" s="24"/>
      <c r="AA127" s="24"/>
      <c r="AB127" s="24"/>
      <c r="AC127" s="24"/>
      <c r="AD127" s="24"/>
      <c r="AE127" s="24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158</v>
      </c>
      <c r="V129" s="23">
        <v>800000.0</v>
      </c>
      <c r="W129" s="24"/>
      <c r="X129" s="24"/>
      <c r="Y129" s="24"/>
      <c r="Z129" s="24"/>
      <c r="AA129" s="24"/>
      <c r="AB129" s="24"/>
      <c r="AC129" s="24"/>
      <c r="AD129" s="24"/>
      <c r="AE129" s="24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159</v>
      </c>
      <c r="V130" s="23">
        <v>800001.0</v>
      </c>
      <c r="W130" s="24"/>
      <c r="X130" s="24"/>
      <c r="Y130" s="24"/>
      <c r="Z130" s="24"/>
      <c r="AA130" s="24"/>
      <c r="AB130" s="24"/>
      <c r="AC130" s="24"/>
      <c r="AD130" s="24"/>
      <c r="AE130" s="24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160</v>
      </c>
      <c r="V131" s="23">
        <v>1.08E7</v>
      </c>
      <c r="W131" s="24"/>
      <c r="X131" s="24"/>
      <c r="Y131" s="24"/>
      <c r="Z131" s="24"/>
      <c r="AA131" s="24"/>
      <c r="AB131" s="24"/>
      <c r="AC131" s="24"/>
      <c r="AD131" s="24"/>
      <c r="AE131" s="24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161</v>
      </c>
      <c r="V132" s="23">
        <v>2.08E7</v>
      </c>
      <c r="W132" s="24"/>
      <c r="X132" s="24"/>
      <c r="Y132" s="24"/>
      <c r="Z132" s="24"/>
      <c r="AA132" s="24"/>
      <c r="AB132" s="24"/>
      <c r="AC132" s="24"/>
      <c r="AD132" s="24"/>
      <c r="AE132" s="24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162</v>
      </c>
      <c r="V134" s="23">
        <v>800100.0</v>
      </c>
      <c r="W134" s="24"/>
      <c r="X134" s="24"/>
      <c r="Y134" s="24"/>
      <c r="Z134" s="24"/>
      <c r="AA134" s="24"/>
      <c r="AB134" s="24"/>
      <c r="AC134" s="24"/>
      <c r="AD134" s="24"/>
      <c r="AE134" s="24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163</v>
      </c>
      <c r="V135" s="23">
        <v>800101.0</v>
      </c>
      <c r="W135" s="24"/>
      <c r="X135" s="24"/>
      <c r="Y135" s="24"/>
      <c r="Z135" s="24"/>
      <c r="AA135" s="24"/>
      <c r="AB135" s="24"/>
      <c r="AC135" s="24"/>
      <c r="AD135" s="24"/>
      <c r="AE135" s="24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164</v>
      </c>
      <c r="V136" s="23">
        <v>1.08001E7</v>
      </c>
      <c r="W136" s="24"/>
      <c r="X136" s="24"/>
      <c r="Y136" s="24"/>
      <c r="Z136" s="24"/>
      <c r="AA136" s="24"/>
      <c r="AB136" s="24"/>
      <c r="AC136" s="24"/>
      <c r="AD136" s="24"/>
      <c r="AE136" s="24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165</v>
      </c>
      <c r="V137" s="23">
        <v>2.08001E7</v>
      </c>
      <c r="W137" s="24"/>
      <c r="X137" s="24"/>
      <c r="Y137" s="24"/>
      <c r="Z137" s="24"/>
      <c r="AA137" s="24"/>
      <c r="AB137" s="24"/>
      <c r="AC137" s="24"/>
      <c r="AD137" s="24"/>
      <c r="AE137" s="24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166</v>
      </c>
      <c r="V139" s="23">
        <v>800200.0</v>
      </c>
      <c r="W139" s="24"/>
      <c r="X139" s="24"/>
      <c r="Y139" s="24"/>
      <c r="Z139" s="24"/>
      <c r="AA139" s="24"/>
      <c r="AB139" s="24"/>
      <c r="AC139" s="24"/>
      <c r="AD139" s="24"/>
      <c r="AE139" s="24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167</v>
      </c>
      <c r="V140" s="23">
        <v>800201.0</v>
      </c>
      <c r="W140" s="24"/>
      <c r="X140" s="24"/>
      <c r="Y140" s="24"/>
      <c r="Z140" s="24"/>
      <c r="AA140" s="24"/>
      <c r="AB140" s="24"/>
      <c r="AC140" s="24"/>
      <c r="AD140" s="24"/>
      <c r="AE140" s="24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168</v>
      </c>
      <c r="V141" s="23">
        <v>1.08002E7</v>
      </c>
      <c r="W141" s="24"/>
      <c r="X141" s="24"/>
      <c r="Y141" s="24"/>
      <c r="Z141" s="24"/>
      <c r="AA141" s="24"/>
      <c r="AB141" s="24"/>
      <c r="AC141" s="24"/>
      <c r="AD141" s="24"/>
      <c r="AE141" s="24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169</v>
      </c>
      <c r="V142" s="23">
        <v>2.08002E7</v>
      </c>
      <c r="W142" s="24"/>
      <c r="X142" s="24"/>
      <c r="Y142" s="24"/>
      <c r="Z142" s="24"/>
      <c r="AA142" s="24"/>
      <c r="AB142" s="24"/>
      <c r="AC142" s="24"/>
      <c r="AD142" s="24"/>
      <c r="AE142" s="24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170</v>
      </c>
      <c r="V144" s="23">
        <v>800300.0</v>
      </c>
      <c r="W144" s="24"/>
      <c r="X144" s="24"/>
      <c r="Y144" s="24"/>
      <c r="Z144" s="24"/>
      <c r="AA144" s="24"/>
      <c r="AB144" s="24"/>
      <c r="AC144" s="24"/>
      <c r="AD144" s="24"/>
      <c r="AE144" s="24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171</v>
      </c>
      <c r="V145" s="23">
        <v>800301.0</v>
      </c>
      <c r="W145" s="24"/>
      <c r="X145" s="24"/>
      <c r="Y145" s="24"/>
      <c r="Z145" s="24"/>
      <c r="AA145" s="24"/>
      <c r="AB145" s="24"/>
      <c r="AC145" s="24"/>
      <c r="AD145" s="24"/>
      <c r="AE145" s="24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172</v>
      </c>
      <c r="V146" s="23">
        <v>1.08003E7</v>
      </c>
      <c r="W146" s="24"/>
      <c r="X146" s="24"/>
      <c r="Y146" s="24"/>
      <c r="Z146" s="24"/>
      <c r="AA146" s="24"/>
      <c r="AB146" s="24"/>
      <c r="AC146" s="24"/>
      <c r="AD146" s="24"/>
      <c r="AE146" s="24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173</v>
      </c>
      <c r="V147" s="23">
        <v>2.08003E7</v>
      </c>
      <c r="W147" s="24"/>
      <c r="X147" s="24"/>
      <c r="Y147" s="24"/>
      <c r="Z147" s="24"/>
      <c r="AA147" s="24"/>
      <c r="AB147" s="24"/>
      <c r="AC147" s="24"/>
      <c r="AD147" s="24"/>
      <c r="AE147" s="24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 ht="15.75" customHeight="1">
      <c r="A231" s="29"/>
      <c r="B231" s="30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11"/>
      <c r="V231" s="23"/>
      <c r="W231" s="30"/>
      <c r="X231" s="30"/>
      <c r="Y231" s="30"/>
      <c r="Z231" s="30"/>
      <c r="AA231" s="30"/>
      <c r="AB231" s="30"/>
      <c r="AC231" s="30"/>
      <c r="AD231" s="30"/>
      <c r="AE231" s="30"/>
    </row>
    <row r="232" ht="15.75" customHeight="1">
      <c r="A232" s="29"/>
      <c r="B232" s="30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11"/>
      <c r="V232" s="23"/>
      <c r="W232" s="30"/>
      <c r="X232" s="30"/>
      <c r="Y232" s="30"/>
      <c r="Z232" s="30"/>
      <c r="AA232" s="30"/>
      <c r="AB232" s="30"/>
      <c r="AC232" s="30"/>
      <c r="AD232" s="30"/>
      <c r="AE232" s="30"/>
    </row>
    <row r="233" ht="15.75" customHeight="1">
      <c r="A233" s="29"/>
      <c r="B233" s="30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11"/>
      <c r="V233" s="23"/>
      <c r="W233" s="30"/>
      <c r="X233" s="30"/>
      <c r="Y233" s="30"/>
      <c r="Z233" s="30"/>
      <c r="AA233" s="30"/>
      <c r="AB233" s="30"/>
      <c r="AC233" s="30"/>
      <c r="AD233" s="30"/>
      <c r="AE233" s="30"/>
    </row>
    <row r="234" ht="15.75" customHeight="1">
      <c r="A234" s="29"/>
      <c r="B234" s="30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11"/>
      <c r="V234" s="23"/>
      <c r="W234" s="30"/>
      <c r="X234" s="30"/>
      <c r="Y234" s="30"/>
      <c r="Z234" s="30"/>
      <c r="AA234" s="30"/>
      <c r="AB234" s="30"/>
      <c r="AC234" s="30"/>
      <c r="AD234" s="30"/>
      <c r="AE234" s="30"/>
    </row>
    <row r="235" ht="15.75" customHeight="1">
      <c r="A235" s="29"/>
      <c r="B235" s="30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11"/>
      <c r="V235" s="23"/>
      <c r="W235" s="30"/>
      <c r="X235" s="30"/>
      <c r="Y235" s="30"/>
      <c r="Z235" s="30"/>
      <c r="AA235" s="30"/>
      <c r="AB235" s="30"/>
      <c r="AC235" s="30"/>
      <c r="AD235" s="30"/>
      <c r="AE235" s="30"/>
    </row>
    <row r="236" ht="15.75" customHeight="1">
      <c r="A236" s="29"/>
      <c r="B236" s="30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11"/>
      <c r="V236" s="23"/>
      <c r="W236" s="30"/>
      <c r="X236" s="30"/>
      <c r="Y236" s="30"/>
      <c r="Z236" s="30"/>
      <c r="AA236" s="30"/>
      <c r="AB236" s="30"/>
      <c r="AC236" s="30"/>
      <c r="AD236" s="30"/>
      <c r="AE236" s="30"/>
    </row>
    <row r="237" ht="15.75" customHeight="1">
      <c r="A237" s="29"/>
      <c r="B237" s="30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11"/>
      <c r="V237" s="23"/>
      <c r="W237" s="30"/>
      <c r="X237" s="30"/>
      <c r="Y237" s="30"/>
      <c r="Z237" s="30"/>
      <c r="AA237" s="30"/>
      <c r="AB237" s="30"/>
      <c r="AC237" s="30"/>
      <c r="AD237" s="30"/>
      <c r="AE237" s="30"/>
    </row>
    <row r="238" ht="15.75" customHeight="1">
      <c r="A238" s="29"/>
      <c r="B238" s="30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11"/>
      <c r="V238" s="23"/>
      <c r="W238" s="30"/>
      <c r="X238" s="30"/>
      <c r="Y238" s="30"/>
      <c r="Z238" s="30"/>
      <c r="AA238" s="30"/>
      <c r="AB238" s="30"/>
      <c r="AC238" s="30"/>
      <c r="AD238" s="30"/>
      <c r="AE238" s="30"/>
    </row>
    <row r="239" ht="15.75" customHeight="1">
      <c r="A239" s="29"/>
      <c r="B239" s="30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11"/>
      <c r="V239" s="23"/>
      <c r="W239" s="30"/>
      <c r="X239" s="30"/>
      <c r="Y239" s="30"/>
      <c r="Z239" s="30"/>
      <c r="AA239" s="30"/>
      <c r="AB239" s="30"/>
      <c r="AC239" s="30"/>
      <c r="AD239" s="30"/>
      <c r="AE239" s="30"/>
    </row>
    <row r="240" ht="15.75" customHeight="1">
      <c r="A240" s="29"/>
      <c r="B240" s="30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11"/>
      <c r="V240" s="23"/>
      <c r="W240" s="30"/>
      <c r="X240" s="30"/>
      <c r="Y240" s="30"/>
      <c r="Z240" s="30"/>
      <c r="AA240" s="30"/>
      <c r="AB240" s="30"/>
      <c r="AC240" s="30"/>
      <c r="AD240" s="30"/>
      <c r="AE240" s="30"/>
    </row>
    <row r="241" ht="15.75" customHeight="1">
      <c r="A241" s="29"/>
      <c r="B241" s="30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11"/>
      <c r="V241" s="23"/>
      <c r="W241" s="30"/>
      <c r="X241" s="30"/>
      <c r="Y241" s="30"/>
      <c r="Z241" s="30"/>
      <c r="AA241" s="30"/>
      <c r="AB241" s="30"/>
      <c r="AC241" s="30"/>
      <c r="AD241" s="30"/>
      <c r="AE241" s="30"/>
    </row>
    <row r="242" ht="15.75" customHeight="1">
      <c r="A242" s="29"/>
      <c r="B242" s="30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11"/>
      <c r="V242" s="23"/>
      <c r="W242" s="30"/>
      <c r="X242" s="30"/>
      <c r="Y242" s="30"/>
      <c r="Z242" s="30"/>
      <c r="AA242" s="30"/>
      <c r="AB242" s="30"/>
      <c r="AC242" s="30"/>
      <c r="AD242" s="30"/>
      <c r="AE242" s="30"/>
    </row>
    <row r="243" ht="15.75" customHeight="1">
      <c r="A243" s="29"/>
      <c r="B243" s="30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11"/>
      <c r="V243" s="23"/>
      <c r="W243" s="30"/>
      <c r="X243" s="30"/>
      <c r="Y243" s="30"/>
      <c r="Z243" s="30"/>
      <c r="AA243" s="30"/>
      <c r="AB243" s="30"/>
      <c r="AC243" s="30"/>
      <c r="AD243" s="30"/>
      <c r="AE243" s="30"/>
    </row>
    <row r="244" ht="15.75" customHeight="1">
      <c r="A244" s="29"/>
      <c r="B244" s="30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11"/>
      <c r="V244" s="23"/>
      <c r="W244" s="30"/>
      <c r="X244" s="30"/>
      <c r="Y244" s="30"/>
      <c r="Z244" s="30"/>
      <c r="AA244" s="30"/>
      <c r="AB244" s="30"/>
      <c r="AC244" s="30"/>
      <c r="AD244" s="30"/>
      <c r="AE244" s="30"/>
    </row>
    <row r="245" ht="15.75" customHeight="1">
      <c r="A245" s="29"/>
      <c r="B245" s="30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11"/>
      <c r="V245" s="23"/>
      <c r="W245" s="30"/>
      <c r="X245" s="30"/>
      <c r="Y245" s="30"/>
      <c r="Z245" s="30"/>
      <c r="AA245" s="30"/>
      <c r="AB245" s="30"/>
      <c r="AC245" s="30"/>
      <c r="AD245" s="30"/>
      <c r="AE245" s="30"/>
    </row>
    <row r="246" ht="15.75" customHeight="1">
      <c r="A246" s="29"/>
      <c r="B246" s="30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11"/>
      <c r="V246" s="23"/>
      <c r="W246" s="30"/>
      <c r="X246" s="30"/>
      <c r="Y246" s="30"/>
      <c r="Z246" s="30"/>
      <c r="AA246" s="30"/>
      <c r="AB246" s="30"/>
      <c r="AC246" s="30"/>
      <c r="AD246" s="30"/>
      <c r="AE246" s="30"/>
    </row>
    <row r="247" ht="15.75" customHeight="1">
      <c r="A247" s="29"/>
      <c r="B247" s="30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11"/>
      <c r="V247" s="23"/>
      <c r="W247" s="30"/>
      <c r="X247" s="30"/>
      <c r="Y247" s="30"/>
      <c r="Z247" s="30"/>
      <c r="AA247" s="30"/>
      <c r="AB247" s="30"/>
      <c r="AC247" s="30"/>
      <c r="AD247" s="30"/>
      <c r="AE247" s="30"/>
    </row>
    <row r="248" ht="15.75" customHeight="1">
      <c r="A248" s="29"/>
      <c r="B248" s="30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3"/>
      <c r="V248" s="23"/>
      <c r="W248" s="30"/>
      <c r="X248" s="30"/>
      <c r="Y248" s="30"/>
      <c r="Z248" s="30"/>
      <c r="AA248" s="30"/>
      <c r="AB248" s="30"/>
      <c r="AC248" s="30"/>
      <c r="AD248" s="30"/>
      <c r="AE248" s="30"/>
    </row>
    <row r="249" ht="15.75" customHeight="1">
      <c r="A249" s="29"/>
      <c r="B249" s="30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3"/>
      <c r="V249" s="23"/>
      <c r="W249" s="30"/>
      <c r="X249" s="30"/>
      <c r="Y249" s="30"/>
      <c r="Z249" s="30"/>
      <c r="AA249" s="30"/>
      <c r="AB249" s="30"/>
      <c r="AC249" s="30"/>
      <c r="AD249" s="30"/>
      <c r="AE249" s="30"/>
    </row>
    <row r="250" ht="15.75" customHeight="1">
      <c r="A250" s="29"/>
      <c r="B250" s="30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3"/>
      <c r="V250" s="23"/>
      <c r="W250" s="30"/>
      <c r="X250" s="30"/>
      <c r="Y250" s="30"/>
      <c r="Z250" s="30"/>
      <c r="AA250" s="30"/>
      <c r="AB250" s="30"/>
      <c r="AC250" s="30"/>
      <c r="AD250" s="30"/>
      <c r="AE250" s="30"/>
    </row>
    <row r="251" ht="15.75" customHeight="1">
      <c r="A251" s="29"/>
      <c r="B251" s="30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3"/>
      <c r="V251" s="23"/>
      <c r="W251" s="30"/>
      <c r="X251" s="30"/>
      <c r="Y251" s="30"/>
      <c r="Z251" s="30"/>
      <c r="AA251" s="30"/>
      <c r="AB251" s="30"/>
      <c r="AC251" s="30"/>
      <c r="AD251" s="30"/>
      <c r="AE251" s="30"/>
    </row>
    <row r="252" ht="15.75" customHeight="1">
      <c r="A252" s="29"/>
      <c r="B252" s="30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3"/>
      <c r="V252" s="23"/>
      <c r="W252" s="30"/>
      <c r="X252" s="30"/>
      <c r="Y252" s="30"/>
      <c r="Z252" s="30"/>
      <c r="AA252" s="30"/>
      <c r="AB252" s="30"/>
      <c r="AC252" s="30"/>
      <c r="AD252" s="30"/>
      <c r="AE252" s="30"/>
    </row>
    <row r="253" ht="15.75" customHeight="1">
      <c r="A253" s="29"/>
      <c r="B253" s="30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3"/>
      <c r="V253" s="23"/>
      <c r="W253" s="30"/>
      <c r="X253" s="30"/>
      <c r="Y253" s="30"/>
      <c r="Z253" s="30"/>
      <c r="AA253" s="30"/>
      <c r="AB253" s="30"/>
      <c r="AC253" s="30"/>
      <c r="AD253" s="30"/>
      <c r="AE253" s="30"/>
    </row>
    <row r="254" ht="15.75" customHeight="1">
      <c r="A254" s="29"/>
      <c r="B254" s="30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3"/>
      <c r="V254" s="33"/>
      <c r="W254" s="30"/>
      <c r="X254" s="30"/>
      <c r="Y254" s="30"/>
      <c r="Z254" s="30"/>
      <c r="AA254" s="30"/>
      <c r="AB254" s="30"/>
      <c r="AC254" s="30"/>
      <c r="AD254" s="30"/>
      <c r="AE254" s="30"/>
    </row>
    <row r="255" ht="15.75" customHeight="1">
      <c r="A255" s="29"/>
      <c r="B255" s="30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3"/>
      <c r="V255" s="33"/>
      <c r="W255" s="30"/>
      <c r="X255" s="30"/>
      <c r="Y255" s="30"/>
      <c r="Z255" s="30"/>
      <c r="AA255" s="30"/>
      <c r="AB255" s="30"/>
      <c r="AC255" s="30"/>
      <c r="AD255" s="30"/>
      <c r="AE255" s="30"/>
    </row>
    <row r="256" ht="15.75" customHeight="1">
      <c r="A256" s="29"/>
      <c r="B256" s="30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3"/>
      <c r="V256" s="33"/>
      <c r="W256" s="30"/>
      <c r="X256" s="30"/>
      <c r="Y256" s="30"/>
      <c r="Z256" s="30"/>
      <c r="AA256" s="30"/>
      <c r="AB256" s="30"/>
      <c r="AC256" s="30"/>
      <c r="AD256" s="30"/>
      <c r="AE256" s="30"/>
    </row>
    <row r="257" ht="15.75" customHeight="1">
      <c r="A257" s="29"/>
      <c r="B257" s="30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3"/>
      <c r="V257" s="33"/>
      <c r="W257" s="30"/>
      <c r="X257" s="30"/>
      <c r="Y257" s="30"/>
      <c r="Z257" s="30"/>
      <c r="AA257" s="30"/>
      <c r="AB257" s="30"/>
      <c r="AC257" s="30"/>
      <c r="AD257" s="30"/>
      <c r="AE257" s="30"/>
    </row>
    <row r="258" ht="15.75" customHeight="1">
      <c r="A258" s="29"/>
      <c r="B258" s="30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3"/>
      <c r="V258" s="33"/>
      <c r="W258" s="30"/>
      <c r="X258" s="30"/>
      <c r="Y258" s="30"/>
      <c r="Z258" s="30"/>
      <c r="AA258" s="30"/>
      <c r="AB258" s="30"/>
      <c r="AC258" s="30"/>
      <c r="AD258" s="30"/>
      <c r="AE258" s="30"/>
    </row>
    <row r="259" ht="15.75" customHeight="1">
      <c r="A259" s="29"/>
      <c r="B259" s="30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3"/>
      <c r="V259" s="33"/>
      <c r="W259" s="30"/>
      <c r="X259" s="30"/>
      <c r="Y259" s="30"/>
      <c r="Z259" s="30"/>
      <c r="AA259" s="30"/>
      <c r="AB259" s="30"/>
      <c r="AC259" s="30"/>
      <c r="AD259" s="30"/>
      <c r="AE259" s="30"/>
    </row>
    <row r="260" ht="15.75" customHeight="1">
      <c r="A260" s="29"/>
      <c r="B260" s="30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3"/>
      <c r="V260" s="33"/>
      <c r="W260" s="30"/>
      <c r="X260" s="30"/>
      <c r="Y260" s="30"/>
      <c r="Z260" s="30"/>
      <c r="AA260" s="30"/>
      <c r="AB260" s="30"/>
      <c r="AC260" s="30"/>
      <c r="AD260" s="30"/>
      <c r="AE260" s="30"/>
    </row>
    <row r="261" ht="15.75" customHeight="1">
      <c r="A261" s="29"/>
      <c r="B261" s="30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3"/>
      <c r="V261" s="33"/>
      <c r="W261" s="30"/>
      <c r="X261" s="30"/>
      <c r="Y261" s="30"/>
      <c r="Z261" s="30"/>
      <c r="AA261" s="30"/>
      <c r="AB261" s="30"/>
      <c r="AC261" s="30"/>
      <c r="AD261" s="30"/>
      <c r="AE261" s="30"/>
    </row>
    <row r="262" ht="15.75" customHeight="1">
      <c r="A262" s="29"/>
      <c r="B262" s="30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3"/>
      <c r="V262" s="33"/>
      <c r="W262" s="30"/>
      <c r="X262" s="30"/>
      <c r="Y262" s="30"/>
      <c r="Z262" s="30"/>
      <c r="AA262" s="30"/>
      <c r="AB262" s="30"/>
      <c r="AC262" s="30"/>
      <c r="AD262" s="30"/>
      <c r="AE262" s="30"/>
    </row>
    <row r="263" ht="15.75" customHeight="1">
      <c r="A263" s="29"/>
      <c r="B263" s="30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3"/>
      <c r="V263" s="33"/>
      <c r="W263" s="30"/>
      <c r="X263" s="30"/>
      <c r="Y263" s="30"/>
      <c r="Z263" s="30"/>
      <c r="AA263" s="30"/>
      <c r="AB263" s="30"/>
      <c r="AC263" s="30"/>
      <c r="AD263" s="30"/>
      <c r="AE263" s="30"/>
    </row>
    <row r="264" ht="15.75" customHeight="1">
      <c r="A264" s="29"/>
      <c r="B264" s="30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3"/>
      <c r="V264" s="33"/>
      <c r="W264" s="30"/>
      <c r="X264" s="30"/>
      <c r="Y264" s="30"/>
      <c r="Z264" s="30"/>
      <c r="AA264" s="30"/>
      <c r="AB264" s="30"/>
      <c r="AC264" s="30"/>
      <c r="AD264" s="30"/>
      <c r="AE264" s="30"/>
    </row>
    <row r="265" ht="15.75" customHeight="1">
      <c r="A265" s="29"/>
      <c r="B265" s="30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3"/>
      <c r="V265" s="33"/>
      <c r="W265" s="30"/>
      <c r="X265" s="30"/>
      <c r="Y265" s="30"/>
      <c r="Z265" s="30"/>
      <c r="AA265" s="30"/>
      <c r="AB265" s="30"/>
      <c r="AC265" s="30"/>
      <c r="AD265" s="30"/>
      <c r="AE265" s="30"/>
    </row>
    <row r="266" ht="15.75" customHeight="1">
      <c r="A266" s="29"/>
      <c r="B266" s="30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3"/>
      <c r="V266" s="33"/>
      <c r="W266" s="30"/>
      <c r="X266" s="30"/>
      <c r="Y266" s="30"/>
      <c r="Z266" s="30"/>
      <c r="AA266" s="30"/>
      <c r="AB266" s="30"/>
      <c r="AC266" s="30"/>
      <c r="AD266" s="30"/>
      <c r="AE266" s="30"/>
    </row>
    <row r="267" ht="15.75" customHeight="1">
      <c r="A267" s="29"/>
      <c r="B267" s="30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3"/>
      <c r="V267" s="33"/>
      <c r="W267" s="30"/>
      <c r="X267" s="30"/>
      <c r="Y267" s="30"/>
      <c r="Z267" s="30"/>
      <c r="AA267" s="30"/>
      <c r="AB267" s="30"/>
      <c r="AC267" s="30"/>
      <c r="AD267" s="30"/>
      <c r="AE267" s="30"/>
    </row>
    <row r="268" ht="15.75" customHeight="1">
      <c r="A268" s="29"/>
      <c r="B268" s="30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3"/>
      <c r="V268" s="33"/>
      <c r="W268" s="30"/>
      <c r="X268" s="30"/>
      <c r="Y268" s="30"/>
      <c r="Z268" s="30"/>
      <c r="AA268" s="30"/>
      <c r="AB268" s="30"/>
      <c r="AC268" s="30"/>
      <c r="AD268" s="30"/>
      <c r="AE268" s="30"/>
    </row>
    <row r="269" ht="15.75" customHeight="1">
      <c r="A269" s="29"/>
      <c r="B269" s="30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3"/>
      <c r="V269" s="33"/>
      <c r="W269" s="30"/>
      <c r="X269" s="30"/>
      <c r="Y269" s="30"/>
      <c r="Z269" s="30"/>
      <c r="AA269" s="30"/>
      <c r="AB269" s="30"/>
      <c r="AC269" s="30"/>
      <c r="AD269" s="30"/>
      <c r="AE269" s="30"/>
    </row>
    <row r="270" ht="15.75" customHeight="1">
      <c r="A270" s="29"/>
      <c r="B270" s="30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3"/>
      <c r="V270" s="33"/>
      <c r="W270" s="30"/>
      <c r="X270" s="30"/>
      <c r="Y270" s="30"/>
      <c r="Z270" s="30"/>
      <c r="AA270" s="30"/>
      <c r="AB270" s="30"/>
      <c r="AC270" s="30"/>
      <c r="AD270" s="30"/>
      <c r="AE270" s="30"/>
    </row>
    <row r="271" ht="15.75" customHeight="1">
      <c r="A271" s="29"/>
      <c r="B271" s="30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3"/>
      <c r="V271" s="33"/>
      <c r="W271" s="30"/>
      <c r="X271" s="30"/>
      <c r="Y271" s="30"/>
      <c r="Z271" s="30"/>
      <c r="AA271" s="30"/>
      <c r="AB271" s="30"/>
      <c r="AC271" s="30"/>
      <c r="AD271" s="30"/>
      <c r="AE271" s="30"/>
    </row>
    <row r="272" ht="15.75" customHeight="1">
      <c r="A272" s="29"/>
      <c r="B272" s="30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3"/>
      <c r="V272" s="33"/>
      <c r="W272" s="30"/>
      <c r="X272" s="30"/>
      <c r="Y272" s="30"/>
      <c r="Z272" s="30"/>
      <c r="AA272" s="30"/>
      <c r="AB272" s="30"/>
      <c r="AC272" s="30"/>
      <c r="AD272" s="30"/>
      <c r="AE272" s="30"/>
    </row>
    <row r="273" ht="15.75" customHeight="1">
      <c r="A273" s="29"/>
      <c r="B273" s="30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3"/>
      <c r="V273" s="33"/>
      <c r="W273" s="30"/>
      <c r="X273" s="30"/>
      <c r="Y273" s="30"/>
      <c r="Z273" s="30"/>
      <c r="AA273" s="30"/>
      <c r="AB273" s="30"/>
      <c r="AC273" s="30"/>
      <c r="AD273" s="30"/>
      <c r="AE273" s="30"/>
    </row>
    <row r="274" ht="15.75" customHeight="1">
      <c r="A274" s="29"/>
      <c r="B274" s="30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3"/>
      <c r="V274" s="33"/>
      <c r="W274" s="30"/>
      <c r="X274" s="30"/>
      <c r="Y274" s="30"/>
      <c r="Z274" s="30"/>
      <c r="AA274" s="30"/>
      <c r="AB274" s="30"/>
      <c r="AC274" s="30"/>
      <c r="AD274" s="30"/>
      <c r="AE274" s="30"/>
    </row>
    <row r="275" ht="15.75" customHeight="1">
      <c r="A275" s="29"/>
      <c r="B275" s="30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3"/>
      <c r="V275" s="33"/>
      <c r="W275" s="30"/>
      <c r="X275" s="30"/>
      <c r="Y275" s="30"/>
      <c r="Z275" s="30"/>
      <c r="AA275" s="30"/>
      <c r="AB275" s="30"/>
      <c r="AC275" s="30"/>
      <c r="AD275" s="30"/>
      <c r="AE275" s="30"/>
    </row>
    <row r="276" ht="15.75" customHeight="1">
      <c r="A276" s="29"/>
      <c r="B276" s="30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3"/>
      <c r="V276" s="33"/>
      <c r="W276" s="30"/>
      <c r="X276" s="30"/>
      <c r="Y276" s="30"/>
      <c r="Z276" s="30"/>
      <c r="AA276" s="30"/>
      <c r="AB276" s="30"/>
      <c r="AC276" s="30"/>
      <c r="AD276" s="30"/>
      <c r="AE276" s="30"/>
    </row>
    <row r="277" ht="15.75" customHeight="1">
      <c r="A277" s="29"/>
      <c r="B277" s="30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3"/>
      <c r="V277" s="33"/>
      <c r="W277" s="30"/>
      <c r="X277" s="30"/>
      <c r="Y277" s="30"/>
      <c r="Z277" s="30"/>
      <c r="AA277" s="30"/>
      <c r="AB277" s="30"/>
      <c r="AC277" s="30"/>
      <c r="AD277" s="30"/>
      <c r="AE277" s="30"/>
    </row>
    <row r="278" ht="15.75" customHeight="1">
      <c r="A278" s="29"/>
      <c r="B278" s="30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3"/>
      <c r="V278" s="33"/>
      <c r="W278" s="30"/>
      <c r="X278" s="30"/>
      <c r="Y278" s="30"/>
      <c r="Z278" s="30"/>
      <c r="AA278" s="30"/>
      <c r="AB278" s="30"/>
      <c r="AC278" s="30"/>
      <c r="AD278" s="30"/>
      <c r="AE278" s="30"/>
    </row>
    <row r="279" ht="15.75" customHeight="1">
      <c r="A279" s="29"/>
      <c r="B279" s="30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3"/>
      <c r="V279" s="33"/>
      <c r="W279" s="30"/>
      <c r="X279" s="30"/>
      <c r="Y279" s="30"/>
      <c r="Z279" s="30"/>
      <c r="AA279" s="30"/>
      <c r="AB279" s="30"/>
      <c r="AC279" s="30"/>
      <c r="AD279" s="30"/>
      <c r="AE279" s="30"/>
    </row>
    <row r="280" ht="15.75" customHeight="1">
      <c r="A280" s="29"/>
      <c r="B280" s="30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3"/>
      <c r="V280" s="33"/>
      <c r="W280" s="30"/>
      <c r="X280" s="30"/>
      <c r="Y280" s="30"/>
      <c r="Z280" s="30"/>
      <c r="AA280" s="30"/>
      <c r="AB280" s="30"/>
      <c r="AC280" s="30"/>
      <c r="AD280" s="30"/>
      <c r="AE280" s="30"/>
    </row>
    <row r="281" ht="15.75" customHeight="1">
      <c r="A281" s="29"/>
      <c r="B281" s="30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3"/>
      <c r="V281" s="33"/>
      <c r="W281" s="30"/>
      <c r="X281" s="30"/>
      <c r="Y281" s="30"/>
      <c r="Z281" s="30"/>
      <c r="AA281" s="30"/>
      <c r="AB281" s="30"/>
      <c r="AC281" s="30"/>
      <c r="AD281" s="30"/>
      <c r="AE281" s="30"/>
    </row>
    <row r="282" ht="15.75" customHeight="1">
      <c r="A282" s="29"/>
      <c r="B282" s="30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3"/>
      <c r="V282" s="33"/>
      <c r="W282" s="30"/>
      <c r="X282" s="30"/>
      <c r="Y282" s="30"/>
      <c r="Z282" s="30"/>
      <c r="AA282" s="30"/>
      <c r="AB282" s="30"/>
      <c r="AC282" s="30"/>
      <c r="AD282" s="30"/>
      <c r="AE282" s="30"/>
    </row>
    <row r="283" ht="15.75" customHeight="1">
      <c r="A283" s="29"/>
      <c r="B283" s="30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3"/>
      <c r="V283" s="33"/>
      <c r="W283" s="30"/>
      <c r="X283" s="30"/>
      <c r="Y283" s="30"/>
      <c r="Z283" s="30"/>
      <c r="AA283" s="30"/>
      <c r="AB283" s="30"/>
      <c r="AC283" s="30"/>
      <c r="AD283" s="30"/>
      <c r="AE283" s="30"/>
    </row>
    <row r="284" ht="15.75" customHeight="1">
      <c r="A284" s="29"/>
      <c r="B284" s="30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3"/>
      <c r="V284" s="33"/>
      <c r="W284" s="30"/>
      <c r="X284" s="30"/>
      <c r="Y284" s="30"/>
      <c r="Z284" s="30"/>
      <c r="AA284" s="30"/>
      <c r="AB284" s="30"/>
      <c r="AC284" s="30"/>
      <c r="AD284" s="30"/>
      <c r="AE284" s="30"/>
    </row>
    <row r="285" ht="15.75" customHeight="1">
      <c r="A285" s="29"/>
      <c r="B285" s="30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3"/>
      <c r="V285" s="33"/>
      <c r="W285" s="30"/>
      <c r="X285" s="30"/>
      <c r="Y285" s="30"/>
      <c r="Z285" s="30"/>
      <c r="AA285" s="30"/>
      <c r="AB285" s="30"/>
      <c r="AC285" s="30"/>
      <c r="AD285" s="30"/>
      <c r="AE285" s="30"/>
    </row>
    <row r="286" ht="15.75" customHeight="1">
      <c r="A286" s="29"/>
      <c r="B286" s="30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3"/>
      <c r="V286" s="33"/>
      <c r="W286" s="30"/>
      <c r="X286" s="30"/>
      <c r="Y286" s="30"/>
      <c r="Z286" s="30"/>
      <c r="AA286" s="30"/>
      <c r="AB286" s="30"/>
      <c r="AC286" s="30"/>
      <c r="AD286" s="30"/>
      <c r="AE286" s="30"/>
    </row>
    <row r="287" ht="15.75" customHeight="1">
      <c r="A287" s="29"/>
      <c r="B287" s="30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3"/>
      <c r="V287" s="33"/>
      <c r="W287" s="30"/>
      <c r="X287" s="30"/>
      <c r="Y287" s="30"/>
      <c r="Z287" s="30"/>
      <c r="AA287" s="30"/>
      <c r="AB287" s="30"/>
      <c r="AC287" s="30"/>
      <c r="AD287" s="30"/>
      <c r="AE287" s="30"/>
    </row>
    <row r="288" ht="15.75" customHeight="1">
      <c r="A288" s="29"/>
      <c r="B288" s="30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3"/>
      <c r="V288" s="33"/>
      <c r="W288" s="30"/>
      <c r="X288" s="30"/>
      <c r="Y288" s="30"/>
      <c r="Z288" s="30"/>
      <c r="AA288" s="30"/>
      <c r="AB288" s="30"/>
      <c r="AC288" s="30"/>
      <c r="AD288" s="30"/>
      <c r="AE288" s="30"/>
    </row>
    <row r="289" ht="15.75" customHeight="1">
      <c r="A289" s="29"/>
      <c r="B289" s="30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3"/>
      <c r="V289" s="33"/>
      <c r="W289" s="30"/>
      <c r="X289" s="30"/>
      <c r="Y289" s="30"/>
      <c r="Z289" s="30"/>
      <c r="AA289" s="30"/>
      <c r="AB289" s="30"/>
      <c r="AC289" s="30"/>
      <c r="AD289" s="30"/>
      <c r="AE289" s="30"/>
    </row>
    <row r="290" ht="15.75" customHeight="1">
      <c r="A290" s="29"/>
      <c r="B290" s="30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3"/>
      <c r="V290" s="33"/>
      <c r="W290" s="30"/>
      <c r="X290" s="30"/>
      <c r="Y290" s="30"/>
      <c r="Z290" s="30"/>
      <c r="AA290" s="30"/>
      <c r="AB290" s="30"/>
      <c r="AC290" s="30"/>
      <c r="AD290" s="30"/>
      <c r="AE290" s="30"/>
    </row>
    <row r="291" ht="15.75" customHeight="1">
      <c r="A291" s="29"/>
      <c r="B291" s="30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3"/>
      <c r="V291" s="33"/>
      <c r="W291" s="30"/>
      <c r="X291" s="30"/>
      <c r="Y291" s="30"/>
      <c r="Z291" s="30"/>
      <c r="AA291" s="30"/>
      <c r="AB291" s="30"/>
      <c r="AC291" s="30"/>
      <c r="AD291" s="30"/>
      <c r="AE291" s="30"/>
    </row>
    <row r="292" ht="15.75" customHeight="1">
      <c r="A292" s="29"/>
      <c r="B292" s="30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3"/>
      <c r="V292" s="33"/>
      <c r="W292" s="30"/>
      <c r="X292" s="30"/>
      <c r="Y292" s="30"/>
      <c r="Z292" s="30"/>
      <c r="AA292" s="30"/>
      <c r="AB292" s="30"/>
      <c r="AC292" s="30"/>
      <c r="AD292" s="30"/>
      <c r="AE292" s="30"/>
    </row>
    <row r="293" ht="15.75" customHeight="1">
      <c r="A293" s="29"/>
      <c r="B293" s="30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3"/>
      <c r="V293" s="33"/>
      <c r="W293" s="30"/>
      <c r="X293" s="30"/>
      <c r="Y293" s="30"/>
      <c r="Z293" s="30"/>
      <c r="AA293" s="30"/>
      <c r="AB293" s="30"/>
      <c r="AC293" s="30"/>
      <c r="AD293" s="30"/>
      <c r="AE293" s="30"/>
    </row>
    <row r="294" ht="15.75" customHeight="1">
      <c r="A294" s="29"/>
      <c r="B294" s="30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3"/>
      <c r="V294" s="33"/>
      <c r="W294" s="30"/>
      <c r="X294" s="30"/>
      <c r="Y294" s="30"/>
      <c r="Z294" s="30"/>
      <c r="AA294" s="30"/>
      <c r="AB294" s="30"/>
      <c r="AC294" s="30"/>
      <c r="AD294" s="30"/>
      <c r="AE294" s="30"/>
    </row>
    <row r="295" ht="15.75" customHeight="1">
      <c r="A295" s="29"/>
      <c r="B295" s="30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3"/>
      <c r="V295" s="33"/>
      <c r="W295" s="30"/>
      <c r="X295" s="30"/>
      <c r="Y295" s="30"/>
      <c r="Z295" s="30"/>
      <c r="AA295" s="30"/>
      <c r="AB295" s="30"/>
      <c r="AC295" s="30"/>
      <c r="AD295" s="30"/>
      <c r="AE295" s="30"/>
    </row>
    <row r="296" ht="15.75" customHeight="1">
      <c r="A296" s="29"/>
      <c r="B296" s="30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3"/>
      <c r="V296" s="33"/>
      <c r="W296" s="30"/>
      <c r="X296" s="30"/>
      <c r="Y296" s="30"/>
      <c r="Z296" s="30"/>
      <c r="AA296" s="30"/>
      <c r="AB296" s="30"/>
      <c r="AC296" s="30"/>
      <c r="AD296" s="30"/>
      <c r="AE296" s="30"/>
    </row>
    <row r="297" ht="15.75" customHeight="1">
      <c r="A297" s="29"/>
      <c r="B297" s="30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3"/>
      <c r="V297" s="33"/>
      <c r="W297" s="30"/>
      <c r="X297" s="30"/>
      <c r="Y297" s="30"/>
      <c r="Z297" s="30"/>
      <c r="AA297" s="30"/>
      <c r="AB297" s="30"/>
      <c r="AC297" s="30"/>
      <c r="AD297" s="30"/>
      <c r="AE297" s="30"/>
    </row>
    <row r="298" ht="15.75" customHeight="1">
      <c r="A298" s="29"/>
      <c r="B298" s="30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3"/>
      <c r="V298" s="33"/>
      <c r="W298" s="30"/>
      <c r="X298" s="30"/>
      <c r="Y298" s="30"/>
      <c r="Z298" s="30"/>
      <c r="AA298" s="30"/>
      <c r="AB298" s="30"/>
      <c r="AC298" s="30"/>
      <c r="AD298" s="30"/>
      <c r="AE298" s="30"/>
    </row>
    <row r="299" ht="15.75" customHeight="1">
      <c r="A299" s="29"/>
      <c r="B299" s="30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3"/>
      <c r="V299" s="33"/>
      <c r="W299" s="30"/>
      <c r="X299" s="30"/>
      <c r="Y299" s="30"/>
      <c r="Z299" s="30"/>
      <c r="AA299" s="30"/>
      <c r="AB299" s="30"/>
      <c r="AC299" s="30"/>
      <c r="AD299" s="30"/>
      <c r="AE299" s="30"/>
    </row>
    <row r="300" ht="15.75" customHeight="1">
      <c r="A300" s="29"/>
      <c r="B300" s="30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3"/>
      <c r="V300" s="33"/>
      <c r="W300" s="30"/>
      <c r="X300" s="30"/>
      <c r="Y300" s="30"/>
      <c r="Z300" s="30"/>
      <c r="AA300" s="30"/>
      <c r="AB300" s="30"/>
      <c r="AC300" s="30"/>
      <c r="AD300" s="30"/>
      <c r="AE300" s="30"/>
    </row>
    <row r="301" ht="15.75" customHeight="1">
      <c r="A301" s="29"/>
      <c r="B301" s="30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3"/>
      <c r="V301" s="33"/>
      <c r="W301" s="30"/>
      <c r="X301" s="30"/>
      <c r="Y301" s="30"/>
      <c r="Z301" s="30"/>
      <c r="AA301" s="30"/>
      <c r="AB301" s="30"/>
      <c r="AC301" s="30"/>
      <c r="AD301" s="30"/>
      <c r="AE301" s="30"/>
    </row>
    <row r="302" ht="15.75" customHeight="1">
      <c r="A302" s="29"/>
      <c r="B302" s="30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3"/>
      <c r="V302" s="33"/>
      <c r="W302" s="30"/>
      <c r="X302" s="30"/>
      <c r="Y302" s="30"/>
      <c r="Z302" s="30"/>
      <c r="AA302" s="30"/>
      <c r="AB302" s="30"/>
      <c r="AC302" s="30"/>
      <c r="AD302" s="30"/>
      <c r="AE302" s="30"/>
    </row>
    <row r="303" ht="15.75" customHeight="1">
      <c r="A303" s="29"/>
      <c r="B303" s="30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3"/>
      <c r="V303" s="33"/>
      <c r="W303" s="30"/>
      <c r="X303" s="30"/>
      <c r="Y303" s="30"/>
      <c r="Z303" s="30"/>
      <c r="AA303" s="30"/>
      <c r="AB303" s="30"/>
      <c r="AC303" s="30"/>
      <c r="AD303" s="30"/>
      <c r="AE303" s="30"/>
    </row>
    <row r="304" ht="15.75" customHeight="1">
      <c r="A304" s="29"/>
      <c r="B304" s="30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3"/>
      <c r="V304" s="33"/>
      <c r="W304" s="30"/>
      <c r="X304" s="30"/>
      <c r="Y304" s="30"/>
      <c r="Z304" s="30"/>
      <c r="AA304" s="30"/>
      <c r="AB304" s="30"/>
      <c r="AC304" s="30"/>
      <c r="AD304" s="30"/>
      <c r="AE304" s="30"/>
    </row>
    <row r="305" ht="15.75" customHeight="1">
      <c r="A305" s="29"/>
      <c r="B305" s="30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3"/>
      <c r="V305" s="33"/>
      <c r="W305" s="30"/>
      <c r="X305" s="30"/>
      <c r="Y305" s="30"/>
      <c r="Z305" s="30"/>
      <c r="AA305" s="30"/>
      <c r="AB305" s="30"/>
      <c r="AC305" s="30"/>
      <c r="AD305" s="30"/>
      <c r="AE305" s="30"/>
    </row>
    <row r="306" ht="15.75" customHeight="1">
      <c r="A306" s="29"/>
      <c r="B306" s="30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3"/>
      <c r="V306" s="33"/>
      <c r="W306" s="30"/>
      <c r="X306" s="30"/>
      <c r="Y306" s="30"/>
      <c r="Z306" s="30"/>
      <c r="AA306" s="30"/>
      <c r="AB306" s="30"/>
      <c r="AC306" s="30"/>
      <c r="AD306" s="30"/>
      <c r="AE306" s="30"/>
    </row>
    <row r="307" ht="15.75" customHeight="1">
      <c r="A307" s="29"/>
      <c r="B307" s="30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3"/>
      <c r="V307" s="33"/>
      <c r="W307" s="30"/>
      <c r="X307" s="30"/>
      <c r="Y307" s="30"/>
      <c r="Z307" s="30"/>
      <c r="AA307" s="30"/>
      <c r="AB307" s="30"/>
      <c r="AC307" s="30"/>
      <c r="AD307" s="30"/>
      <c r="AE307" s="30"/>
    </row>
    <row r="308" ht="15.75" customHeight="1">
      <c r="A308" s="29"/>
      <c r="B308" s="30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3"/>
      <c r="V308" s="33"/>
      <c r="W308" s="30"/>
      <c r="X308" s="30"/>
      <c r="Y308" s="30"/>
      <c r="Z308" s="30"/>
      <c r="AA308" s="30"/>
      <c r="AB308" s="30"/>
      <c r="AC308" s="30"/>
      <c r="AD308" s="30"/>
      <c r="AE308" s="30"/>
    </row>
    <row r="309" ht="15.75" customHeight="1">
      <c r="A309" s="29"/>
      <c r="B309" s="30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3"/>
      <c r="V309" s="33"/>
      <c r="W309" s="30"/>
      <c r="X309" s="30"/>
      <c r="Y309" s="30"/>
      <c r="Z309" s="30"/>
      <c r="AA309" s="30"/>
      <c r="AB309" s="30"/>
      <c r="AC309" s="30"/>
      <c r="AD309" s="30"/>
      <c r="AE309" s="30"/>
    </row>
    <row r="310" ht="15.75" customHeight="1">
      <c r="A310" s="29"/>
      <c r="B310" s="30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3"/>
      <c r="V310" s="33"/>
      <c r="W310" s="30"/>
      <c r="X310" s="30"/>
      <c r="Y310" s="30"/>
      <c r="Z310" s="30"/>
      <c r="AA310" s="30"/>
      <c r="AB310" s="30"/>
      <c r="AC310" s="30"/>
      <c r="AD310" s="30"/>
      <c r="AE310" s="30"/>
    </row>
    <row r="311" ht="15.75" customHeight="1">
      <c r="A311" s="29"/>
      <c r="B311" s="30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3"/>
      <c r="V311" s="33"/>
      <c r="W311" s="30"/>
      <c r="X311" s="30"/>
      <c r="Y311" s="30"/>
      <c r="Z311" s="30"/>
      <c r="AA311" s="30"/>
      <c r="AB311" s="30"/>
      <c r="AC311" s="30"/>
      <c r="AD311" s="30"/>
      <c r="AE311" s="30"/>
    </row>
    <row r="312" ht="15.75" customHeight="1">
      <c r="A312" s="29"/>
      <c r="B312" s="30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3"/>
      <c r="V312" s="33"/>
      <c r="W312" s="30"/>
      <c r="X312" s="30"/>
      <c r="Y312" s="30"/>
      <c r="Z312" s="30"/>
      <c r="AA312" s="30"/>
      <c r="AB312" s="30"/>
      <c r="AC312" s="30"/>
      <c r="AD312" s="30"/>
      <c r="AE312" s="30"/>
    </row>
    <row r="313" ht="15.75" customHeight="1">
      <c r="A313" s="29"/>
      <c r="B313" s="30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3"/>
      <c r="V313" s="33"/>
      <c r="W313" s="30"/>
      <c r="X313" s="30"/>
      <c r="Y313" s="30"/>
      <c r="Z313" s="30"/>
      <c r="AA313" s="30"/>
      <c r="AB313" s="30"/>
      <c r="AC313" s="30"/>
      <c r="AD313" s="30"/>
      <c r="AE313" s="30"/>
    </row>
    <row r="314" ht="15.75" customHeight="1">
      <c r="A314" s="29"/>
      <c r="B314" s="30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3"/>
      <c r="V314" s="33"/>
      <c r="W314" s="30"/>
      <c r="X314" s="30"/>
      <c r="Y314" s="30"/>
      <c r="Z314" s="30"/>
      <c r="AA314" s="30"/>
      <c r="AB314" s="30"/>
      <c r="AC314" s="30"/>
      <c r="AD314" s="30"/>
      <c r="AE314" s="30"/>
    </row>
    <row r="315" ht="15.75" customHeight="1">
      <c r="A315" s="29"/>
      <c r="B315" s="30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3"/>
      <c r="V315" s="33"/>
      <c r="W315" s="30"/>
      <c r="X315" s="30"/>
      <c r="Y315" s="30"/>
      <c r="Z315" s="30"/>
      <c r="AA315" s="30"/>
      <c r="AB315" s="30"/>
      <c r="AC315" s="30"/>
      <c r="AD315" s="30"/>
      <c r="AE315" s="30"/>
    </row>
    <row r="316" ht="15.75" customHeight="1">
      <c r="A316" s="29"/>
      <c r="B316" s="30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3"/>
      <c r="V316" s="33"/>
      <c r="W316" s="30"/>
      <c r="X316" s="30"/>
      <c r="Y316" s="30"/>
      <c r="Z316" s="30"/>
      <c r="AA316" s="30"/>
      <c r="AB316" s="30"/>
      <c r="AC316" s="30"/>
      <c r="AD316" s="30"/>
      <c r="AE316" s="30"/>
    </row>
    <row r="317" ht="15.75" customHeight="1">
      <c r="A317" s="29"/>
      <c r="B317" s="30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3"/>
      <c r="V317" s="33"/>
      <c r="W317" s="30"/>
      <c r="X317" s="30"/>
      <c r="Y317" s="30"/>
      <c r="Z317" s="30"/>
      <c r="AA317" s="30"/>
      <c r="AB317" s="30"/>
      <c r="AC317" s="30"/>
      <c r="AD317" s="30"/>
      <c r="AE317" s="30"/>
    </row>
    <row r="318" ht="15.75" customHeight="1">
      <c r="A318" s="29"/>
      <c r="B318" s="30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3"/>
      <c r="V318" s="33"/>
      <c r="W318" s="30"/>
      <c r="X318" s="30"/>
      <c r="Y318" s="30"/>
      <c r="Z318" s="30"/>
      <c r="AA318" s="30"/>
      <c r="AB318" s="30"/>
      <c r="AC318" s="30"/>
      <c r="AD318" s="30"/>
      <c r="AE318" s="30"/>
    </row>
    <row r="319" ht="15.75" customHeight="1">
      <c r="A319" s="29"/>
      <c r="B319" s="30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3"/>
      <c r="V319" s="33"/>
      <c r="W319" s="30"/>
      <c r="X319" s="30"/>
      <c r="Y319" s="30"/>
      <c r="Z319" s="30"/>
      <c r="AA319" s="30"/>
      <c r="AB319" s="30"/>
      <c r="AC319" s="30"/>
      <c r="AD319" s="30"/>
      <c r="AE319" s="30"/>
    </row>
    <row r="320" ht="15.75" customHeight="1">
      <c r="A320" s="29"/>
      <c r="B320" s="30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3"/>
      <c r="V320" s="33"/>
      <c r="W320" s="30"/>
      <c r="X320" s="30"/>
      <c r="Y320" s="30"/>
      <c r="Z320" s="30"/>
      <c r="AA320" s="30"/>
      <c r="AB320" s="30"/>
      <c r="AC320" s="30"/>
      <c r="AD320" s="30"/>
      <c r="AE320" s="30"/>
    </row>
    <row r="321" ht="15.75" customHeight="1">
      <c r="A321" s="29"/>
      <c r="B321" s="30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3"/>
      <c r="V321" s="33"/>
      <c r="W321" s="30"/>
      <c r="X321" s="30"/>
      <c r="Y321" s="30"/>
      <c r="Z321" s="30"/>
      <c r="AA321" s="30"/>
      <c r="AB321" s="30"/>
      <c r="AC321" s="30"/>
      <c r="AD321" s="30"/>
      <c r="AE321" s="30"/>
    </row>
    <row r="322" ht="15.75" customHeight="1">
      <c r="A322" s="29"/>
      <c r="B322" s="30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3"/>
      <c r="V322" s="33"/>
      <c r="W322" s="30"/>
      <c r="X322" s="30"/>
      <c r="Y322" s="30"/>
      <c r="Z322" s="30"/>
      <c r="AA322" s="30"/>
      <c r="AB322" s="30"/>
      <c r="AC322" s="30"/>
      <c r="AD322" s="30"/>
      <c r="AE322" s="30"/>
    </row>
    <row r="323" ht="15.75" customHeight="1">
      <c r="A323" s="29"/>
      <c r="B323" s="30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3"/>
      <c r="V323" s="33"/>
      <c r="W323" s="30"/>
      <c r="X323" s="30"/>
      <c r="Y323" s="30"/>
      <c r="Z323" s="30"/>
      <c r="AA323" s="30"/>
      <c r="AB323" s="30"/>
      <c r="AC323" s="30"/>
      <c r="AD323" s="30"/>
      <c r="AE323" s="30"/>
    </row>
    <row r="324" ht="15.75" customHeight="1">
      <c r="A324" s="29"/>
      <c r="B324" s="30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3"/>
      <c r="V324" s="33"/>
      <c r="W324" s="30"/>
      <c r="X324" s="30"/>
      <c r="Y324" s="30"/>
      <c r="Z324" s="30"/>
      <c r="AA324" s="30"/>
      <c r="AB324" s="30"/>
      <c r="AC324" s="30"/>
      <c r="AD324" s="30"/>
      <c r="AE324" s="30"/>
    </row>
    <row r="325" ht="15.75" customHeight="1">
      <c r="A325" s="29"/>
      <c r="B325" s="30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3"/>
      <c r="V325" s="33"/>
      <c r="W325" s="30"/>
      <c r="X325" s="30"/>
      <c r="Y325" s="30"/>
      <c r="Z325" s="30"/>
      <c r="AA325" s="30"/>
      <c r="AB325" s="30"/>
      <c r="AC325" s="30"/>
      <c r="AD325" s="30"/>
      <c r="AE325" s="30"/>
    </row>
    <row r="326" ht="15.75" customHeight="1">
      <c r="A326" s="29"/>
      <c r="B326" s="30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3"/>
      <c r="V326" s="33"/>
      <c r="W326" s="30"/>
      <c r="X326" s="30"/>
      <c r="Y326" s="30"/>
      <c r="Z326" s="30"/>
      <c r="AA326" s="30"/>
      <c r="AB326" s="30"/>
      <c r="AC326" s="30"/>
      <c r="AD326" s="30"/>
      <c r="AE326" s="30"/>
    </row>
    <row r="327" ht="15.75" customHeight="1">
      <c r="A327" s="29"/>
      <c r="B327" s="30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3"/>
      <c r="V327" s="33"/>
      <c r="W327" s="30"/>
      <c r="X327" s="30"/>
      <c r="Y327" s="30"/>
      <c r="Z327" s="30"/>
      <c r="AA327" s="30"/>
      <c r="AB327" s="30"/>
      <c r="AC327" s="30"/>
      <c r="AD327" s="30"/>
      <c r="AE327" s="30"/>
    </row>
    <row r="328" ht="15.75" customHeight="1">
      <c r="A328" s="29"/>
      <c r="B328" s="30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3"/>
      <c r="V328" s="33"/>
      <c r="W328" s="30"/>
      <c r="X328" s="30"/>
      <c r="Y328" s="30"/>
      <c r="Z328" s="30"/>
      <c r="AA328" s="30"/>
      <c r="AB328" s="30"/>
      <c r="AC328" s="30"/>
      <c r="AD328" s="30"/>
      <c r="AE328" s="30"/>
    </row>
    <row r="329" ht="15.75" customHeight="1">
      <c r="A329" s="29"/>
      <c r="B329" s="30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3"/>
      <c r="V329" s="33"/>
      <c r="W329" s="30"/>
      <c r="X329" s="30"/>
      <c r="Y329" s="30"/>
      <c r="Z329" s="30"/>
      <c r="AA329" s="30"/>
      <c r="AB329" s="30"/>
      <c r="AC329" s="30"/>
      <c r="AD329" s="30"/>
      <c r="AE329" s="30"/>
    </row>
    <row r="330" ht="15.75" customHeight="1">
      <c r="A330" s="29"/>
      <c r="B330" s="30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3"/>
      <c r="V330" s="33"/>
      <c r="W330" s="30"/>
      <c r="X330" s="30"/>
      <c r="Y330" s="30"/>
      <c r="Z330" s="30"/>
      <c r="AA330" s="30"/>
      <c r="AB330" s="30"/>
      <c r="AC330" s="30"/>
      <c r="AD330" s="30"/>
      <c r="AE330" s="30"/>
    </row>
    <row r="331" ht="15.75" customHeight="1">
      <c r="A331" s="29"/>
      <c r="B331" s="30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3"/>
      <c r="V331" s="33"/>
      <c r="W331" s="30"/>
      <c r="X331" s="30"/>
      <c r="Y331" s="30"/>
      <c r="Z331" s="30"/>
      <c r="AA331" s="30"/>
      <c r="AB331" s="30"/>
      <c r="AC331" s="30"/>
      <c r="AD331" s="30"/>
      <c r="AE331" s="30"/>
    </row>
    <row r="332" ht="15.75" customHeight="1">
      <c r="A332" s="29"/>
      <c r="B332" s="30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3"/>
      <c r="V332" s="33"/>
      <c r="W332" s="30"/>
      <c r="X332" s="30"/>
      <c r="Y332" s="30"/>
      <c r="Z332" s="30"/>
      <c r="AA332" s="30"/>
      <c r="AB332" s="30"/>
      <c r="AC332" s="30"/>
      <c r="AD332" s="30"/>
      <c r="AE332" s="30"/>
    </row>
    <row r="333" ht="15.75" customHeight="1">
      <c r="A333" s="29"/>
      <c r="B333" s="30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3"/>
      <c r="V333" s="33"/>
      <c r="W333" s="30"/>
      <c r="X333" s="30"/>
      <c r="Y333" s="30"/>
      <c r="Z333" s="30"/>
      <c r="AA333" s="30"/>
      <c r="AB333" s="30"/>
      <c r="AC333" s="30"/>
      <c r="AD333" s="30"/>
      <c r="AE333" s="30"/>
    </row>
    <row r="334" ht="15.75" customHeight="1">
      <c r="A334" s="29"/>
      <c r="B334" s="30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3"/>
      <c r="V334" s="33"/>
      <c r="W334" s="30"/>
      <c r="X334" s="30"/>
      <c r="Y334" s="30"/>
      <c r="Z334" s="30"/>
      <c r="AA334" s="30"/>
      <c r="AB334" s="30"/>
      <c r="AC334" s="30"/>
      <c r="AD334" s="30"/>
      <c r="AE334" s="30"/>
    </row>
    <row r="335" ht="15.75" customHeight="1">
      <c r="A335" s="29"/>
      <c r="B335" s="30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3"/>
      <c r="V335" s="33"/>
      <c r="W335" s="30"/>
      <c r="X335" s="30"/>
      <c r="Y335" s="30"/>
      <c r="Z335" s="30"/>
      <c r="AA335" s="30"/>
      <c r="AB335" s="30"/>
      <c r="AC335" s="30"/>
      <c r="AD335" s="30"/>
      <c r="AE335" s="30"/>
    </row>
    <row r="336" ht="15.75" customHeight="1">
      <c r="A336" s="29"/>
      <c r="B336" s="30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3"/>
      <c r="V336" s="33"/>
      <c r="W336" s="30"/>
      <c r="X336" s="30"/>
      <c r="Y336" s="30"/>
      <c r="Z336" s="30"/>
      <c r="AA336" s="30"/>
      <c r="AB336" s="30"/>
      <c r="AC336" s="30"/>
      <c r="AD336" s="30"/>
      <c r="AE336" s="30"/>
    </row>
    <row r="337" ht="15.75" customHeight="1">
      <c r="A337" s="29"/>
      <c r="B337" s="30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3"/>
      <c r="V337" s="33"/>
      <c r="W337" s="30"/>
      <c r="X337" s="30"/>
      <c r="Y337" s="30"/>
      <c r="Z337" s="30"/>
      <c r="AA337" s="30"/>
      <c r="AB337" s="30"/>
      <c r="AC337" s="30"/>
      <c r="AD337" s="30"/>
      <c r="AE337" s="30"/>
    </row>
    <row r="338" ht="15.75" customHeight="1">
      <c r="A338" s="29"/>
      <c r="B338" s="30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3"/>
      <c r="V338" s="33"/>
      <c r="W338" s="30"/>
      <c r="X338" s="30"/>
      <c r="Y338" s="30"/>
      <c r="Z338" s="30"/>
      <c r="AA338" s="30"/>
      <c r="AB338" s="30"/>
      <c r="AC338" s="30"/>
      <c r="AD338" s="30"/>
      <c r="AE338" s="30"/>
    </row>
    <row r="339" ht="15.75" customHeight="1">
      <c r="A339" s="29"/>
      <c r="B339" s="30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3"/>
      <c r="V339" s="33"/>
      <c r="W339" s="30"/>
      <c r="X339" s="30"/>
      <c r="Y339" s="30"/>
      <c r="Z339" s="30"/>
      <c r="AA339" s="30"/>
      <c r="AB339" s="30"/>
      <c r="AC339" s="30"/>
      <c r="AD339" s="30"/>
      <c r="AE339" s="30"/>
    </row>
    <row r="340" ht="15.75" customHeight="1">
      <c r="A340" s="29"/>
      <c r="B340" s="30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3"/>
      <c r="V340" s="33"/>
      <c r="W340" s="30"/>
      <c r="X340" s="30"/>
      <c r="Y340" s="30"/>
      <c r="Z340" s="30"/>
      <c r="AA340" s="30"/>
      <c r="AB340" s="30"/>
      <c r="AC340" s="30"/>
      <c r="AD340" s="30"/>
      <c r="AE340" s="30"/>
    </row>
    <row r="341" ht="15.75" customHeight="1">
      <c r="A341" s="29"/>
      <c r="B341" s="30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3"/>
      <c r="V341" s="33"/>
      <c r="W341" s="30"/>
      <c r="X341" s="30"/>
      <c r="Y341" s="30"/>
      <c r="Z341" s="30"/>
      <c r="AA341" s="30"/>
      <c r="AB341" s="30"/>
      <c r="AC341" s="30"/>
      <c r="AD341" s="30"/>
      <c r="AE341" s="30"/>
    </row>
    <row r="342" ht="15.75" customHeight="1">
      <c r="A342" s="29"/>
      <c r="B342" s="30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3"/>
      <c r="V342" s="33"/>
      <c r="W342" s="30"/>
      <c r="X342" s="30"/>
      <c r="Y342" s="30"/>
      <c r="Z342" s="30"/>
      <c r="AA342" s="30"/>
      <c r="AB342" s="30"/>
      <c r="AC342" s="30"/>
      <c r="AD342" s="30"/>
      <c r="AE342" s="30"/>
    </row>
    <row r="343" ht="15.75" customHeight="1">
      <c r="A343" s="29"/>
      <c r="B343" s="30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3"/>
      <c r="V343" s="33"/>
      <c r="W343" s="30"/>
      <c r="X343" s="30"/>
      <c r="Y343" s="30"/>
      <c r="Z343" s="30"/>
      <c r="AA343" s="30"/>
      <c r="AB343" s="30"/>
      <c r="AC343" s="30"/>
      <c r="AD343" s="30"/>
      <c r="AE343" s="30"/>
    </row>
    <row r="344" ht="15.75" customHeight="1">
      <c r="A344" s="29"/>
      <c r="B344" s="30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3"/>
      <c r="V344" s="33"/>
      <c r="W344" s="30"/>
      <c r="X344" s="30"/>
      <c r="Y344" s="30"/>
      <c r="Z344" s="30"/>
      <c r="AA344" s="30"/>
      <c r="AB344" s="30"/>
      <c r="AC344" s="30"/>
      <c r="AD344" s="30"/>
      <c r="AE344" s="30"/>
    </row>
    <row r="345" ht="15.75" customHeight="1">
      <c r="U345" s="34"/>
      <c r="V345" s="34"/>
    </row>
    <row r="346" ht="15.75" customHeight="1">
      <c r="U346" s="34"/>
      <c r="V346" s="34"/>
    </row>
    <row r="347" ht="15.75" customHeight="1">
      <c r="U347" s="34"/>
      <c r="V347" s="34"/>
    </row>
    <row r="348" ht="15.75" customHeight="1">
      <c r="U348" s="34"/>
      <c r="V348" s="34"/>
    </row>
    <row r="349" ht="15.75" customHeight="1">
      <c r="U349" s="34"/>
      <c r="V349" s="34"/>
    </row>
    <row r="350" ht="15.75" customHeight="1">
      <c r="U350" s="34"/>
      <c r="V350" s="34"/>
    </row>
    <row r="351" ht="15.75" customHeight="1">
      <c r="U351" s="34"/>
      <c r="V351" s="34"/>
    </row>
    <row r="352" ht="15.75" customHeight="1">
      <c r="U352" s="34"/>
      <c r="V352" s="34"/>
    </row>
    <row r="353" ht="15.75" customHeight="1">
      <c r="U353" s="34"/>
      <c r="V353" s="34"/>
    </row>
    <row r="354" ht="15.75" customHeight="1">
      <c r="U354" s="34"/>
      <c r="V354" s="34"/>
    </row>
    <row r="355" ht="15.75" customHeight="1">
      <c r="U355" s="34"/>
      <c r="V355" s="34"/>
    </row>
    <row r="356" ht="15.75" customHeight="1">
      <c r="U356" s="34"/>
      <c r="V356" s="34"/>
    </row>
    <row r="357" ht="15.75" customHeight="1">
      <c r="U357" s="34"/>
      <c r="V357" s="34"/>
    </row>
    <row r="358" ht="15.75" customHeight="1">
      <c r="U358" s="34"/>
      <c r="V358" s="34"/>
    </row>
    <row r="359" ht="15.75" customHeight="1">
      <c r="U359" s="34"/>
      <c r="V359" s="34"/>
    </row>
    <row r="360" ht="15.75" customHeight="1">
      <c r="U360" s="34"/>
      <c r="V360" s="34"/>
    </row>
    <row r="361" ht="15.75" customHeight="1">
      <c r="U361" s="34"/>
      <c r="V361" s="34"/>
    </row>
    <row r="362" ht="15.75" customHeight="1">
      <c r="U362" s="34"/>
      <c r="V362" s="34"/>
    </row>
    <row r="363" ht="15.75" customHeight="1">
      <c r="U363" s="34"/>
      <c r="V363" s="34"/>
    </row>
    <row r="364" ht="15.75" customHeight="1">
      <c r="U364" s="34"/>
      <c r="V364" s="34"/>
    </row>
    <row r="365" ht="15.75" customHeight="1">
      <c r="U365" s="34"/>
      <c r="V365" s="34"/>
    </row>
    <row r="366" ht="15.75" customHeight="1">
      <c r="U366" s="34"/>
      <c r="V366" s="34"/>
    </row>
    <row r="367" ht="15.75" customHeight="1">
      <c r="U367" s="34"/>
      <c r="V367" s="34"/>
    </row>
    <row r="368" ht="15.75" customHeight="1">
      <c r="U368" s="34"/>
      <c r="V368" s="34"/>
    </row>
    <row r="369" ht="15.75" customHeight="1">
      <c r="U369" s="34"/>
      <c r="V369" s="34"/>
    </row>
    <row r="370" ht="15.75" customHeight="1">
      <c r="U370" s="34"/>
      <c r="V370" s="34"/>
    </row>
    <row r="371" ht="15.75" customHeight="1">
      <c r="U371" s="34"/>
      <c r="V371" s="34"/>
    </row>
    <row r="372" ht="15.75" customHeight="1">
      <c r="U372" s="34"/>
      <c r="V372" s="34"/>
    </row>
    <row r="373" ht="15.75" customHeight="1">
      <c r="U373" s="34"/>
      <c r="V373" s="34"/>
    </row>
    <row r="374" ht="15.75" customHeight="1">
      <c r="U374" s="34"/>
      <c r="V374" s="34"/>
    </row>
    <row r="375" ht="15.75" customHeight="1">
      <c r="U375" s="34"/>
      <c r="V375" s="34"/>
    </row>
    <row r="376" ht="15.75" customHeight="1">
      <c r="U376" s="34"/>
      <c r="V376" s="34"/>
    </row>
    <row r="377" ht="15.75" customHeight="1">
      <c r="U377" s="34"/>
      <c r="V377" s="34"/>
    </row>
    <row r="378" ht="15.75" customHeight="1">
      <c r="U378" s="34"/>
      <c r="V378" s="34"/>
    </row>
    <row r="379" ht="15.75" customHeight="1">
      <c r="U379" s="34"/>
      <c r="V379" s="34"/>
    </row>
    <row r="380" ht="15.75" customHeight="1">
      <c r="U380" s="34"/>
      <c r="V380" s="34"/>
    </row>
    <row r="381" ht="15.75" customHeight="1">
      <c r="U381" s="34"/>
      <c r="V381" s="34"/>
    </row>
    <row r="382" ht="15.75" customHeight="1">
      <c r="U382" s="34"/>
      <c r="V382" s="34"/>
    </row>
    <row r="383" ht="15.75" customHeight="1">
      <c r="U383" s="34"/>
      <c r="V383" s="34"/>
    </row>
    <row r="384" ht="15.75" customHeight="1">
      <c r="U384" s="34"/>
      <c r="V384" s="34"/>
    </row>
    <row r="385" ht="15.75" customHeight="1">
      <c r="U385" s="34"/>
      <c r="V385" s="34"/>
    </row>
    <row r="386" ht="15.75" customHeight="1">
      <c r="U386" s="34"/>
      <c r="V386" s="34"/>
    </row>
    <row r="387" ht="15.75" customHeight="1">
      <c r="U387" s="34"/>
      <c r="V387" s="34"/>
    </row>
    <row r="388" ht="15.75" customHeight="1">
      <c r="U388" s="34"/>
      <c r="V388" s="34"/>
    </row>
    <row r="389" ht="15.75" customHeight="1">
      <c r="U389" s="34"/>
      <c r="V389" s="34"/>
    </row>
    <row r="390" ht="15.75" customHeight="1">
      <c r="U390" s="34"/>
      <c r="V390" s="34"/>
    </row>
    <row r="391" ht="15.75" customHeight="1">
      <c r="U391" s="34"/>
      <c r="V391" s="34"/>
    </row>
    <row r="392" ht="15.75" customHeight="1">
      <c r="U392" s="34"/>
      <c r="V392" s="34"/>
    </row>
    <row r="393" ht="15.75" customHeight="1">
      <c r="U393" s="34"/>
      <c r="V393" s="34"/>
    </row>
    <row r="394" ht="15.75" customHeight="1">
      <c r="U394" s="34"/>
      <c r="V394" s="34"/>
    </row>
    <row r="395" ht="15.75" customHeight="1">
      <c r="U395" s="34"/>
      <c r="V395" s="34"/>
    </row>
    <row r="396" ht="15.75" customHeight="1">
      <c r="U396" s="34"/>
      <c r="V396" s="34"/>
    </row>
    <row r="397" ht="15.75" customHeight="1">
      <c r="U397" s="34"/>
      <c r="V397" s="34"/>
    </row>
    <row r="398" ht="15.75" customHeight="1">
      <c r="U398" s="34"/>
      <c r="V398" s="34"/>
    </row>
    <row r="399" ht="15.75" customHeight="1">
      <c r="U399" s="34"/>
      <c r="V399" s="34"/>
    </row>
    <row r="400" ht="15.75" customHeight="1">
      <c r="U400" s="34"/>
      <c r="V400" s="34"/>
    </row>
    <row r="401" ht="15.75" customHeight="1">
      <c r="U401" s="34"/>
      <c r="V401" s="34"/>
    </row>
    <row r="402" ht="15.75" customHeight="1">
      <c r="U402" s="34"/>
      <c r="V402" s="34"/>
    </row>
    <row r="403" ht="15.75" customHeight="1">
      <c r="U403" s="34"/>
      <c r="V403" s="34"/>
    </row>
    <row r="404" ht="15.75" customHeight="1">
      <c r="U404" s="34"/>
      <c r="V404" s="34"/>
    </row>
    <row r="405" ht="15.75" customHeight="1">
      <c r="U405" s="34"/>
      <c r="V405" s="34"/>
    </row>
    <row r="406" ht="15.75" customHeight="1">
      <c r="U406" s="34"/>
      <c r="V406" s="34"/>
    </row>
    <row r="407" ht="15.75" customHeight="1">
      <c r="U407" s="34"/>
      <c r="V407" s="34"/>
    </row>
    <row r="408" ht="15.75" customHeight="1">
      <c r="U408" s="34"/>
      <c r="V408" s="34"/>
    </row>
    <row r="409" ht="15.75" customHeight="1">
      <c r="U409" s="34"/>
      <c r="V409" s="34"/>
    </row>
    <row r="410" ht="15.75" customHeight="1">
      <c r="U410" s="34"/>
      <c r="V410" s="34"/>
    </row>
    <row r="411" ht="15.75" customHeight="1">
      <c r="U411" s="34"/>
      <c r="V411" s="34"/>
    </row>
    <row r="412" ht="15.75" customHeight="1">
      <c r="U412" s="34"/>
      <c r="V412" s="34"/>
    </row>
    <row r="413" ht="15.75" customHeight="1">
      <c r="U413" s="34"/>
      <c r="V413" s="34"/>
    </row>
    <row r="414" ht="15.75" customHeight="1">
      <c r="U414" s="34"/>
      <c r="V414" s="34"/>
    </row>
    <row r="415" ht="15.75" customHeight="1">
      <c r="U415" s="34"/>
      <c r="V415" s="34"/>
    </row>
    <row r="416" ht="15.75" customHeight="1">
      <c r="U416" s="34"/>
      <c r="V416" s="34"/>
    </row>
    <row r="417" ht="15.75" customHeight="1">
      <c r="U417" s="34"/>
      <c r="V417" s="34"/>
    </row>
    <row r="418" ht="15.75" customHeight="1">
      <c r="U418" s="34"/>
      <c r="V418" s="34"/>
    </row>
    <row r="419" ht="15.75" customHeight="1">
      <c r="U419" s="34"/>
      <c r="V419" s="34"/>
    </row>
    <row r="420" ht="15.75" customHeight="1">
      <c r="U420" s="34"/>
      <c r="V420" s="34"/>
    </row>
    <row r="421" ht="15.75" customHeight="1">
      <c r="U421" s="34"/>
      <c r="V421" s="34"/>
    </row>
    <row r="422" ht="15.75" customHeight="1">
      <c r="U422" s="34"/>
      <c r="V422" s="34"/>
    </row>
    <row r="423" ht="15.75" customHeight="1">
      <c r="U423" s="34"/>
      <c r="V423" s="34"/>
    </row>
    <row r="424" ht="15.75" customHeight="1">
      <c r="U424" s="34"/>
      <c r="V424" s="34"/>
    </row>
    <row r="425" ht="15.75" customHeight="1">
      <c r="U425" s="34"/>
      <c r="V425" s="34"/>
    </row>
    <row r="426" ht="15.75" customHeight="1">
      <c r="U426" s="34"/>
      <c r="V426" s="34"/>
    </row>
    <row r="427" ht="15.75" customHeight="1">
      <c r="U427" s="34"/>
      <c r="V427" s="34"/>
    </row>
    <row r="428" ht="15.75" customHeight="1">
      <c r="U428" s="34"/>
      <c r="V428" s="34"/>
    </row>
    <row r="429" ht="15.75" customHeight="1">
      <c r="U429" s="34"/>
      <c r="V429" s="34"/>
    </row>
    <row r="430" ht="15.75" customHeight="1">
      <c r="U430" s="34"/>
      <c r="V430" s="34"/>
    </row>
    <row r="431" ht="15.75" customHeight="1">
      <c r="U431" s="34"/>
      <c r="V431" s="34"/>
    </row>
    <row r="432" ht="15.75" customHeight="1">
      <c r="U432" s="34"/>
      <c r="V432" s="34"/>
    </row>
    <row r="433" ht="15.75" customHeight="1">
      <c r="U433" s="34"/>
      <c r="V433" s="34"/>
    </row>
    <row r="434" ht="15.75" customHeight="1">
      <c r="U434" s="34"/>
      <c r="V434" s="34"/>
    </row>
    <row r="435" ht="15.75" customHeight="1">
      <c r="U435" s="34"/>
      <c r="V435" s="34"/>
    </row>
    <row r="436" ht="15.75" customHeight="1">
      <c r="U436" s="34"/>
      <c r="V436" s="34"/>
    </row>
    <row r="437" ht="15.75" customHeight="1">
      <c r="U437" s="34"/>
      <c r="V437" s="34"/>
    </row>
    <row r="438" ht="15.75" customHeight="1">
      <c r="U438" s="34"/>
      <c r="V438" s="34"/>
    </row>
    <row r="439" ht="15.75" customHeight="1">
      <c r="U439" s="34"/>
      <c r="V439" s="34"/>
    </row>
    <row r="440" ht="15.75" customHeight="1">
      <c r="U440" s="34"/>
      <c r="V440" s="34"/>
    </row>
    <row r="441" ht="15.75" customHeight="1">
      <c r="U441" s="34"/>
      <c r="V441" s="34"/>
    </row>
    <row r="442" ht="15.75" customHeight="1">
      <c r="U442" s="34"/>
      <c r="V442" s="34"/>
    </row>
    <row r="443" ht="15.75" customHeight="1">
      <c r="U443" s="34"/>
      <c r="V443" s="34"/>
    </row>
    <row r="444" ht="15.75" customHeight="1">
      <c r="U444" s="34"/>
      <c r="V444" s="34"/>
    </row>
    <row r="445" ht="15.75" customHeight="1">
      <c r="U445" s="34"/>
      <c r="V445" s="34"/>
    </row>
    <row r="446" ht="15.75" customHeight="1">
      <c r="U446" s="34"/>
      <c r="V446" s="34"/>
    </row>
    <row r="447" ht="15.75" customHeight="1">
      <c r="U447" s="34"/>
      <c r="V447" s="34"/>
    </row>
    <row r="448" ht="15.75" customHeight="1">
      <c r="U448" s="34"/>
      <c r="V448" s="34"/>
    </row>
    <row r="449" ht="15.75" customHeight="1">
      <c r="U449" s="34"/>
      <c r="V449" s="34"/>
    </row>
    <row r="450" ht="15.75" customHeight="1">
      <c r="U450" s="34"/>
      <c r="V450" s="34"/>
    </row>
    <row r="451" ht="15.75" customHeight="1">
      <c r="U451" s="34"/>
      <c r="V451" s="34"/>
    </row>
    <row r="452" ht="15.75" customHeight="1">
      <c r="U452" s="34"/>
      <c r="V452" s="34"/>
    </row>
    <row r="453" ht="15.75" customHeight="1">
      <c r="U453" s="34"/>
      <c r="V453" s="34"/>
    </row>
    <row r="454" ht="15.75" customHeight="1">
      <c r="U454" s="34"/>
      <c r="V454" s="34"/>
    </row>
    <row r="455" ht="15.75" customHeight="1">
      <c r="U455" s="34"/>
      <c r="V455" s="34"/>
    </row>
    <row r="456" ht="15.75" customHeight="1">
      <c r="U456" s="34"/>
      <c r="V456" s="34"/>
    </row>
    <row r="457" ht="15.75" customHeight="1">
      <c r="U457" s="34"/>
      <c r="V457" s="34"/>
    </row>
    <row r="458" ht="15.75" customHeight="1">
      <c r="U458" s="34"/>
      <c r="V458" s="34"/>
    </row>
    <row r="459" ht="15.75" customHeight="1">
      <c r="U459" s="34"/>
      <c r="V459" s="34"/>
    </row>
    <row r="460" ht="15.75" customHeight="1">
      <c r="U460" s="34"/>
      <c r="V460" s="34"/>
    </row>
    <row r="461" ht="15.75" customHeight="1">
      <c r="U461" s="34"/>
      <c r="V461" s="34"/>
    </row>
    <row r="462" ht="15.75" customHeight="1">
      <c r="U462" s="34"/>
      <c r="V462" s="34"/>
    </row>
    <row r="463" ht="15.75" customHeight="1">
      <c r="U463" s="34"/>
      <c r="V463" s="34"/>
    </row>
    <row r="464" ht="15.75" customHeight="1">
      <c r="U464" s="34"/>
      <c r="V464" s="34"/>
    </row>
    <row r="465" ht="15.75" customHeight="1">
      <c r="U465" s="34"/>
      <c r="V465" s="34"/>
    </row>
    <row r="466" ht="15.75" customHeight="1">
      <c r="U466" s="34"/>
      <c r="V466" s="34"/>
    </row>
    <row r="467" ht="15.75" customHeight="1">
      <c r="U467" s="34"/>
      <c r="V467" s="34"/>
    </row>
    <row r="468" ht="15.75" customHeight="1">
      <c r="U468" s="34"/>
      <c r="V468" s="34"/>
    </row>
    <row r="469" ht="15.75" customHeight="1">
      <c r="U469" s="34"/>
      <c r="V469" s="34"/>
    </row>
    <row r="470" ht="15.75" customHeight="1">
      <c r="U470" s="34"/>
      <c r="V470" s="34"/>
    </row>
    <row r="471" ht="15.75" customHeight="1">
      <c r="U471" s="34"/>
      <c r="V471" s="34"/>
    </row>
    <row r="472" ht="15.75" customHeight="1">
      <c r="U472" s="34"/>
      <c r="V472" s="34"/>
    </row>
    <row r="473" ht="15.75" customHeight="1">
      <c r="U473" s="34"/>
      <c r="V473" s="34"/>
    </row>
    <row r="474" ht="15.75" customHeight="1">
      <c r="U474" s="34"/>
      <c r="V474" s="34"/>
    </row>
    <row r="475" ht="15.75" customHeight="1">
      <c r="U475" s="34"/>
      <c r="V475" s="34"/>
    </row>
    <row r="476" ht="15.75" customHeight="1">
      <c r="U476" s="34"/>
      <c r="V476" s="34"/>
    </row>
    <row r="477" ht="15.75" customHeight="1">
      <c r="U477" s="34"/>
      <c r="V477" s="34"/>
    </row>
    <row r="478" ht="15.75" customHeight="1">
      <c r="U478" s="34"/>
      <c r="V478" s="34"/>
    </row>
    <row r="479" ht="15.75" customHeight="1">
      <c r="U479" s="34"/>
      <c r="V479" s="34"/>
    </row>
    <row r="480" ht="15.75" customHeight="1">
      <c r="U480" s="34"/>
      <c r="V480" s="34"/>
    </row>
    <row r="481" ht="15.75" customHeight="1">
      <c r="U481" s="34"/>
      <c r="V481" s="34"/>
    </row>
    <row r="482" ht="15.75" customHeight="1">
      <c r="U482" s="34"/>
      <c r="V482" s="34"/>
    </row>
    <row r="483" ht="15.75" customHeight="1">
      <c r="U483" s="34"/>
      <c r="V483" s="34"/>
    </row>
    <row r="484" ht="15.75" customHeight="1">
      <c r="U484" s="34"/>
      <c r="V484" s="34"/>
    </row>
    <row r="485" ht="15.75" customHeight="1">
      <c r="U485" s="34"/>
      <c r="V485" s="34"/>
    </row>
    <row r="486" ht="15.75" customHeight="1">
      <c r="U486" s="34"/>
      <c r="V486" s="34"/>
    </row>
    <row r="487" ht="15.75" customHeight="1">
      <c r="U487" s="34"/>
      <c r="V487" s="34"/>
    </row>
    <row r="488" ht="15.75" customHeight="1">
      <c r="U488" s="34"/>
      <c r="V488" s="34"/>
    </row>
    <row r="489" ht="15.75" customHeight="1">
      <c r="U489" s="34"/>
      <c r="V489" s="34"/>
    </row>
    <row r="490" ht="15.75" customHeight="1">
      <c r="U490" s="34"/>
      <c r="V490" s="34"/>
    </row>
    <row r="491" ht="15.75" customHeight="1">
      <c r="U491" s="34"/>
      <c r="V491" s="34"/>
    </row>
    <row r="492" ht="15.75" customHeight="1">
      <c r="U492" s="34"/>
      <c r="V492" s="34"/>
    </row>
    <row r="493" ht="15.75" customHeight="1">
      <c r="U493" s="34"/>
      <c r="V493" s="34"/>
    </row>
    <row r="494" ht="15.75" customHeight="1">
      <c r="U494" s="34"/>
      <c r="V494" s="34"/>
    </row>
    <row r="495" ht="15.75" customHeight="1">
      <c r="U495" s="34"/>
      <c r="V495" s="34"/>
    </row>
    <row r="496" ht="15.75" customHeight="1">
      <c r="U496" s="34"/>
      <c r="V496" s="34"/>
    </row>
    <row r="497" ht="15.75" customHeight="1">
      <c r="U497" s="34"/>
      <c r="V497" s="34"/>
    </row>
    <row r="498" ht="15.75" customHeight="1">
      <c r="U498" s="34"/>
      <c r="V498" s="34"/>
    </row>
    <row r="499" ht="15.75" customHeight="1">
      <c r="U499" s="34"/>
      <c r="V499" s="34"/>
    </row>
    <row r="500" ht="15.75" customHeight="1">
      <c r="U500" s="34"/>
      <c r="V500" s="34"/>
    </row>
    <row r="501" ht="15.75" customHeight="1">
      <c r="U501" s="34"/>
      <c r="V501" s="34"/>
    </row>
    <row r="502" ht="15.75" customHeight="1">
      <c r="U502" s="34"/>
      <c r="V502" s="34"/>
    </row>
    <row r="503" ht="15.75" customHeight="1">
      <c r="U503" s="34"/>
      <c r="V503" s="34"/>
    </row>
    <row r="504" ht="15.75" customHeight="1">
      <c r="U504" s="34"/>
      <c r="V504" s="34"/>
    </row>
    <row r="505" ht="15.75" customHeight="1">
      <c r="U505" s="34"/>
      <c r="V505" s="34"/>
    </row>
    <row r="506" ht="15.75" customHeight="1">
      <c r="U506" s="34"/>
      <c r="V506" s="34"/>
    </row>
    <row r="507" ht="15.75" customHeight="1">
      <c r="U507" s="34"/>
      <c r="V507" s="34"/>
    </row>
    <row r="508" ht="15.75" customHeight="1">
      <c r="U508" s="34"/>
      <c r="V508" s="34"/>
    </row>
    <row r="509" ht="15.75" customHeight="1">
      <c r="U509" s="34"/>
      <c r="V509" s="34"/>
    </row>
    <row r="510" ht="15.75" customHeight="1">
      <c r="U510" s="34"/>
      <c r="V510" s="34"/>
    </row>
    <row r="511" ht="15.75" customHeight="1">
      <c r="U511" s="34"/>
      <c r="V511" s="34"/>
    </row>
    <row r="512" ht="15.75" customHeight="1">
      <c r="U512" s="34"/>
      <c r="V512" s="34"/>
    </row>
    <row r="513" ht="15.75" customHeight="1">
      <c r="U513" s="34"/>
      <c r="V513" s="34"/>
    </row>
    <row r="514" ht="15.75" customHeight="1">
      <c r="U514" s="34"/>
      <c r="V514" s="34"/>
    </row>
    <row r="515" ht="15.75" customHeight="1">
      <c r="U515" s="34"/>
      <c r="V515" s="34"/>
    </row>
    <row r="516" ht="15.75" customHeight="1">
      <c r="U516" s="34"/>
      <c r="V516" s="34"/>
    </row>
    <row r="517" ht="15.75" customHeight="1">
      <c r="U517" s="34"/>
      <c r="V517" s="34"/>
    </row>
    <row r="518" ht="15.75" customHeight="1">
      <c r="U518" s="34"/>
      <c r="V518" s="34"/>
    </row>
    <row r="519" ht="15.75" customHeight="1">
      <c r="U519" s="34"/>
      <c r="V519" s="34"/>
    </row>
    <row r="520" ht="15.75" customHeight="1">
      <c r="U520" s="34"/>
      <c r="V520" s="34"/>
    </row>
    <row r="521" ht="15.75" customHeight="1">
      <c r="U521" s="34"/>
      <c r="V521" s="34"/>
    </row>
    <row r="522" ht="15.75" customHeight="1">
      <c r="U522" s="34"/>
      <c r="V522" s="34"/>
    </row>
    <row r="523" ht="15.75" customHeight="1">
      <c r="U523" s="34"/>
      <c r="V523" s="34"/>
    </row>
    <row r="524" ht="15.75" customHeight="1">
      <c r="U524" s="34"/>
      <c r="V524" s="34"/>
    </row>
    <row r="525" ht="15.75" customHeight="1">
      <c r="U525" s="34"/>
      <c r="V525" s="34"/>
    </row>
    <row r="526" ht="15.75" customHeight="1">
      <c r="U526" s="34"/>
      <c r="V526" s="34"/>
    </row>
    <row r="527" ht="15.75" customHeight="1">
      <c r="U527" s="34"/>
      <c r="V527" s="34"/>
    </row>
    <row r="528" ht="15.75" customHeight="1">
      <c r="U528" s="34"/>
      <c r="V528" s="34"/>
    </row>
    <row r="529" ht="15.75" customHeight="1">
      <c r="U529" s="34"/>
      <c r="V529" s="34"/>
    </row>
    <row r="530" ht="15.75" customHeight="1">
      <c r="U530" s="34"/>
      <c r="V530" s="34"/>
    </row>
    <row r="531" ht="15.75" customHeight="1">
      <c r="U531" s="34"/>
      <c r="V531" s="34"/>
    </row>
    <row r="532" ht="15.75" customHeight="1">
      <c r="U532" s="34"/>
      <c r="V532" s="34"/>
    </row>
    <row r="533" ht="15.75" customHeight="1">
      <c r="U533" s="34"/>
      <c r="V533" s="34"/>
    </row>
    <row r="534" ht="15.75" customHeight="1">
      <c r="U534" s="34"/>
      <c r="V534" s="34"/>
    </row>
    <row r="535" ht="15.75" customHeight="1">
      <c r="U535" s="34"/>
      <c r="V535" s="34"/>
    </row>
    <row r="536" ht="15.75" customHeight="1">
      <c r="U536" s="34"/>
      <c r="V536" s="34"/>
    </row>
    <row r="537" ht="15.75" customHeight="1">
      <c r="U537" s="34"/>
      <c r="V537" s="34"/>
    </row>
    <row r="538" ht="15.75" customHeight="1">
      <c r="U538" s="34"/>
      <c r="V538" s="34"/>
    </row>
    <row r="539" ht="15.75" customHeight="1">
      <c r="U539" s="34"/>
      <c r="V539" s="34"/>
    </row>
    <row r="540" ht="15.75" customHeight="1">
      <c r="U540" s="34"/>
      <c r="V540" s="34"/>
    </row>
    <row r="541" ht="15.75" customHeight="1">
      <c r="U541" s="34"/>
      <c r="V541" s="34"/>
    </row>
    <row r="542" ht="15.75" customHeight="1">
      <c r="U542" s="34"/>
      <c r="V542" s="34"/>
    </row>
    <row r="543" ht="15.75" customHeight="1">
      <c r="U543" s="34"/>
      <c r="V543" s="34"/>
    </row>
    <row r="544" ht="15.75" customHeight="1">
      <c r="U544" s="34"/>
      <c r="V544" s="34"/>
    </row>
    <row r="545" ht="15.75" customHeight="1">
      <c r="U545" s="34"/>
      <c r="V545" s="34"/>
    </row>
    <row r="546" ht="15.75" customHeight="1">
      <c r="U546" s="34"/>
      <c r="V546" s="34"/>
    </row>
    <row r="547" ht="15.75" customHeight="1">
      <c r="U547" s="34"/>
      <c r="V547" s="34"/>
    </row>
    <row r="548" ht="15.75" customHeight="1">
      <c r="U548" s="34"/>
      <c r="V548" s="34"/>
    </row>
    <row r="549" ht="15.75" customHeight="1">
      <c r="U549" s="34"/>
      <c r="V549" s="34"/>
    </row>
    <row r="550" ht="15.75" customHeight="1">
      <c r="U550" s="34"/>
      <c r="V550" s="34"/>
    </row>
    <row r="551" ht="15.75" customHeight="1">
      <c r="U551" s="34"/>
      <c r="V551" s="34"/>
    </row>
    <row r="552" ht="15.75" customHeight="1">
      <c r="U552" s="34"/>
      <c r="V552" s="34"/>
    </row>
    <row r="553" ht="15.75" customHeight="1">
      <c r="U553" s="34"/>
      <c r="V553" s="34"/>
    </row>
    <row r="554" ht="15.75" customHeight="1">
      <c r="U554" s="34"/>
      <c r="V554" s="34"/>
    </row>
    <row r="555" ht="15.75" customHeight="1">
      <c r="U555" s="34"/>
      <c r="V555" s="34"/>
    </row>
    <row r="556" ht="15.75" customHeight="1">
      <c r="U556" s="34"/>
      <c r="V556" s="34"/>
    </row>
    <row r="557" ht="15.75" customHeight="1">
      <c r="U557" s="34"/>
      <c r="V557" s="34"/>
    </row>
    <row r="558" ht="15.75" customHeight="1">
      <c r="U558" s="34"/>
      <c r="V558" s="34"/>
    </row>
    <row r="559" ht="15.75" customHeight="1">
      <c r="U559" s="34"/>
      <c r="V559" s="34"/>
    </row>
    <row r="560" ht="15.75" customHeight="1">
      <c r="U560" s="34"/>
      <c r="V560" s="34"/>
    </row>
    <row r="561" ht="15.75" customHeight="1">
      <c r="U561" s="34"/>
      <c r="V561" s="34"/>
    </row>
    <row r="562" ht="15.75" customHeight="1">
      <c r="U562" s="34"/>
      <c r="V562" s="34"/>
    </row>
    <row r="563" ht="15.75" customHeight="1">
      <c r="U563" s="34"/>
      <c r="V563" s="34"/>
    </row>
    <row r="564" ht="15.75" customHeight="1">
      <c r="U564" s="34"/>
      <c r="V564" s="34"/>
    </row>
    <row r="565" ht="15.75" customHeight="1">
      <c r="U565" s="34"/>
      <c r="V565" s="34"/>
    </row>
    <row r="566" ht="15.75" customHeight="1">
      <c r="U566" s="34"/>
      <c r="V566" s="34"/>
    </row>
    <row r="567" ht="15.75" customHeight="1">
      <c r="U567" s="34"/>
      <c r="V567" s="34"/>
    </row>
    <row r="568" ht="15.75" customHeight="1">
      <c r="U568" s="34"/>
      <c r="V568" s="34"/>
    </row>
    <row r="569" ht="15.75" customHeight="1">
      <c r="U569" s="34"/>
      <c r="V569" s="34"/>
    </row>
    <row r="570" ht="15.75" customHeight="1">
      <c r="U570" s="34"/>
      <c r="V570" s="34"/>
    </row>
    <row r="571" ht="15.75" customHeight="1">
      <c r="U571" s="34"/>
      <c r="V571" s="34"/>
    </row>
    <row r="572" ht="15.75" customHeight="1">
      <c r="U572" s="34"/>
      <c r="V572" s="34"/>
    </row>
    <row r="573" ht="15.75" customHeight="1">
      <c r="U573" s="34"/>
      <c r="V573" s="34"/>
    </row>
    <row r="574" ht="15.75" customHeight="1">
      <c r="U574" s="34"/>
      <c r="V574" s="34"/>
    </row>
    <row r="575" ht="15.75" customHeight="1">
      <c r="U575" s="34"/>
      <c r="V575" s="34"/>
    </row>
    <row r="576" ht="15.75" customHeight="1">
      <c r="U576" s="34"/>
      <c r="V576" s="34"/>
    </row>
    <row r="577" ht="15.75" customHeight="1">
      <c r="U577" s="34"/>
      <c r="V577" s="34"/>
    </row>
    <row r="578" ht="15.75" customHeight="1">
      <c r="U578" s="34"/>
      <c r="V578" s="34"/>
    </row>
    <row r="579" ht="15.75" customHeight="1">
      <c r="U579" s="34"/>
      <c r="V579" s="34"/>
    </row>
    <row r="580" ht="15.75" customHeight="1">
      <c r="U580" s="34"/>
      <c r="V580" s="34"/>
    </row>
    <row r="581" ht="15.75" customHeight="1">
      <c r="U581" s="34"/>
      <c r="V581" s="34"/>
    </row>
    <row r="582" ht="15.75" customHeight="1">
      <c r="U582" s="34"/>
      <c r="V582" s="34"/>
    </row>
    <row r="583" ht="15.75" customHeight="1">
      <c r="U583" s="34"/>
      <c r="V583" s="34"/>
    </row>
    <row r="584" ht="15.75" customHeight="1">
      <c r="U584" s="34"/>
      <c r="V584" s="34"/>
    </row>
    <row r="585" ht="15.75" customHeight="1">
      <c r="U585" s="34"/>
      <c r="V585" s="34"/>
    </row>
    <row r="586" ht="15.75" customHeight="1">
      <c r="U586" s="34"/>
      <c r="V586" s="34"/>
    </row>
    <row r="587" ht="15.75" customHeight="1">
      <c r="U587" s="34"/>
      <c r="V587" s="34"/>
    </row>
    <row r="588" ht="15.75" customHeight="1">
      <c r="U588" s="34"/>
      <c r="V588" s="34"/>
    </row>
    <row r="589" ht="15.75" customHeight="1">
      <c r="U589" s="34"/>
      <c r="V589" s="34"/>
    </row>
    <row r="590" ht="15.75" customHeight="1">
      <c r="U590" s="34"/>
      <c r="V590" s="34"/>
    </row>
    <row r="591" ht="15.75" customHeight="1">
      <c r="U591" s="34"/>
      <c r="V591" s="34"/>
    </row>
    <row r="592" ht="15.75" customHeight="1">
      <c r="U592" s="34"/>
      <c r="V592" s="34"/>
    </row>
    <row r="593" ht="15.75" customHeight="1">
      <c r="U593" s="34"/>
      <c r="V593" s="34"/>
    </row>
    <row r="594" ht="15.75" customHeight="1">
      <c r="U594" s="34"/>
      <c r="V594" s="34"/>
    </row>
    <row r="595" ht="15.75" customHeight="1">
      <c r="U595" s="34"/>
      <c r="V595" s="34"/>
    </row>
    <row r="596" ht="15.75" customHeight="1">
      <c r="U596" s="34"/>
      <c r="V596" s="34"/>
    </row>
    <row r="597" ht="15.75" customHeight="1">
      <c r="U597" s="34"/>
      <c r="V597" s="34"/>
    </row>
    <row r="598" ht="15.75" customHeight="1">
      <c r="U598" s="34"/>
      <c r="V598" s="34"/>
    </row>
    <row r="599" ht="15.75" customHeight="1">
      <c r="U599" s="34"/>
      <c r="V599" s="34"/>
    </row>
    <row r="600" ht="15.75" customHeight="1">
      <c r="U600" s="34"/>
      <c r="V600" s="34"/>
    </row>
    <row r="601" ht="15.75" customHeight="1">
      <c r="U601" s="34"/>
      <c r="V601" s="34"/>
    </row>
    <row r="602" ht="15.75" customHeight="1">
      <c r="U602" s="34"/>
      <c r="V602" s="34"/>
    </row>
    <row r="603" ht="15.75" customHeight="1">
      <c r="U603" s="34"/>
      <c r="V603" s="34"/>
    </row>
    <row r="604" ht="15.75" customHeight="1">
      <c r="U604" s="34"/>
      <c r="V604" s="34"/>
    </row>
    <row r="605" ht="15.75" customHeight="1">
      <c r="U605" s="34"/>
      <c r="V605" s="34"/>
    </row>
    <row r="606" ht="15.75" customHeight="1">
      <c r="U606" s="34"/>
      <c r="V606" s="34"/>
    </row>
    <row r="607" ht="15.75" customHeight="1">
      <c r="U607" s="34"/>
      <c r="V607" s="34"/>
    </row>
    <row r="608" ht="15.75" customHeight="1">
      <c r="U608" s="34"/>
      <c r="V608" s="34"/>
    </row>
    <row r="609" ht="15.75" customHeight="1">
      <c r="U609" s="34"/>
      <c r="V609" s="34"/>
    </row>
    <row r="610" ht="15.75" customHeight="1">
      <c r="U610" s="34"/>
      <c r="V610" s="34"/>
    </row>
    <row r="611" ht="15.75" customHeight="1">
      <c r="U611" s="34"/>
      <c r="V611" s="34"/>
    </row>
    <row r="612" ht="15.75" customHeight="1">
      <c r="U612" s="34"/>
      <c r="V612" s="34"/>
    </row>
    <row r="613" ht="15.75" customHeight="1">
      <c r="U613" s="34"/>
      <c r="V613" s="34"/>
    </row>
    <row r="614" ht="15.75" customHeight="1">
      <c r="U614" s="34"/>
      <c r="V614" s="34"/>
    </row>
    <row r="615" ht="15.75" customHeight="1">
      <c r="U615" s="34"/>
      <c r="V615" s="34"/>
    </row>
    <row r="616" ht="15.75" customHeight="1">
      <c r="U616" s="34"/>
      <c r="V616" s="34"/>
    </row>
    <row r="617" ht="15.75" customHeight="1">
      <c r="U617" s="34"/>
      <c r="V617" s="34"/>
    </row>
    <row r="618" ht="15.75" customHeight="1">
      <c r="U618" s="34"/>
      <c r="V618" s="34"/>
    </row>
    <row r="619" ht="15.75" customHeight="1">
      <c r="U619" s="34"/>
      <c r="V619" s="34"/>
    </row>
    <row r="620" ht="15.75" customHeight="1">
      <c r="U620" s="34"/>
      <c r="V620" s="34"/>
    </row>
    <row r="621" ht="15.75" customHeight="1">
      <c r="U621" s="34"/>
      <c r="V621" s="34"/>
    </row>
    <row r="622" ht="15.75" customHeight="1">
      <c r="U622" s="34"/>
      <c r="V622" s="34"/>
    </row>
    <row r="623" ht="15.75" customHeight="1">
      <c r="U623" s="34"/>
      <c r="V623" s="34"/>
    </row>
    <row r="624" ht="15.75" customHeight="1">
      <c r="U624" s="34"/>
      <c r="V624" s="34"/>
    </row>
    <row r="625" ht="15.75" customHeight="1">
      <c r="U625" s="34"/>
      <c r="V625" s="34"/>
    </row>
    <row r="626" ht="15.75" customHeight="1">
      <c r="U626" s="34"/>
      <c r="V626" s="34"/>
    </row>
    <row r="627" ht="15.75" customHeight="1">
      <c r="U627" s="34"/>
      <c r="V627" s="34"/>
    </row>
    <row r="628" ht="15.75" customHeight="1">
      <c r="U628" s="34"/>
      <c r="V628" s="34"/>
    </row>
    <row r="629" ht="15.75" customHeight="1">
      <c r="U629" s="34"/>
      <c r="V629" s="34"/>
    </row>
    <row r="630" ht="15.75" customHeight="1">
      <c r="U630" s="34"/>
      <c r="V630" s="34"/>
    </row>
    <row r="631" ht="15.75" customHeight="1">
      <c r="U631" s="34"/>
      <c r="V631" s="34"/>
    </row>
    <row r="632" ht="15.75" customHeight="1">
      <c r="U632" s="34"/>
      <c r="V632" s="34"/>
    </row>
    <row r="633" ht="15.75" customHeight="1">
      <c r="U633" s="34"/>
      <c r="V633" s="34"/>
    </row>
    <row r="634" ht="15.75" customHeight="1">
      <c r="U634" s="34"/>
      <c r="V634" s="34"/>
    </row>
    <row r="635" ht="15.75" customHeight="1">
      <c r="U635" s="34"/>
      <c r="V635" s="34"/>
    </row>
    <row r="636" ht="15.75" customHeight="1">
      <c r="U636" s="34"/>
      <c r="V636" s="34"/>
    </row>
    <row r="637" ht="15.75" customHeight="1">
      <c r="U637" s="34"/>
      <c r="V637" s="34"/>
    </row>
    <row r="638" ht="15.75" customHeight="1">
      <c r="U638" s="34"/>
      <c r="V638" s="34"/>
    </row>
    <row r="639" ht="15.75" customHeight="1">
      <c r="U639" s="34"/>
      <c r="V639" s="34"/>
    </row>
    <row r="640" ht="15.75" customHeight="1">
      <c r="U640" s="34"/>
      <c r="V640" s="34"/>
    </row>
    <row r="641" ht="15.75" customHeight="1">
      <c r="U641" s="34"/>
      <c r="V641" s="34"/>
    </row>
    <row r="642" ht="15.75" customHeight="1">
      <c r="U642" s="34"/>
      <c r="V642" s="34"/>
    </row>
    <row r="643" ht="15.75" customHeight="1">
      <c r="U643" s="34"/>
      <c r="V643" s="34"/>
    </row>
    <row r="644" ht="15.75" customHeight="1">
      <c r="U644" s="34"/>
      <c r="V644" s="34"/>
    </row>
    <row r="645" ht="15.75" customHeight="1">
      <c r="U645" s="34"/>
      <c r="V645" s="34"/>
    </row>
    <row r="646" ht="15.75" customHeight="1">
      <c r="U646" s="34"/>
      <c r="V646" s="34"/>
    </row>
    <row r="647" ht="15.75" customHeight="1">
      <c r="U647" s="34"/>
      <c r="V647" s="34"/>
    </row>
    <row r="648" ht="15.75" customHeight="1">
      <c r="U648" s="34"/>
      <c r="V648" s="34"/>
    </row>
    <row r="649" ht="15.75" customHeight="1">
      <c r="U649" s="34"/>
      <c r="V649" s="34"/>
    </row>
    <row r="650" ht="15.75" customHeight="1">
      <c r="U650" s="34"/>
      <c r="V650" s="34"/>
    </row>
    <row r="651" ht="15.75" customHeight="1">
      <c r="U651" s="34"/>
      <c r="V651" s="34"/>
    </row>
    <row r="652" ht="15.75" customHeight="1">
      <c r="U652" s="34"/>
      <c r="V652" s="34"/>
    </row>
    <row r="653" ht="15.75" customHeight="1">
      <c r="U653" s="34"/>
      <c r="V653" s="34"/>
    </row>
    <row r="654" ht="15.75" customHeight="1">
      <c r="U654" s="34"/>
      <c r="V654" s="34"/>
    </row>
    <row r="655" ht="15.75" customHeight="1">
      <c r="U655" s="34"/>
      <c r="V655" s="34"/>
    </row>
    <row r="656" ht="15.75" customHeight="1">
      <c r="U656" s="34"/>
      <c r="V656" s="34"/>
    </row>
    <row r="657" ht="15.75" customHeight="1">
      <c r="U657" s="34"/>
      <c r="V657" s="34"/>
    </row>
    <row r="658" ht="15.75" customHeight="1">
      <c r="U658" s="34"/>
      <c r="V658" s="34"/>
    </row>
    <row r="659" ht="15.75" customHeight="1">
      <c r="U659" s="34"/>
      <c r="V659" s="34"/>
    </row>
    <row r="660" ht="15.75" customHeight="1">
      <c r="U660" s="34"/>
      <c r="V660" s="34"/>
    </row>
    <row r="661" ht="15.75" customHeight="1">
      <c r="U661" s="34"/>
      <c r="V661" s="34"/>
    </row>
    <row r="662" ht="15.75" customHeight="1">
      <c r="U662" s="34"/>
      <c r="V662" s="34"/>
    </row>
    <row r="663" ht="15.75" customHeight="1">
      <c r="U663" s="34"/>
      <c r="V663" s="34"/>
    </row>
    <row r="664" ht="15.75" customHeight="1">
      <c r="U664" s="34"/>
      <c r="V664" s="34"/>
    </row>
    <row r="665" ht="15.75" customHeight="1">
      <c r="U665" s="34"/>
      <c r="V665" s="34"/>
    </row>
    <row r="666" ht="15.75" customHeight="1">
      <c r="U666" s="34"/>
      <c r="V666" s="34"/>
    </row>
    <row r="667" ht="15.75" customHeight="1">
      <c r="U667" s="34"/>
      <c r="V667" s="34"/>
    </row>
    <row r="668" ht="15.75" customHeight="1">
      <c r="U668" s="34"/>
      <c r="V668" s="34"/>
    </row>
    <row r="669" ht="15.75" customHeight="1">
      <c r="U669" s="34"/>
      <c r="V669" s="34"/>
    </row>
    <row r="670" ht="15.75" customHeight="1">
      <c r="U670" s="34"/>
      <c r="V670" s="34"/>
    </row>
    <row r="671" ht="15.75" customHeight="1">
      <c r="U671" s="34"/>
      <c r="V671" s="34"/>
    </row>
    <row r="672" ht="15.75" customHeight="1">
      <c r="U672" s="34"/>
      <c r="V672" s="34"/>
    </row>
    <row r="673" ht="15.75" customHeight="1">
      <c r="U673" s="34"/>
      <c r="V673" s="34"/>
    </row>
    <row r="674" ht="15.75" customHeight="1">
      <c r="U674" s="34"/>
      <c r="V674" s="34"/>
    </row>
    <row r="675" ht="15.75" customHeight="1">
      <c r="U675" s="34"/>
      <c r="V675" s="34"/>
    </row>
    <row r="676" ht="15.75" customHeight="1">
      <c r="U676" s="34"/>
      <c r="V676" s="34"/>
    </row>
    <row r="677" ht="15.75" customHeight="1">
      <c r="U677" s="34"/>
      <c r="V677" s="34"/>
    </row>
    <row r="678" ht="15.75" customHeight="1">
      <c r="U678" s="34"/>
      <c r="V678" s="34"/>
    </row>
    <row r="679" ht="15.75" customHeight="1">
      <c r="U679" s="34"/>
      <c r="V679" s="34"/>
    </row>
    <row r="680" ht="15.75" customHeight="1">
      <c r="U680" s="34"/>
      <c r="V680" s="34"/>
    </row>
    <row r="681" ht="15.75" customHeight="1">
      <c r="U681" s="34"/>
      <c r="V681" s="34"/>
    </row>
    <row r="682" ht="15.75" customHeight="1">
      <c r="U682" s="34"/>
      <c r="V682" s="34"/>
    </row>
    <row r="683" ht="15.75" customHeight="1">
      <c r="U683" s="34"/>
      <c r="V683" s="34"/>
    </row>
    <row r="684" ht="15.75" customHeight="1">
      <c r="U684" s="34"/>
      <c r="V684" s="34"/>
    </row>
    <row r="685" ht="15.75" customHeight="1">
      <c r="U685" s="34"/>
      <c r="V685" s="34"/>
    </row>
    <row r="686" ht="15.75" customHeight="1">
      <c r="U686" s="34"/>
      <c r="V686" s="34"/>
    </row>
    <row r="687" ht="15.75" customHeight="1">
      <c r="U687" s="34"/>
      <c r="V687" s="34"/>
    </row>
    <row r="688" ht="15.75" customHeight="1">
      <c r="U688" s="34"/>
      <c r="V688" s="34"/>
    </row>
    <row r="689" ht="15.75" customHeight="1">
      <c r="U689" s="34"/>
      <c r="V689" s="34"/>
    </row>
    <row r="690" ht="15.75" customHeight="1">
      <c r="U690" s="34"/>
      <c r="V690" s="34"/>
    </row>
    <row r="691" ht="15.75" customHeight="1">
      <c r="U691" s="34"/>
      <c r="V691" s="34"/>
    </row>
    <row r="692" ht="15.75" customHeight="1">
      <c r="U692" s="34"/>
      <c r="V692" s="34"/>
    </row>
    <row r="693" ht="15.75" customHeight="1">
      <c r="U693" s="34"/>
      <c r="V693" s="34"/>
    </row>
    <row r="694" ht="15.75" customHeight="1">
      <c r="U694" s="34"/>
      <c r="V694" s="34"/>
    </row>
    <row r="695" ht="15.75" customHeight="1">
      <c r="U695" s="34"/>
      <c r="V695" s="34"/>
    </row>
    <row r="696" ht="15.75" customHeight="1">
      <c r="U696" s="34"/>
      <c r="V696" s="34"/>
    </row>
    <row r="697" ht="15.75" customHeight="1">
      <c r="U697" s="34"/>
      <c r="V697" s="34"/>
    </row>
    <row r="698" ht="15.75" customHeight="1">
      <c r="U698" s="34"/>
      <c r="V698" s="34"/>
    </row>
    <row r="699" ht="15.75" customHeight="1">
      <c r="U699" s="34"/>
      <c r="V699" s="34"/>
    </row>
    <row r="700" ht="15.75" customHeight="1">
      <c r="U700" s="34"/>
      <c r="V700" s="34"/>
    </row>
    <row r="701" ht="15.75" customHeight="1">
      <c r="U701" s="34"/>
      <c r="V701" s="34"/>
    </row>
    <row r="702" ht="15.75" customHeight="1">
      <c r="U702" s="34"/>
      <c r="V702" s="34"/>
    </row>
    <row r="703" ht="15.75" customHeight="1">
      <c r="U703" s="34"/>
      <c r="V703" s="34"/>
    </row>
    <row r="704" ht="15.75" customHeight="1">
      <c r="U704" s="34"/>
      <c r="V704" s="34"/>
    </row>
    <row r="705" ht="15.75" customHeight="1">
      <c r="U705" s="34"/>
      <c r="V705" s="34"/>
    </row>
    <row r="706" ht="15.75" customHeight="1">
      <c r="U706" s="34"/>
      <c r="V706" s="34"/>
    </row>
    <row r="707" ht="15.75" customHeight="1">
      <c r="U707" s="34"/>
      <c r="V707" s="34"/>
    </row>
    <row r="708" ht="15.75" customHeight="1">
      <c r="U708" s="34"/>
      <c r="V708" s="34"/>
    </row>
    <row r="709" ht="15.75" customHeight="1">
      <c r="U709" s="34"/>
      <c r="V709" s="34"/>
    </row>
    <row r="710" ht="15.75" customHeight="1">
      <c r="U710" s="34"/>
      <c r="V710" s="34"/>
    </row>
    <row r="711" ht="15.75" customHeight="1">
      <c r="U711" s="34"/>
      <c r="V711" s="34"/>
    </row>
    <row r="712" ht="15.75" customHeight="1">
      <c r="U712" s="34"/>
      <c r="V712" s="34"/>
    </row>
    <row r="713" ht="15.75" customHeight="1">
      <c r="U713" s="34"/>
      <c r="V713" s="34"/>
    </row>
    <row r="714" ht="15.75" customHeight="1">
      <c r="U714" s="34"/>
      <c r="V714" s="34"/>
    </row>
    <row r="715" ht="15.75" customHeight="1">
      <c r="U715" s="34"/>
      <c r="V715" s="34"/>
    </row>
    <row r="716" ht="15.75" customHeight="1">
      <c r="U716" s="34"/>
      <c r="V716" s="34"/>
    </row>
    <row r="717" ht="15.75" customHeight="1">
      <c r="U717" s="34"/>
      <c r="V717" s="34"/>
    </row>
    <row r="718" ht="15.75" customHeight="1">
      <c r="U718" s="34"/>
      <c r="V718" s="34"/>
    </row>
    <row r="719" ht="15.75" customHeight="1">
      <c r="U719" s="34"/>
      <c r="V719" s="34"/>
    </row>
    <row r="720" ht="15.75" customHeight="1">
      <c r="U720" s="34"/>
      <c r="V720" s="34"/>
    </row>
    <row r="721" ht="15.75" customHeight="1">
      <c r="U721" s="34"/>
      <c r="V721" s="34"/>
    </row>
    <row r="722" ht="15.75" customHeight="1">
      <c r="U722" s="34"/>
      <c r="V722" s="34"/>
    </row>
    <row r="723" ht="15.75" customHeight="1">
      <c r="U723" s="34"/>
      <c r="V723" s="34"/>
    </row>
    <row r="724" ht="15.75" customHeight="1">
      <c r="U724" s="34"/>
      <c r="V724" s="34"/>
    </row>
    <row r="725" ht="15.75" customHeight="1">
      <c r="U725" s="34"/>
      <c r="V725" s="34"/>
    </row>
    <row r="726" ht="15.75" customHeight="1">
      <c r="U726" s="34"/>
      <c r="V726" s="34"/>
    </row>
    <row r="727" ht="15.75" customHeight="1">
      <c r="U727" s="34"/>
      <c r="V727" s="34"/>
    </row>
    <row r="728" ht="15.75" customHeight="1">
      <c r="U728" s="34"/>
      <c r="V728" s="34"/>
    </row>
    <row r="729" ht="15.75" customHeight="1">
      <c r="U729" s="34"/>
      <c r="V729" s="34"/>
    </row>
    <row r="730" ht="15.75" customHeight="1">
      <c r="U730" s="34"/>
      <c r="V730" s="34"/>
    </row>
    <row r="731" ht="15.75" customHeight="1">
      <c r="U731" s="34"/>
      <c r="V731" s="34"/>
    </row>
    <row r="732" ht="15.75" customHeight="1">
      <c r="U732" s="34"/>
      <c r="V732" s="34"/>
    </row>
    <row r="733" ht="15.75" customHeight="1">
      <c r="U733" s="34"/>
      <c r="V733" s="34"/>
    </row>
    <row r="734" ht="15.75" customHeight="1">
      <c r="U734" s="34"/>
      <c r="V734" s="34"/>
    </row>
    <row r="735" ht="15.75" customHeight="1">
      <c r="U735" s="34"/>
      <c r="V735" s="34"/>
    </row>
    <row r="736" ht="15.75" customHeight="1">
      <c r="U736" s="34"/>
      <c r="V736" s="34"/>
    </row>
    <row r="737" ht="15.75" customHeight="1">
      <c r="U737" s="34"/>
      <c r="V737" s="34"/>
    </row>
    <row r="738" ht="15.75" customHeight="1">
      <c r="U738" s="34"/>
      <c r="V738" s="34"/>
    </row>
    <row r="739" ht="15.75" customHeight="1">
      <c r="U739" s="34"/>
      <c r="V739" s="34"/>
    </row>
    <row r="740" ht="15.75" customHeight="1">
      <c r="U740" s="34"/>
      <c r="V740" s="34"/>
    </row>
    <row r="741" ht="15.75" customHeight="1">
      <c r="U741" s="34"/>
      <c r="V741" s="34"/>
    </row>
    <row r="742" ht="15.75" customHeight="1">
      <c r="U742" s="34"/>
      <c r="V742" s="34"/>
    </row>
    <row r="743" ht="15.75" customHeight="1">
      <c r="U743" s="34"/>
      <c r="V743" s="34"/>
    </row>
    <row r="744" ht="15.75" customHeight="1">
      <c r="U744" s="34"/>
      <c r="V744" s="34"/>
    </row>
    <row r="745" ht="15.75" customHeight="1">
      <c r="U745" s="34"/>
      <c r="V745" s="34"/>
    </row>
    <row r="746" ht="15.75" customHeight="1">
      <c r="U746" s="34"/>
      <c r="V746" s="34"/>
    </row>
    <row r="747" ht="15.75" customHeight="1">
      <c r="U747" s="34"/>
      <c r="V747" s="34"/>
    </row>
    <row r="748" ht="15.75" customHeight="1">
      <c r="U748" s="34"/>
      <c r="V748" s="34"/>
    </row>
    <row r="749" ht="15.75" customHeight="1">
      <c r="U749" s="34"/>
      <c r="V749" s="34"/>
    </row>
    <row r="750" ht="15.75" customHeight="1">
      <c r="U750" s="34"/>
      <c r="V750" s="34"/>
    </row>
    <row r="751" ht="15.75" customHeight="1">
      <c r="U751" s="34"/>
      <c r="V751" s="34"/>
    </row>
    <row r="752" ht="15.75" customHeight="1">
      <c r="U752" s="34"/>
      <c r="V752" s="34"/>
    </row>
    <row r="753" ht="15.75" customHeight="1">
      <c r="U753" s="34"/>
      <c r="V753" s="34"/>
    </row>
    <row r="754" ht="15.75" customHeight="1">
      <c r="U754" s="34"/>
      <c r="V754" s="34"/>
    </row>
    <row r="755" ht="15.75" customHeight="1">
      <c r="U755" s="34"/>
      <c r="V755" s="34"/>
    </row>
    <row r="756" ht="15.75" customHeight="1">
      <c r="U756" s="34"/>
      <c r="V756" s="34"/>
    </row>
    <row r="757" ht="15.75" customHeight="1">
      <c r="U757" s="34"/>
      <c r="V757" s="34"/>
    </row>
    <row r="758" ht="15.75" customHeight="1">
      <c r="U758" s="34"/>
      <c r="V758" s="34"/>
    </row>
    <row r="759" ht="15.75" customHeight="1">
      <c r="U759" s="34"/>
      <c r="V759" s="34"/>
    </row>
    <row r="760" ht="15.75" customHeight="1">
      <c r="U760" s="34"/>
      <c r="V760" s="34"/>
    </row>
    <row r="761" ht="15.75" customHeight="1">
      <c r="U761" s="34"/>
      <c r="V761" s="34"/>
    </row>
    <row r="762" ht="15.75" customHeight="1">
      <c r="U762" s="34"/>
      <c r="V762" s="34"/>
    </row>
    <row r="763" ht="15.75" customHeight="1">
      <c r="U763" s="34"/>
      <c r="V763" s="34"/>
    </row>
    <row r="764" ht="15.75" customHeight="1">
      <c r="U764" s="34"/>
      <c r="V764" s="34"/>
    </row>
    <row r="765" ht="15.75" customHeight="1">
      <c r="U765" s="34"/>
      <c r="V765" s="34"/>
    </row>
    <row r="766" ht="15.75" customHeight="1">
      <c r="U766" s="34"/>
      <c r="V766" s="34"/>
    </row>
    <row r="767" ht="15.75" customHeight="1">
      <c r="U767" s="34"/>
      <c r="V767" s="34"/>
    </row>
    <row r="768" ht="15.75" customHeight="1">
      <c r="U768" s="34"/>
      <c r="V768" s="34"/>
    </row>
    <row r="769" ht="15.75" customHeight="1">
      <c r="U769" s="34"/>
      <c r="V769" s="34"/>
    </row>
    <row r="770" ht="15.75" customHeight="1">
      <c r="U770" s="34"/>
      <c r="V770" s="34"/>
    </row>
    <row r="771" ht="15.75" customHeight="1">
      <c r="U771" s="34"/>
      <c r="V771" s="34"/>
    </row>
    <row r="772" ht="15.75" customHeight="1">
      <c r="U772" s="34"/>
      <c r="V772" s="34"/>
    </row>
    <row r="773" ht="15.75" customHeight="1">
      <c r="U773" s="34"/>
      <c r="V773" s="34"/>
    </row>
    <row r="774" ht="15.75" customHeight="1">
      <c r="U774" s="34"/>
      <c r="V774" s="34"/>
    </row>
    <row r="775" ht="15.75" customHeight="1">
      <c r="U775" s="34"/>
      <c r="V775" s="34"/>
    </row>
    <row r="776" ht="15.75" customHeight="1">
      <c r="U776" s="34"/>
      <c r="V776" s="34"/>
    </row>
    <row r="777" ht="15.75" customHeight="1">
      <c r="U777" s="34"/>
      <c r="V777" s="34"/>
    </row>
    <row r="778" ht="15.75" customHeight="1">
      <c r="U778" s="34"/>
      <c r="V778" s="34"/>
    </row>
    <row r="779" ht="15.75" customHeight="1">
      <c r="U779" s="34"/>
      <c r="V779" s="34"/>
    </row>
    <row r="780" ht="15.75" customHeight="1">
      <c r="U780" s="34"/>
      <c r="V780" s="34"/>
    </row>
    <row r="781" ht="15.75" customHeight="1">
      <c r="U781" s="34"/>
      <c r="V781" s="34"/>
    </row>
    <row r="782" ht="15.75" customHeight="1">
      <c r="U782" s="34"/>
      <c r="V782" s="34"/>
    </row>
    <row r="783" ht="15.75" customHeight="1">
      <c r="U783" s="34"/>
      <c r="V783" s="34"/>
    </row>
    <row r="784" ht="15.75" customHeight="1">
      <c r="U784" s="34"/>
      <c r="V784" s="34"/>
    </row>
    <row r="785" ht="15.75" customHeight="1">
      <c r="U785" s="34"/>
      <c r="V785" s="34"/>
    </row>
    <row r="786" ht="15.75" customHeight="1">
      <c r="U786" s="34"/>
      <c r="V786" s="34"/>
    </row>
    <row r="787" ht="15.75" customHeight="1">
      <c r="U787" s="34"/>
      <c r="V787" s="34"/>
    </row>
    <row r="788" ht="15.75" customHeight="1">
      <c r="U788" s="34"/>
      <c r="V788" s="34"/>
    </row>
    <row r="789" ht="15.75" customHeight="1">
      <c r="U789" s="34"/>
      <c r="V789" s="34"/>
    </row>
    <row r="790" ht="15.75" customHeight="1">
      <c r="U790" s="34"/>
      <c r="V790" s="34"/>
    </row>
    <row r="791" ht="15.75" customHeight="1">
      <c r="U791" s="34"/>
      <c r="V791" s="34"/>
    </row>
    <row r="792" ht="15.75" customHeight="1">
      <c r="U792" s="34"/>
      <c r="V792" s="34"/>
    </row>
    <row r="793" ht="15.75" customHeight="1">
      <c r="U793" s="34"/>
      <c r="V793" s="34"/>
    </row>
    <row r="794" ht="15.75" customHeight="1">
      <c r="U794" s="34"/>
      <c r="V794" s="34"/>
    </row>
    <row r="795" ht="15.75" customHeight="1">
      <c r="U795" s="34"/>
      <c r="V795" s="34"/>
    </row>
    <row r="796" ht="15.75" customHeight="1">
      <c r="U796" s="34"/>
      <c r="V796" s="34"/>
    </row>
    <row r="797" ht="15.75" customHeight="1">
      <c r="U797" s="34"/>
      <c r="V797" s="34"/>
    </row>
    <row r="798" ht="15.75" customHeight="1">
      <c r="U798" s="34"/>
      <c r="V798" s="34"/>
    </row>
    <row r="799" ht="15.75" customHeight="1">
      <c r="U799" s="34"/>
      <c r="V799" s="34"/>
    </row>
    <row r="800" ht="15.75" customHeight="1">
      <c r="U800" s="34"/>
      <c r="V800" s="34"/>
    </row>
    <row r="801" ht="15.75" customHeight="1">
      <c r="U801" s="34"/>
      <c r="V801" s="34"/>
    </row>
    <row r="802" ht="15.75" customHeight="1">
      <c r="U802" s="34"/>
      <c r="V802" s="34"/>
    </row>
    <row r="803" ht="15.75" customHeight="1">
      <c r="U803" s="34"/>
      <c r="V803" s="34"/>
    </row>
    <row r="804" ht="15.75" customHeight="1">
      <c r="U804" s="34"/>
      <c r="V804" s="34"/>
    </row>
    <row r="805" ht="15.75" customHeight="1">
      <c r="U805" s="34"/>
      <c r="V805" s="34"/>
    </row>
    <row r="806" ht="15.75" customHeight="1">
      <c r="U806" s="34"/>
      <c r="V806" s="34"/>
    </row>
    <row r="807" ht="15.75" customHeight="1">
      <c r="U807" s="34"/>
      <c r="V807" s="34"/>
    </row>
    <row r="808" ht="15.75" customHeight="1">
      <c r="U808" s="34"/>
      <c r="V808" s="34"/>
    </row>
    <row r="809" ht="15.75" customHeight="1">
      <c r="U809" s="34"/>
      <c r="V809" s="34"/>
    </row>
    <row r="810" ht="15.75" customHeight="1">
      <c r="U810" s="34"/>
      <c r="V810" s="34"/>
    </row>
    <row r="811" ht="15.75" customHeight="1">
      <c r="U811" s="34"/>
      <c r="V811" s="34"/>
    </row>
    <row r="812" ht="15.75" customHeight="1">
      <c r="U812" s="34"/>
      <c r="V812" s="34"/>
    </row>
    <row r="813" ht="15.75" customHeight="1">
      <c r="U813" s="34"/>
      <c r="V813" s="34"/>
    </row>
    <row r="814" ht="15.75" customHeight="1">
      <c r="U814" s="34"/>
      <c r="V814" s="34"/>
    </row>
    <row r="815" ht="15.75" customHeight="1">
      <c r="U815" s="34"/>
      <c r="V815" s="34"/>
    </row>
    <row r="816" ht="15.75" customHeight="1">
      <c r="U816" s="34"/>
      <c r="V816" s="34"/>
    </row>
    <row r="817" ht="15.75" customHeight="1">
      <c r="U817" s="34"/>
      <c r="V817" s="34"/>
    </row>
    <row r="818" ht="15.75" customHeight="1">
      <c r="U818" s="34"/>
      <c r="V818" s="34"/>
    </row>
    <row r="819" ht="15.75" customHeight="1">
      <c r="U819" s="34"/>
      <c r="V819" s="34"/>
    </row>
    <row r="820" ht="15.75" customHeight="1">
      <c r="U820" s="34"/>
      <c r="V820" s="34"/>
    </row>
    <row r="821" ht="15.75" customHeight="1">
      <c r="U821" s="34"/>
      <c r="V821" s="34"/>
    </row>
    <row r="822" ht="15.75" customHeight="1">
      <c r="U822" s="34"/>
      <c r="V822" s="34"/>
    </row>
    <row r="823" ht="15.75" customHeight="1">
      <c r="U823" s="34"/>
      <c r="V823" s="34"/>
    </row>
    <row r="824" ht="15.75" customHeight="1">
      <c r="U824" s="34"/>
      <c r="V824" s="34"/>
    </row>
    <row r="825" ht="15.75" customHeight="1">
      <c r="U825" s="34"/>
      <c r="V825" s="34"/>
    </row>
    <row r="826" ht="15.75" customHeight="1">
      <c r="U826" s="34"/>
      <c r="V826" s="34"/>
    </row>
    <row r="827" ht="15.75" customHeight="1">
      <c r="U827" s="34"/>
      <c r="V827" s="34"/>
    </row>
    <row r="828" ht="15.75" customHeight="1">
      <c r="U828" s="34"/>
      <c r="V828" s="34"/>
    </row>
    <row r="829" ht="15.75" customHeight="1">
      <c r="U829" s="34"/>
      <c r="V829" s="34"/>
    </row>
    <row r="830" ht="15.75" customHeight="1">
      <c r="U830" s="34"/>
      <c r="V830" s="34"/>
    </row>
    <row r="831" ht="15.75" customHeight="1">
      <c r="U831" s="34"/>
      <c r="V831" s="34"/>
    </row>
    <row r="832" ht="15.75" customHeight="1">
      <c r="U832" s="34"/>
      <c r="V832" s="34"/>
    </row>
    <row r="833" ht="15.75" customHeight="1">
      <c r="U833" s="34"/>
      <c r="V833" s="34"/>
    </row>
    <row r="834" ht="15.75" customHeight="1">
      <c r="U834" s="34"/>
      <c r="V834" s="34"/>
    </row>
    <row r="835" ht="15.75" customHeight="1">
      <c r="U835" s="34"/>
      <c r="V835" s="34"/>
    </row>
    <row r="836" ht="15.75" customHeight="1">
      <c r="U836" s="34"/>
      <c r="V836" s="34"/>
    </row>
    <row r="837" ht="15.75" customHeight="1">
      <c r="U837" s="34"/>
      <c r="V837" s="34"/>
    </row>
    <row r="838" ht="15.75" customHeight="1">
      <c r="U838" s="34"/>
      <c r="V838" s="34"/>
    </row>
    <row r="839" ht="15.75" customHeight="1">
      <c r="U839" s="34"/>
      <c r="V839" s="34"/>
    </row>
    <row r="840" ht="15.75" customHeight="1">
      <c r="U840" s="34"/>
      <c r="V840" s="34"/>
    </row>
    <row r="841" ht="15.75" customHeight="1">
      <c r="U841" s="34"/>
      <c r="V841" s="34"/>
    </row>
    <row r="842" ht="15.75" customHeight="1">
      <c r="U842" s="34"/>
      <c r="V842" s="34"/>
    </row>
    <row r="843" ht="15.75" customHeight="1">
      <c r="U843" s="34"/>
      <c r="V843" s="34"/>
    </row>
    <row r="844" ht="15.75" customHeight="1">
      <c r="U844" s="34"/>
      <c r="V844" s="34"/>
    </row>
    <row r="845" ht="15.75" customHeight="1">
      <c r="U845" s="34"/>
      <c r="V845" s="34"/>
    </row>
    <row r="846" ht="15.75" customHeight="1">
      <c r="U846" s="34"/>
      <c r="V846" s="34"/>
    </row>
    <row r="847" ht="15.75" customHeight="1">
      <c r="U847" s="34"/>
      <c r="V847" s="34"/>
    </row>
    <row r="848" ht="15.75" customHeight="1">
      <c r="U848" s="34"/>
      <c r="V848" s="34"/>
    </row>
    <row r="849" ht="15.75" customHeight="1">
      <c r="U849" s="34"/>
      <c r="V849" s="34"/>
    </row>
    <row r="850" ht="15.75" customHeight="1">
      <c r="U850" s="34"/>
      <c r="V850" s="34"/>
    </row>
    <row r="851" ht="15.75" customHeight="1">
      <c r="U851" s="34"/>
      <c r="V851" s="34"/>
    </row>
    <row r="852" ht="15.75" customHeight="1">
      <c r="U852" s="34"/>
      <c r="V852" s="34"/>
    </row>
    <row r="853" ht="15.75" customHeight="1">
      <c r="U853" s="34"/>
      <c r="V853" s="34"/>
    </row>
    <row r="854" ht="15.75" customHeight="1">
      <c r="U854" s="34"/>
      <c r="V854" s="34"/>
    </row>
    <row r="855" ht="15.75" customHeight="1">
      <c r="U855" s="34"/>
      <c r="V855" s="34"/>
    </row>
    <row r="856" ht="15.75" customHeight="1">
      <c r="U856" s="34"/>
      <c r="V856" s="34"/>
    </row>
    <row r="857" ht="15.75" customHeight="1">
      <c r="U857" s="34"/>
      <c r="V857" s="34"/>
    </row>
    <row r="858" ht="15.75" customHeight="1">
      <c r="U858" s="34"/>
      <c r="V858" s="34"/>
    </row>
    <row r="859" ht="15.75" customHeight="1">
      <c r="U859" s="34"/>
      <c r="V859" s="34"/>
    </row>
    <row r="860" ht="15.75" customHeight="1">
      <c r="U860" s="34"/>
      <c r="V860" s="34"/>
    </row>
    <row r="861" ht="15.75" customHeight="1">
      <c r="U861" s="34"/>
      <c r="V861" s="34"/>
    </row>
    <row r="862" ht="15.75" customHeight="1">
      <c r="U862" s="34"/>
      <c r="V862" s="34"/>
    </row>
    <row r="863" ht="15.75" customHeight="1">
      <c r="U863" s="34"/>
      <c r="V863" s="34"/>
    </row>
    <row r="864" ht="15.75" customHeight="1">
      <c r="U864" s="34"/>
      <c r="V864" s="34"/>
    </row>
    <row r="865" ht="15.75" customHeight="1">
      <c r="U865" s="34"/>
      <c r="V865" s="34"/>
    </row>
    <row r="866" ht="15.75" customHeight="1">
      <c r="U866" s="34"/>
      <c r="V866" s="34"/>
    </row>
    <row r="867" ht="15.75" customHeight="1">
      <c r="U867" s="34"/>
      <c r="V867" s="34"/>
    </row>
    <row r="868" ht="15.75" customHeight="1">
      <c r="U868" s="34"/>
      <c r="V868" s="34"/>
    </row>
    <row r="869" ht="15.75" customHeight="1">
      <c r="U869" s="34"/>
      <c r="V869" s="34"/>
    </row>
    <row r="870" ht="15.75" customHeight="1">
      <c r="U870" s="34"/>
      <c r="V870" s="34"/>
    </row>
    <row r="871" ht="15.75" customHeight="1">
      <c r="U871" s="34"/>
      <c r="V871" s="34"/>
    </row>
    <row r="872" ht="15.75" customHeight="1">
      <c r="U872" s="34"/>
      <c r="V872" s="34"/>
    </row>
    <row r="873" ht="15.75" customHeight="1">
      <c r="U873" s="34"/>
      <c r="V873" s="34"/>
    </row>
    <row r="874" ht="15.75" customHeight="1">
      <c r="U874" s="34"/>
      <c r="V874" s="34"/>
    </row>
    <row r="875" ht="15.75" customHeight="1">
      <c r="U875" s="34"/>
      <c r="V875" s="34"/>
    </row>
    <row r="876" ht="15.75" customHeight="1">
      <c r="U876" s="34"/>
      <c r="V876" s="34"/>
    </row>
    <row r="877" ht="15.75" customHeight="1">
      <c r="U877" s="34"/>
      <c r="V877" s="34"/>
    </row>
    <row r="878" ht="15.75" customHeight="1">
      <c r="U878" s="34"/>
      <c r="V878" s="34"/>
    </row>
    <row r="879" ht="15.75" customHeight="1">
      <c r="U879" s="34"/>
      <c r="V879" s="34"/>
    </row>
    <row r="880" ht="15.75" customHeight="1">
      <c r="U880" s="34"/>
      <c r="V880" s="34"/>
    </row>
    <row r="881" ht="15.75" customHeight="1">
      <c r="U881" s="34"/>
      <c r="V881" s="34"/>
    </row>
    <row r="882" ht="15.75" customHeight="1">
      <c r="U882" s="34"/>
      <c r="V882" s="34"/>
    </row>
    <row r="883" ht="15.75" customHeight="1">
      <c r="U883" s="34"/>
      <c r="V883" s="34"/>
    </row>
    <row r="884" ht="15.75" customHeight="1">
      <c r="U884" s="34"/>
      <c r="V884" s="34"/>
    </row>
    <row r="885" ht="15.75" customHeight="1">
      <c r="U885" s="34"/>
      <c r="V885" s="34"/>
    </row>
    <row r="886" ht="15.75" customHeight="1">
      <c r="U886" s="34"/>
      <c r="V886" s="34"/>
    </row>
    <row r="887" ht="15.75" customHeight="1">
      <c r="U887" s="34"/>
      <c r="V887" s="34"/>
    </row>
    <row r="888" ht="15.75" customHeight="1">
      <c r="U888" s="34"/>
      <c r="V888" s="34"/>
    </row>
    <row r="889" ht="15.75" customHeight="1">
      <c r="U889" s="34"/>
      <c r="V889" s="34"/>
    </row>
    <row r="890" ht="15.75" customHeight="1">
      <c r="U890" s="34"/>
      <c r="V890" s="34"/>
    </row>
    <row r="891" ht="15.75" customHeight="1">
      <c r="U891" s="34"/>
      <c r="V891" s="34"/>
    </row>
    <row r="892" ht="15.75" customHeight="1">
      <c r="U892" s="34"/>
      <c r="V892" s="34"/>
    </row>
    <row r="893" ht="15.75" customHeight="1">
      <c r="U893" s="34"/>
      <c r="V893" s="34"/>
    </row>
    <row r="894" ht="15.75" customHeight="1">
      <c r="U894" s="34"/>
      <c r="V894" s="34"/>
    </row>
    <row r="895" ht="15.75" customHeight="1">
      <c r="U895" s="34"/>
      <c r="V895" s="34"/>
    </row>
    <row r="896" ht="15.75" customHeight="1">
      <c r="U896" s="34"/>
      <c r="V896" s="34"/>
    </row>
    <row r="897" ht="15.75" customHeight="1">
      <c r="U897" s="34"/>
      <c r="V897" s="34"/>
    </row>
    <row r="898" ht="15.75" customHeight="1">
      <c r="U898" s="34"/>
      <c r="V898" s="34"/>
    </row>
    <row r="899" ht="15.75" customHeight="1">
      <c r="U899" s="34"/>
      <c r="V899" s="34"/>
    </row>
    <row r="900" ht="15.75" customHeight="1">
      <c r="U900" s="34"/>
      <c r="V900" s="34"/>
    </row>
    <row r="901" ht="15.75" customHeight="1">
      <c r="U901" s="34"/>
      <c r="V901" s="34"/>
    </row>
    <row r="902" ht="15.75" customHeight="1">
      <c r="U902" s="34"/>
      <c r="V902" s="34"/>
    </row>
    <row r="903" ht="15.75" customHeight="1">
      <c r="U903" s="34"/>
      <c r="V903" s="34"/>
    </row>
    <row r="904" ht="15.75" customHeight="1">
      <c r="U904" s="34"/>
      <c r="V904" s="34"/>
    </row>
    <row r="905" ht="15.75" customHeight="1">
      <c r="U905" s="34"/>
      <c r="V905" s="34"/>
    </row>
    <row r="906" ht="15.75" customHeight="1">
      <c r="U906" s="34"/>
      <c r="V906" s="34"/>
    </row>
    <row r="907" ht="15.75" customHeight="1">
      <c r="U907" s="34"/>
      <c r="V907" s="34"/>
    </row>
    <row r="908" ht="15.75" customHeight="1">
      <c r="U908" s="34"/>
      <c r="V908" s="34"/>
    </row>
    <row r="909" ht="15.75" customHeight="1">
      <c r="U909" s="34"/>
      <c r="V909" s="34"/>
    </row>
    <row r="910" ht="15.75" customHeight="1">
      <c r="U910" s="34"/>
      <c r="V910" s="34"/>
    </row>
    <row r="911" ht="15.75" customHeight="1">
      <c r="U911" s="34"/>
      <c r="V911" s="34"/>
    </row>
    <row r="912" ht="15.75" customHeight="1">
      <c r="U912" s="34"/>
      <c r="V912" s="34"/>
    </row>
    <row r="913" ht="15.75" customHeight="1">
      <c r="U913" s="34"/>
      <c r="V913" s="34"/>
    </row>
    <row r="914" ht="15.75" customHeight="1">
      <c r="U914" s="34"/>
      <c r="V914" s="34"/>
    </row>
    <row r="915" ht="15.75" customHeight="1">
      <c r="U915" s="34"/>
      <c r="V915" s="34"/>
    </row>
    <row r="916" ht="15.75" customHeight="1">
      <c r="U916" s="34"/>
      <c r="V916" s="34"/>
    </row>
    <row r="917" ht="15.75" customHeight="1">
      <c r="U917" s="34"/>
      <c r="V917" s="34"/>
    </row>
    <row r="918" ht="15.75" customHeight="1">
      <c r="U918" s="34"/>
      <c r="V918" s="34"/>
    </row>
    <row r="919" ht="15.75" customHeight="1">
      <c r="U919" s="34"/>
      <c r="V919" s="34"/>
    </row>
    <row r="920" ht="15.75" customHeight="1">
      <c r="U920" s="34"/>
      <c r="V920" s="34"/>
    </row>
    <row r="921" ht="15.75" customHeight="1">
      <c r="U921" s="34"/>
      <c r="V921" s="34"/>
    </row>
    <row r="922" ht="15.75" customHeight="1">
      <c r="U922" s="34"/>
      <c r="V922" s="34"/>
    </row>
    <row r="923" ht="15.75" customHeight="1">
      <c r="U923" s="34"/>
      <c r="V923" s="34"/>
    </row>
    <row r="924" ht="15.75" customHeight="1">
      <c r="U924" s="34"/>
      <c r="V924" s="34"/>
    </row>
    <row r="925" ht="15.75" customHeight="1">
      <c r="U925" s="34"/>
      <c r="V925" s="34"/>
    </row>
    <row r="926" ht="15.75" customHeight="1">
      <c r="U926" s="34"/>
      <c r="V926" s="34"/>
    </row>
    <row r="927" ht="15.75" customHeight="1">
      <c r="U927" s="34"/>
      <c r="V927" s="34"/>
    </row>
    <row r="928" ht="15.75" customHeight="1">
      <c r="U928" s="34"/>
      <c r="V928" s="34"/>
    </row>
    <row r="929" ht="15.75" customHeight="1">
      <c r="U929" s="34"/>
      <c r="V929" s="34"/>
    </row>
    <row r="930" ht="15.75" customHeight="1">
      <c r="U930" s="34"/>
      <c r="V930" s="34"/>
    </row>
    <row r="931" ht="15.75" customHeight="1">
      <c r="U931" s="34"/>
      <c r="V931" s="34"/>
    </row>
    <row r="932" ht="15.75" customHeight="1">
      <c r="U932" s="34"/>
      <c r="V932" s="34"/>
    </row>
    <row r="933" ht="15.75" customHeight="1">
      <c r="U933" s="34"/>
      <c r="V933" s="34"/>
    </row>
    <row r="934" ht="15.75" customHeight="1">
      <c r="U934" s="34"/>
      <c r="V934" s="34"/>
    </row>
    <row r="935" ht="15.75" customHeight="1">
      <c r="U935" s="34"/>
      <c r="V935" s="34"/>
    </row>
    <row r="936" ht="15.75" customHeight="1">
      <c r="U936" s="34"/>
      <c r="V936" s="34"/>
    </row>
    <row r="937" ht="15.75" customHeight="1">
      <c r="U937" s="34"/>
      <c r="V937" s="34"/>
    </row>
    <row r="938" ht="15.75" customHeight="1">
      <c r="U938" s="34"/>
      <c r="V938" s="34"/>
    </row>
    <row r="939" ht="15.75" customHeight="1">
      <c r="U939" s="34"/>
      <c r="V939" s="34"/>
    </row>
    <row r="940" ht="15.75" customHeight="1">
      <c r="U940" s="34"/>
      <c r="V940" s="34"/>
    </row>
    <row r="941" ht="15.75" customHeight="1">
      <c r="U941" s="34"/>
      <c r="V941" s="34"/>
    </row>
    <row r="942" ht="15.75" customHeight="1">
      <c r="U942" s="34"/>
      <c r="V942" s="34"/>
    </row>
    <row r="943" ht="15.75" customHeight="1">
      <c r="U943" s="34"/>
      <c r="V943" s="34"/>
    </row>
    <row r="944" ht="15.75" customHeight="1">
      <c r="U944" s="34"/>
      <c r="V944" s="34"/>
    </row>
    <row r="945" ht="15.75" customHeight="1">
      <c r="U945" s="34"/>
      <c r="V945" s="34"/>
    </row>
    <row r="946" ht="15.75" customHeight="1">
      <c r="U946" s="34"/>
      <c r="V946" s="34"/>
    </row>
    <row r="947" ht="15.75" customHeight="1">
      <c r="U947" s="34"/>
      <c r="V947" s="34"/>
    </row>
    <row r="948" ht="15.75" customHeight="1">
      <c r="U948" s="34"/>
      <c r="V948" s="34"/>
    </row>
    <row r="949" ht="15.75" customHeight="1">
      <c r="U949" s="34"/>
      <c r="V949" s="34"/>
    </row>
    <row r="950" ht="15.75" customHeight="1">
      <c r="U950" s="34"/>
      <c r="V950" s="34"/>
    </row>
    <row r="951" ht="15.75" customHeight="1">
      <c r="U951" s="34"/>
      <c r="V951" s="34"/>
    </row>
    <row r="952" ht="15.75" customHeight="1">
      <c r="U952" s="34"/>
      <c r="V952" s="34"/>
    </row>
    <row r="953" ht="15.75" customHeight="1">
      <c r="U953" s="34"/>
      <c r="V953" s="34"/>
    </row>
    <row r="954" ht="15.75" customHeight="1">
      <c r="U954" s="34"/>
      <c r="V954" s="34"/>
    </row>
    <row r="955" ht="15.75" customHeight="1">
      <c r="U955" s="34"/>
      <c r="V955" s="34"/>
    </row>
    <row r="956" ht="15.75" customHeight="1">
      <c r="U956" s="34"/>
      <c r="V956" s="34"/>
    </row>
    <row r="957" ht="15.75" customHeight="1">
      <c r="U957" s="34"/>
      <c r="V957" s="34"/>
    </row>
    <row r="958" ht="15.75" customHeight="1">
      <c r="U958" s="34"/>
      <c r="V958" s="34"/>
    </row>
    <row r="959" ht="15.75" customHeight="1">
      <c r="U959" s="34"/>
      <c r="V959" s="34"/>
    </row>
    <row r="960" ht="15.75" customHeight="1">
      <c r="U960" s="34"/>
      <c r="V960" s="34"/>
    </row>
    <row r="961" ht="15.75" customHeight="1">
      <c r="U961" s="34"/>
      <c r="V961" s="34"/>
    </row>
    <row r="962" ht="15.75" customHeight="1">
      <c r="U962" s="34"/>
      <c r="V962" s="34"/>
    </row>
    <row r="963" ht="15.75" customHeight="1">
      <c r="U963" s="34"/>
      <c r="V963" s="34"/>
    </row>
    <row r="964" ht="15.75" customHeight="1">
      <c r="U964" s="34"/>
      <c r="V964" s="34"/>
    </row>
    <row r="965" ht="15.75" customHeight="1">
      <c r="U965" s="34"/>
      <c r="V965" s="34"/>
    </row>
    <row r="966" ht="15.75" customHeight="1">
      <c r="U966" s="34"/>
      <c r="V966" s="34"/>
    </row>
    <row r="967" ht="15.75" customHeight="1">
      <c r="U967" s="34"/>
      <c r="V967" s="34"/>
    </row>
    <row r="968" ht="15.75" customHeight="1">
      <c r="U968" s="34"/>
      <c r="V968" s="34"/>
    </row>
    <row r="969" ht="15.75" customHeight="1">
      <c r="U969" s="34"/>
      <c r="V969" s="34"/>
    </row>
    <row r="970" ht="15.75" customHeight="1">
      <c r="U970" s="34"/>
      <c r="V970" s="34"/>
    </row>
    <row r="971" ht="15.75" customHeight="1">
      <c r="U971" s="34"/>
      <c r="V971" s="34"/>
    </row>
    <row r="972" ht="15.75" customHeight="1">
      <c r="U972" s="34"/>
      <c r="V972" s="34"/>
    </row>
    <row r="973" ht="15.75" customHeight="1">
      <c r="U973" s="34"/>
      <c r="V973" s="34"/>
    </row>
    <row r="974" ht="15.75" customHeight="1">
      <c r="U974" s="34"/>
      <c r="V974" s="34"/>
    </row>
    <row r="975" ht="15.75" customHeight="1">
      <c r="U975" s="34"/>
      <c r="V975" s="34"/>
    </row>
    <row r="976" ht="15.75" customHeight="1">
      <c r="U976" s="34"/>
      <c r="V976" s="34"/>
    </row>
    <row r="977" ht="15.75" customHeight="1">
      <c r="U977" s="34"/>
      <c r="V977" s="34"/>
    </row>
    <row r="978" ht="15.75" customHeight="1">
      <c r="U978" s="34"/>
      <c r="V978" s="34"/>
    </row>
    <row r="979" ht="15.75" customHeight="1">
      <c r="U979" s="34"/>
      <c r="V979" s="34"/>
    </row>
    <row r="980" ht="15.75" customHeight="1">
      <c r="U980" s="34"/>
      <c r="V980" s="34"/>
    </row>
    <row r="981" ht="15.75" customHeight="1">
      <c r="U981" s="34"/>
      <c r="V981" s="34"/>
    </row>
    <row r="982" ht="15.75" customHeight="1">
      <c r="U982" s="34"/>
      <c r="V982" s="34"/>
    </row>
    <row r="983" ht="15.75" customHeight="1">
      <c r="U983" s="34"/>
      <c r="V983" s="34"/>
    </row>
    <row r="984" ht="15.75" customHeight="1">
      <c r="U984" s="34"/>
      <c r="V984" s="34"/>
    </row>
    <row r="985" ht="15.75" customHeight="1">
      <c r="U985" s="34"/>
      <c r="V985" s="34"/>
    </row>
    <row r="986" ht="15.75" customHeight="1">
      <c r="U986" s="34"/>
      <c r="V986" s="34"/>
    </row>
    <row r="987" ht="15.75" customHeight="1">
      <c r="U987" s="34"/>
      <c r="V987" s="34"/>
    </row>
    <row r="988" ht="15.75" customHeight="1">
      <c r="U988" s="34"/>
      <c r="V988" s="34"/>
    </row>
    <row r="989" ht="15.75" customHeight="1">
      <c r="U989" s="34"/>
      <c r="V989" s="34"/>
    </row>
    <row r="990" ht="15.75" customHeight="1">
      <c r="U990" s="34"/>
      <c r="V990" s="34"/>
    </row>
    <row r="991" ht="15.75" customHeight="1">
      <c r="U991" s="34"/>
      <c r="V991" s="34"/>
    </row>
    <row r="992" ht="15.75" customHeight="1">
      <c r="U992" s="34"/>
      <c r="V992" s="34"/>
    </row>
    <row r="993" ht="15.75" customHeight="1">
      <c r="U993" s="34"/>
      <c r="V993" s="34"/>
    </row>
    <row r="994" ht="15.75" customHeight="1">
      <c r="U994" s="34"/>
      <c r="V994" s="34"/>
    </row>
    <row r="995" ht="15.75" customHeight="1">
      <c r="U995" s="34"/>
      <c r="V995" s="34"/>
    </row>
    <row r="996" ht="15.75" customHeight="1">
      <c r="U996" s="34"/>
      <c r="V996" s="34"/>
    </row>
    <row r="997" ht="15.75" customHeight="1">
      <c r="U997" s="34"/>
      <c r="V997" s="34"/>
    </row>
    <row r="998" ht="15.75" customHeight="1">
      <c r="U998" s="34"/>
      <c r="V998" s="34"/>
    </row>
    <row r="999" ht="15.75" customHeight="1">
      <c r="U999" s="34"/>
      <c r="V999" s="34"/>
    </row>
    <row r="1000" ht="15.75" customHeight="1">
      <c r="U1000" s="34"/>
      <c r="V1000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7" width="12.63"/>
  </cols>
  <sheetData>
    <row r="1">
      <c r="A1" s="35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35" t="s">
        <v>180</v>
      </c>
      <c r="H1" s="36" t="s">
        <v>181</v>
      </c>
      <c r="I1" s="36" t="s">
        <v>182</v>
      </c>
      <c r="J1" s="36" t="s">
        <v>183</v>
      </c>
      <c r="K1" s="35" t="s">
        <v>184</v>
      </c>
      <c r="L1" s="35" t="s">
        <v>185</v>
      </c>
      <c r="M1" s="35" t="s">
        <v>186</v>
      </c>
      <c r="N1" s="35" t="s">
        <v>187</v>
      </c>
      <c r="O1" s="35" t="s">
        <v>188</v>
      </c>
      <c r="P1" s="35" t="s">
        <v>189</v>
      </c>
      <c r="Q1" s="1" t="s">
        <v>190</v>
      </c>
      <c r="R1" s="35" t="s">
        <v>191</v>
      </c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</row>
    <row r="2">
      <c r="A2" s="35" t="s">
        <v>17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3"/>
      <c r="L2" s="13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README!$B$34</f>
        <v>0</v>
      </c>
      <c r="Q2" s="13" t="str">
        <f>JOIN(", ", README!$B$10, 1)</f>
        <v>0, 1</v>
      </c>
      <c r="R2" s="13" t="str">
        <f>JOIN(", ", README!$L$21, README!$B$27, -1, README!$B$9, 0)</f>
        <v>300000000, -1, -1, -1, 0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ht="15.75" customHeight="1">
      <c r="A3" s="35" t="s">
        <v>21</v>
      </c>
      <c r="B3" s="14">
        <v>0.0</v>
      </c>
      <c r="C3" s="14">
        <v>1.0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13"/>
      <c r="L3" s="13"/>
      <c r="M3" s="13">
        <f>IF($A3="", -1, ($B3*README!$B$2)+($C3*README!$B$3)+($D3*README!$B$4)+($E3*README!$B$5)+($F3*README!$B$6))</f>
        <v>10000000</v>
      </c>
      <c r="N3" s="13">
        <f>IF($A3="", -1, ($B3*README!$B$2)+($C3*README!$B$3)+($D3*README!$B$4)+($E3*README!$B$5)+($F3*README!$B$6)-1)</f>
        <v>9999999</v>
      </c>
      <c r="O3" s="13">
        <f>IF($A3="", -1, ($B3*README!$B$2)+($C3*README!$B$3)+($D3*README!$B$4)+($E3*README!$B$5)+($F3*README!$B$6)+1)</f>
        <v>10000001</v>
      </c>
      <c r="P3" s="13">
        <f>README!$B$35</f>
        <v>1</v>
      </c>
      <c r="Q3" s="13" t="str">
        <f>JOIN(", ", README!$B$11, 0.1)</f>
        <v>1, 0.1</v>
      </c>
      <c r="R3" s="13" t="str">
        <f>JOIN(", ", README!$L$21, README!$B$27, -1, README!$B$9, 0)</f>
        <v>300000000, -1, -1, -1, 0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ht="15.75" customHeight="1">
      <c r="A4" s="35" t="s">
        <v>26</v>
      </c>
      <c r="B4" s="14">
        <v>0.0</v>
      </c>
      <c r="C4" s="14">
        <v>2.0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13"/>
      <c r="L4" s="13"/>
      <c r="M4" s="13">
        <f>IF($A4="", -1, ($B4*README!$B$2)+($C4*README!$B$3)+($D4*README!$B$4)+($E4*README!$B$5)+($F4*README!$B$6))</f>
        <v>20000000</v>
      </c>
      <c r="N4" s="13">
        <f>IF($A4="", -1, ($B4*README!$B$2)+($C4*README!$B$3)+($D4*README!$B$4)+($E4*README!$B$5)+($F4*README!$B$6)-1)</f>
        <v>19999999</v>
      </c>
      <c r="O4" s="13">
        <f>IF($A4="", -1, ($B4*README!$B$2)+($C4*README!$B$3)+($D4*README!$B$4)+($E4*README!$B$5)+($F4*README!$B$6)+1)</f>
        <v>20000001</v>
      </c>
      <c r="P4" s="13">
        <f>README!$B$36</f>
        <v>2</v>
      </c>
      <c r="Q4" s="13" t="str">
        <f>JOIN(", ", README!$B$11, 0.1)</f>
        <v>1, 0.1</v>
      </c>
      <c r="R4" s="13" t="str">
        <f>JOIN(", ", README!$L$21, README!$B$27, -1, README!$B$9, 0)</f>
        <v>300000000, -1, -1, -1, 0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>
      <c r="A5" s="35" t="s">
        <v>32</v>
      </c>
      <c r="B5" s="14">
        <v>0.0</v>
      </c>
      <c r="C5" s="14">
        <v>0.0</v>
      </c>
      <c r="D5" s="14">
        <v>0.0</v>
      </c>
      <c r="E5" s="14">
        <v>1.0</v>
      </c>
      <c r="F5" s="14">
        <v>0.0</v>
      </c>
      <c r="G5" s="13">
        <v>0.0</v>
      </c>
      <c r="H5" s="13">
        <v>0.0</v>
      </c>
      <c r="I5" s="13">
        <v>0.0</v>
      </c>
      <c r="J5" s="13">
        <v>0.0</v>
      </c>
      <c r="K5" s="13"/>
      <c r="L5" s="13"/>
      <c r="M5" s="13">
        <f>IF($A5="", -1, ($B5*README!$B$2)+($C5*README!$B$3)+($D5*README!$B$4)+($E5*README!$B$5)+($F5*README!$B$6))</f>
        <v>100</v>
      </c>
      <c r="N5" s="13">
        <f>IF($A5="", -1, ($B5*README!$B$2)+($C5*README!$B$3)+($D5*README!$B$4)+($E5*README!$B$5)+($F5*README!$B$6)-1)</f>
        <v>99</v>
      </c>
      <c r="O5" s="13">
        <f>IF($A5="", -1, ($B5*README!$B$2)+($C5*README!$B$3)+($D5*README!$B$4)+($E5*README!$B$5)+($F5*README!$B$6)+1)</f>
        <v>101</v>
      </c>
      <c r="P5" s="13">
        <f>README!$B$34</f>
        <v>0</v>
      </c>
      <c r="Q5" s="13" t="str">
        <f>JOIN(", ", README!$B$10, 1)</f>
        <v>0, 1</v>
      </c>
      <c r="R5" s="13" t="str">
        <f>JOIN(", ", README!$L$21, README!$B$27, -1, README!$B$9, 0)</f>
        <v>300000000, -1, -1, -1, 0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ht="15.75" customHeight="1">
      <c r="A6" s="35" t="s">
        <v>34</v>
      </c>
      <c r="B6" s="14">
        <v>0.0</v>
      </c>
      <c r="C6" s="14">
        <v>1.0</v>
      </c>
      <c r="D6" s="14">
        <v>0.0</v>
      </c>
      <c r="E6" s="14">
        <v>1.0</v>
      </c>
      <c r="F6" s="14">
        <v>0.0</v>
      </c>
      <c r="G6" s="13">
        <v>0.0</v>
      </c>
      <c r="H6" s="13">
        <v>0.0</v>
      </c>
      <c r="I6" s="13">
        <v>0.0</v>
      </c>
      <c r="J6" s="13">
        <v>0.0</v>
      </c>
      <c r="K6" s="13"/>
      <c r="L6" s="13"/>
      <c r="M6" s="13">
        <f>IF($A6="", -1, ($B6*README!$B$2)+($C6*README!$B$3)+($D6*README!$B$4)+($E6*README!$B$5)+($F6*README!$B$6))</f>
        <v>10000100</v>
      </c>
      <c r="N6" s="13">
        <f>IF($A6="", -1, ($B6*README!$B$2)+($C6*README!$B$3)+($D6*README!$B$4)+($E6*README!$B$5)+($F6*README!$B$6)-1)</f>
        <v>10000099</v>
      </c>
      <c r="O6" s="13">
        <f>IF($A6="", -1, ($B6*README!$B$2)+($C6*README!$B$3)+($D6*README!$B$4)+($E6*README!$B$5)+($F6*README!$B$6)+1)</f>
        <v>10000101</v>
      </c>
      <c r="P6" s="13">
        <f>README!$B$35</f>
        <v>1</v>
      </c>
      <c r="Q6" s="13" t="str">
        <f>JOIN(", ", README!$B$11, 0.1)</f>
        <v>1, 0.1</v>
      </c>
      <c r="R6" s="13" t="str">
        <f>JOIN(", ", README!$L$21, README!$B$27, -1, README!$B$9, 0)</f>
        <v>300000000, -1, -1, -1, 0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</row>
    <row r="7" ht="15.75" customHeight="1">
      <c r="A7" s="35" t="s">
        <v>37</v>
      </c>
      <c r="B7" s="14">
        <v>0.0</v>
      </c>
      <c r="C7" s="14">
        <v>2.0</v>
      </c>
      <c r="D7" s="14">
        <v>0.0</v>
      </c>
      <c r="E7" s="14">
        <v>1.0</v>
      </c>
      <c r="F7" s="14">
        <v>0.0</v>
      </c>
      <c r="G7" s="13">
        <v>0.0</v>
      </c>
      <c r="H7" s="13">
        <v>0.0</v>
      </c>
      <c r="I7" s="13">
        <v>0.0</v>
      </c>
      <c r="J7" s="13">
        <v>0.0</v>
      </c>
      <c r="K7" s="13"/>
      <c r="L7" s="13"/>
      <c r="M7" s="13">
        <f>IF($A7="", -1, ($B7*README!$B$2)+($C7*README!$B$3)+($D7*README!$B$4)+($E7*README!$B$5)+($F7*README!$B$6))</f>
        <v>20000100</v>
      </c>
      <c r="N7" s="13">
        <f>IF($A7="", -1, ($B7*README!$B$2)+($C7*README!$B$3)+($D7*README!$B$4)+($E7*README!$B$5)+($F7*README!$B$6)-1)</f>
        <v>20000099</v>
      </c>
      <c r="O7" s="13">
        <f>IF($A7="", -1, ($B7*README!$B$2)+($C7*README!$B$3)+($D7*README!$B$4)+($E7*README!$B$5)+($F7*README!$B$6)+1)</f>
        <v>20000101</v>
      </c>
      <c r="P7" s="13">
        <f>README!$B$36</f>
        <v>2</v>
      </c>
      <c r="Q7" s="13" t="str">
        <f>JOIN(", ", README!$B$11, 0.1)</f>
        <v>1, 0.1</v>
      </c>
      <c r="R7" s="13" t="str">
        <f>JOIN(", ", README!$L$21, README!$B$27, -1, README!$B$9, 0)</f>
        <v>300000000, -1, -1, -1, 0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</row>
    <row r="8">
      <c r="A8" s="35" t="s">
        <v>42</v>
      </c>
      <c r="B8" s="14">
        <v>0.0</v>
      </c>
      <c r="C8" s="14">
        <v>0.0</v>
      </c>
      <c r="D8" s="14">
        <v>0.0</v>
      </c>
      <c r="E8" s="14">
        <v>2.0</v>
      </c>
      <c r="F8" s="14">
        <v>0.0</v>
      </c>
      <c r="G8" s="13">
        <v>0.0</v>
      </c>
      <c r="H8" s="13">
        <v>0.0</v>
      </c>
      <c r="I8" s="13">
        <v>0.0</v>
      </c>
      <c r="J8" s="13">
        <v>0.0</v>
      </c>
      <c r="K8" s="13"/>
      <c r="L8" s="13"/>
      <c r="M8" s="13">
        <f>IF($A8="", -1, ($B8*README!$B$2)+($C8*README!$B$3)+($D8*README!$B$4)+($E8*README!$B$5)+($F8*README!$B$6))</f>
        <v>200</v>
      </c>
      <c r="N8" s="13">
        <f>IF($A8="", -1, ($B8*README!$B$2)+($C8*README!$B$3)+($D8*README!$B$4)+($E8*README!$B$5)+($F8*README!$B$6)-1)</f>
        <v>199</v>
      </c>
      <c r="O8" s="13">
        <f>IF($A8="", -1, ($B8*README!$B$2)+($C8*README!$B$3)+($D8*README!$B$4)+($E8*README!$B$5)+($F8*README!$B$6)+1)</f>
        <v>201</v>
      </c>
      <c r="P8" s="13">
        <f>README!$B$34</f>
        <v>0</v>
      </c>
      <c r="Q8" s="13" t="str">
        <f>JOIN(", ", README!$B$10, 1)</f>
        <v>0, 1</v>
      </c>
      <c r="R8" s="13" t="str">
        <f>JOIN(", ", README!$L$21, README!$B$27, -1, README!$B$9, 0)</f>
        <v>300000000, -1, -1, -1, 0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</row>
    <row r="9" ht="15.75" customHeight="1">
      <c r="A9" s="35" t="s">
        <v>44</v>
      </c>
      <c r="B9" s="14">
        <v>0.0</v>
      </c>
      <c r="C9" s="14">
        <v>1.0</v>
      </c>
      <c r="D9" s="14">
        <v>0.0</v>
      </c>
      <c r="E9" s="14">
        <v>2.0</v>
      </c>
      <c r="F9" s="14">
        <v>0.0</v>
      </c>
      <c r="G9" s="13">
        <v>0.0</v>
      </c>
      <c r="H9" s="13">
        <v>0.0</v>
      </c>
      <c r="I9" s="13">
        <v>0.0</v>
      </c>
      <c r="J9" s="13">
        <v>0.0</v>
      </c>
      <c r="K9" s="13"/>
      <c r="L9" s="13"/>
      <c r="M9" s="13">
        <f>IF($A9="", -1, ($B9*README!$B$2)+($C9*README!$B$3)+($D9*README!$B$4)+($E9*README!$B$5)+($F9*README!$B$6))</f>
        <v>10000200</v>
      </c>
      <c r="N9" s="13">
        <f>IF($A9="", -1, ($B9*README!$B$2)+($C9*README!$B$3)+($D9*README!$B$4)+($E9*README!$B$5)+($F9*README!$B$6)-1)</f>
        <v>10000199</v>
      </c>
      <c r="O9" s="13">
        <f>IF($A9="", -1, ($B9*README!$B$2)+($C9*README!$B$3)+($D9*README!$B$4)+($E9*README!$B$5)+($F9*README!$B$6)+1)</f>
        <v>10000201</v>
      </c>
      <c r="P9" s="13">
        <f>README!$B$35</f>
        <v>1</v>
      </c>
      <c r="Q9" s="13" t="str">
        <f>JOIN(", ", README!$B$11, 0.1)</f>
        <v>1, 0.1</v>
      </c>
      <c r="R9" s="13" t="str">
        <f>JOIN(", ", README!$L$21, README!$B$27, -1, README!$B$9, 0)</f>
        <v>300000000, -1, -1, -1, 0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</row>
    <row r="10" ht="15.75" customHeight="1">
      <c r="A10" s="35" t="s">
        <v>47</v>
      </c>
      <c r="B10" s="14">
        <v>0.0</v>
      </c>
      <c r="C10" s="14">
        <v>2.0</v>
      </c>
      <c r="D10" s="14">
        <v>0.0</v>
      </c>
      <c r="E10" s="14">
        <v>2.0</v>
      </c>
      <c r="F10" s="14">
        <v>0.0</v>
      </c>
      <c r="G10" s="13">
        <v>0.0</v>
      </c>
      <c r="H10" s="13">
        <v>0.0</v>
      </c>
      <c r="I10" s="13">
        <v>0.0</v>
      </c>
      <c r="J10" s="13">
        <v>0.0</v>
      </c>
      <c r="K10" s="13"/>
      <c r="L10" s="13"/>
      <c r="M10" s="13">
        <f>IF($A10="", -1, ($B10*README!$B$2)+($C10*README!$B$3)+($D10*README!$B$4)+($E10*README!$B$5)+($F10*README!$B$6))</f>
        <v>20000200</v>
      </c>
      <c r="N10" s="13">
        <f>IF($A10="", -1, ($B10*README!$B$2)+($C10*README!$B$3)+($D10*README!$B$4)+($E10*README!$B$5)+($F10*README!$B$6)-1)</f>
        <v>20000199</v>
      </c>
      <c r="O10" s="13">
        <f>IF($A10="", -1, ($B10*README!$B$2)+($C10*README!$B$3)+($D10*README!$B$4)+($E10*README!$B$5)+($F10*README!$B$6)+1)</f>
        <v>20000201</v>
      </c>
      <c r="P10" s="13">
        <f>README!$B$36</f>
        <v>2</v>
      </c>
      <c r="Q10" s="13" t="str">
        <f>JOIN(", ", README!$B$11, 0.1)</f>
        <v>1, 0.1</v>
      </c>
      <c r="R10" s="13" t="str">
        <f>JOIN(", ", README!$L$21, README!$B$27, -1, README!$B$9, 0)</f>
        <v>300000000, -1, -1, -1, 0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</row>
    <row r="11">
      <c r="A11" s="35" t="s">
        <v>50</v>
      </c>
      <c r="B11" s="14">
        <v>0.0</v>
      </c>
      <c r="C11" s="14">
        <v>0.0</v>
      </c>
      <c r="D11" s="14">
        <v>0.0</v>
      </c>
      <c r="E11" s="14">
        <v>3.0</v>
      </c>
      <c r="F11" s="14">
        <v>0.0</v>
      </c>
      <c r="G11" s="13">
        <v>0.0</v>
      </c>
      <c r="H11" s="13">
        <v>0.0</v>
      </c>
      <c r="I11" s="13">
        <v>0.0</v>
      </c>
      <c r="J11" s="13">
        <v>0.0</v>
      </c>
      <c r="K11" s="13"/>
      <c r="L11" s="13"/>
      <c r="M11" s="13">
        <f>IF($A11="", -1, ($B11*README!$B$2)+($C11*README!$B$3)+($D11*README!$B$4)+($E11*README!$B$5)+($F11*README!$B$6))</f>
        <v>300</v>
      </c>
      <c r="N11" s="13">
        <f>IF($A11="", -1, ($B11*README!$B$2)+($C11*README!$B$3)+($D11*README!$B$4)+($E11*README!$B$5)+($F11*README!$B$6)-1)</f>
        <v>299</v>
      </c>
      <c r="O11" s="13">
        <f>IF($A11="", -1, ($B11*README!$B$2)+($C11*README!$B$3)+($D11*README!$B$4)+($E11*README!$B$5)+($F11*README!$B$6)+1)</f>
        <v>301</v>
      </c>
      <c r="P11" s="13">
        <f>README!$B$34</f>
        <v>0</v>
      </c>
      <c r="Q11" s="13" t="str">
        <f>JOIN(", ", README!$B$10, 1)</f>
        <v>0, 1</v>
      </c>
      <c r="R11" s="13" t="str">
        <f>JOIN(", ", README!$L$21, README!$B$27, -1, README!$B$9, 0)</f>
        <v>300000000, -1, -1, -1, 0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</row>
    <row r="12" ht="15.75" customHeight="1">
      <c r="A12" s="35" t="s">
        <v>53</v>
      </c>
      <c r="B12" s="14">
        <v>0.0</v>
      </c>
      <c r="C12" s="14">
        <v>1.0</v>
      </c>
      <c r="D12" s="14">
        <v>0.0</v>
      </c>
      <c r="E12" s="14">
        <v>3.0</v>
      </c>
      <c r="F12" s="14">
        <v>0.0</v>
      </c>
      <c r="G12" s="13">
        <v>0.0</v>
      </c>
      <c r="H12" s="13">
        <v>0.0</v>
      </c>
      <c r="I12" s="13">
        <v>0.0</v>
      </c>
      <c r="J12" s="13">
        <v>0.0</v>
      </c>
      <c r="K12" s="13"/>
      <c r="L12" s="13"/>
      <c r="M12" s="13">
        <f>IF($A12="", -1, ($B12*README!$B$2)+($C12*README!$B$3)+($D12*README!$B$4)+($E12*README!$B$5)+($F12*README!$B$6))</f>
        <v>10000300</v>
      </c>
      <c r="N12" s="13">
        <f>IF($A12="", -1, ($B12*README!$B$2)+($C12*README!$B$3)+($D12*README!$B$4)+($E12*README!$B$5)+($F12*README!$B$6)-1)</f>
        <v>10000299</v>
      </c>
      <c r="O12" s="13">
        <f>IF($A12="", -1, ($B12*README!$B$2)+($C12*README!$B$3)+($D12*README!$B$4)+($E12*README!$B$5)+($F12*README!$B$6)+1)</f>
        <v>10000301</v>
      </c>
      <c r="P12" s="13">
        <f>README!$B$35</f>
        <v>1</v>
      </c>
      <c r="Q12" s="13" t="str">
        <f>JOIN(", ", README!$B$11, 0.1)</f>
        <v>1, 0.1</v>
      </c>
      <c r="R12" s="13" t="str">
        <f>JOIN(", ", README!$L$21, README!$B$27, -1, README!$B$9, 0)</f>
        <v>300000000, -1, -1, -1, 0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</row>
    <row r="13" ht="15.75" customHeight="1">
      <c r="A13" s="35" t="s">
        <v>56</v>
      </c>
      <c r="B13" s="14">
        <v>0.0</v>
      </c>
      <c r="C13" s="14">
        <v>2.0</v>
      </c>
      <c r="D13" s="14">
        <v>0.0</v>
      </c>
      <c r="E13" s="14">
        <v>3.0</v>
      </c>
      <c r="F13" s="14">
        <v>0.0</v>
      </c>
      <c r="G13" s="13">
        <v>0.0</v>
      </c>
      <c r="H13" s="13">
        <v>0.0</v>
      </c>
      <c r="I13" s="13">
        <v>0.0</v>
      </c>
      <c r="J13" s="13">
        <v>0.0</v>
      </c>
      <c r="K13" s="13"/>
      <c r="L13" s="13"/>
      <c r="M13" s="13">
        <f>IF($A13="", -1, ($B13*README!$B$2)+($C13*README!$B$3)+($D13*README!$B$4)+($E13*README!$B$5)+($F13*README!$B$6))</f>
        <v>20000300</v>
      </c>
      <c r="N13" s="13">
        <f>IF($A13="", -1, ($B13*README!$B$2)+($C13*README!$B$3)+($D13*README!$B$4)+($E13*README!$B$5)+($F13*README!$B$6)-1)</f>
        <v>20000299</v>
      </c>
      <c r="O13" s="13">
        <f>IF($A13="", -1, ($B13*README!$B$2)+($C13*README!$B$3)+($D13*README!$B$4)+($E13*README!$B$5)+($F13*README!$B$6)+1)</f>
        <v>20000301</v>
      </c>
      <c r="P13" s="13">
        <f>README!$B$36</f>
        <v>2</v>
      </c>
      <c r="Q13" s="13" t="str">
        <f>JOIN(", ", README!$B$11, 0.1)</f>
        <v>1, 0.1</v>
      </c>
      <c r="R13" s="13" t="str">
        <f>JOIN(", ", README!$L$21, README!$B$27, -1, README!$B$9, 0)</f>
        <v>300000000, -1, -1, -1, 0</v>
      </c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</row>
    <row r="14">
      <c r="A14" s="35" t="s">
        <v>60</v>
      </c>
      <c r="B14" s="14">
        <v>0.0</v>
      </c>
      <c r="C14" s="14">
        <v>0.0</v>
      </c>
      <c r="D14" s="14">
        <v>1.0</v>
      </c>
      <c r="E14" s="14">
        <v>0.0</v>
      </c>
      <c r="F14" s="14">
        <v>0.0</v>
      </c>
      <c r="G14" s="13">
        <v>0.0</v>
      </c>
      <c r="H14" s="13">
        <v>1.0</v>
      </c>
      <c r="I14" s="13">
        <v>0.0</v>
      </c>
      <c r="J14" s="13">
        <v>0.0</v>
      </c>
      <c r="K14" s="35"/>
      <c r="L14" s="35"/>
      <c r="M14" s="13">
        <f>IF($A14="", -1, ($B14*README!$B$2)+($C14*README!$B$3)+($D14*README!$B$4)+($E14*README!$B$5)+($F14*README!$B$6))</f>
        <v>100000</v>
      </c>
      <c r="N14" s="13">
        <f>IF($A14="", -1, ($B14*README!$B$2)+($C14*README!$B$3)+($D14*README!$B$4)+($E14*README!$B$5)+($F14*README!$B$6)-1)</f>
        <v>99999</v>
      </c>
      <c r="O14" s="13">
        <f>IF($A14="", -1, ($B14*README!$B$2)+($C14*README!$B$3)+($D14*README!$B$4)+($E14*README!$B$5)+($F14*README!$B$6)+1)</f>
        <v>100001</v>
      </c>
      <c r="P14" s="13">
        <f>README!$B$34</f>
        <v>0</v>
      </c>
      <c r="Q14" s="13" t="str">
        <f>JOIN(", ", README!$B$10, 1)</f>
        <v>0, 1</v>
      </c>
      <c r="R14" s="13" t="str">
        <f>JOIN(", ", README!$L$21, README!$B$27, -1, README!$B$9, 0)</f>
        <v>300000000, -1, -1, -1, 0</v>
      </c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</row>
    <row r="15">
      <c r="A15" s="35" t="s">
        <v>61</v>
      </c>
      <c r="B15" s="14">
        <v>0.0</v>
      </c>
      <c r="C15" s="14">
        <v>0.0</v>
      </c>
      <c r="D15" s="14">
        <v>1.0</v>
      </c>
      <c r="E15" s="14">
        <v>0.0</v>
      </c>
      <c r="F15" s="14">
        <v>1.0</v>
      </c>
      <c r="G15" s="13">
        <v>0.0</v>
      </c>
      <c r="H15" s="13">
        <v>1.0</v>
      </c>
      <c r="I15" s="13">
        <v>0.0</v>
      </c>
      <c r="J15" s="13">
        <v>0.0</v>
      </c>
      <c r="K15" s="35"/>
      <c r="L15" s="35"/>
      <c r="M15" s="13">
        <f>IF($A15="", -1, ($B15*README!$B$2)+($C15*README!$B$3)+($D15*README!$B$4)+($E15*README!$B$5)+($F15*README!$B$6))</f>
        <v>100001</v>
      </c>
      <c r="N15" s="13">
        <f>IF($A15="", -1, ($B15*README!$B$2)+($C15*README!$B$3)+($D15*README!$B$4)+($E15*README!$B$5)+($F15*README!$B$6)-1)</f>
        <v>100000</v>
      </c>
      <c r="O15" s="13">
        <f>IF($A15="", -1, ($B15*README!$B$2)+($C15*README!$B$3)+($D15*README!$B$4)+($E15*README!$B$5)+($F15*README!$B$6)+1)</f>
        <v>100002</v>
      </c>
      <c r="P15" s="13">
        <f>README!$B$34</f>
        <v>0</v>
      </c>
      <c r="Q15" s="13" t="str">
        <f>JOIN(", ", README!$B$11, 0.1)</f>
        <v>1, 0.1</v>
      </c>
      <c r="R15" s="13" t="str">
        <f>JOIN(", ", README!$L$21, README!$B$27, -1, README!$B$9, 0)</f>
        <v>300000000, -1, -1, -1, 0</v>
      </c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</row>
    <row r="16" ht="15.75" customHeight="1">
      <c r="A16" s="35" t="s">
        <v>63</v>
      </c>
      <c r="B16" s="14">
        <v>0.0</v>
      </c>
      <c r="C16" s="14">
        <v>1.0</v>
      </c>
      <c r="D16" s="14">
        <v>1.0</v>
      </c>
      <c r="E16" s="14">
        <v>0.0</v>
      </c>
      <c r="F16" s="14">
        <v>0.0</v>
      </c>
      <c r="G16" s="13">
        <v>0.0</v>
      </c>
      <c r="H16" s="13">
        <v>0.0</v>
      </c>
      <c r="I16" s="13">
        <v>0.0</v>
      </c>
      <c r="J16" s="13">
        <v>0.0</v>
      </c>
      <c r="K16" s="35"/>
      <c r="L16" s="35"/>
      <c r="M16" s="13">
        <f>IF($A16="", -1, ($B16*README!$B$2)+($C16*README!$B$3)+($D16*README!$B$4)+($E16*README!$B$5)+($F16*README!$B$6))</f>
        <v>10100000</v>
      </c>
      <c r="N16" s="13">
        <f>IF($A16="", -1, ($B16*README!$B$2)+($C16*README!$B$3)+($D16*README!$B$4)+($E16*README!$B$5)+($F16*README!$B$6)-1)</f>
        <v>10099999</v>
      </c>
      <c r="O16" s="13">
        <f>IF($A16="", -1, ($B16*README!$B$2)+($C16*README!$B$3)+($D16*README!$B$4)+($E16*README!$B$5)+($F16*README!$B$6)+1)</f>
        <v>10100001</v>
      </c>
      <c r="P16" s="13">
        <f>README!$B$35</f>
        <v>1</v>
      </c>
      <c r="Q16" s="13" t="str">
        <f>JOIN(", ", README!$B$11, 0.1)</f>
        <v>1, 0.1</v>
      </c>
      <c r="R16" s="13" t="str">
        <f>JOIN(", ", README!$L$21, README!$B$27, -1, README!$B$9, 0)</f>
        <v>300000000, -1, -1, -1, 0</v>
      </c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</row>
    <row r="17" ht="15.75" customHeight="1">
      <c r="A17" s="35" t="s">
        <v>65</v>
      </c>
      <c r="B17" s="14">
        <v>0.0</v>
      </c>
      <c r="C17" s="14">
        <v>2.0</v>
      </c>
      <c r="D17" s="14">
        <v>1.0</v>
      </c>
      <c r="E17" s="14">
        <v>0.0</v>
      </c>
      <c r="F17" s="14">
        <v>0.0</v>
      </c>
      <c r="G17" s="13">
        <v>0.0</v>
      </c>
      <c r="H17" s="13">
        <v>0.0</v>
      </c>
      <c r="I17" s="13">
        <v>0.0</v>
      </c>
      <c r="J17" s="13">
        <v>0.0</v>
      </c>
      <c r="K17" s="35"/>
      <c r="L17" s="35"/>
      <c r="M17" s="13">
        <f>IF($A17="", -1, ($B17*README!$B$2)+($C17*README!$B$3)+($D17*README!$B$4)+($E17*README!$B$5)+($F17*README!$B$6))</f>
        <v>20100000</v>
      </c>
      <c r="N17" s="13">
        <f>IF($A17="", -1, ($B17*README!$B$2)+($C17*README!$B$3)+($D17*README!$B$4)+($E17*README!$B$5)+($F17*README!$B$6)-1)</f>
        <v>20099999</v>
      </c>
      <c r="O17" s="13">
        <f>IF($A17="", -1, ($B17*README!$B$2)+($C17*README!$B$3)+($D17*README!$B$4)+($E17*README!$B$5)+($F17*README!$B$6)+1)</f>
        <v>20100001</v>
      </c>
      <c r="P17" s="13">
        <f>README!$B$36</f>
        <v>2</v>
      </c>
      <c r="Q17" s="13" t="str">
        <f>JOIN(", ", README!$B$11, 0.1)</f>
        <v>1, 0.1</v>
      </c>
      <c r="R17" s="13" t="str">
        <f>JOIN(", ", README!$L$21, README!$B$27, -1, README!$B$9, 0)</f>
        <v>300000000, -1, -1, -1, 0</v>
      </c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</row>
    <row r="18">
      <c r="A18" s="35" t="s">
        <v>66</v>
      </c>
      <c r="B18" s="14">
        <v>0.0</v>
      </c>
      <c r="C18" s="14">
        <v>0.0</v>
      </c>
      <c r="D18" s="14">
        <v>1.0</v>
      </c>
      <c r="E18" s="14">
        <v>1.0</v>
      </c>
      <c r="F18" s="14">
        <v>0.0</v>
      </c>
      <c r="G18" s="13">
        <v>0.0</v>
      </c>
      <c r="H18" s="13">
        <v>1.0</v>
      </c>
      <c r="I18" s="13">
        <v>0.0</v>
      </c>
      <c r="J18" s="13">
        <v>0.0</v>
      </c>
      <c r="K18" s="35"/>
      <c r="L18" s="35"/>
      <c r="M18" s="13">
        <f>IF($A18="", -1, ($B18*README!$B$2)+($C18*README!$B$3)+($D18*README!$B$4)+($E18*README!$B$5)+($F18*README!$B$6))</f>
        <v>100100</v>
      </c>
      <c r="N18" s="13">
        <f>IF($A18="", -1, ($B18*README!$B$2)+($C18*README!$B$3)+($D18*README!$B$4)+($E18*README!$B$5)+($F18*README!$B$6)-1)</f>
        <v>100099</v>
      </c>
      <c r="O18" s="13">
        <f>IF($A18="", -1, ($B18*README!$B$2)+($C18*README!$B$3)+($D18*README!$B$4)+($E18*README!$B$5)+($F18*README!$B$6)+1)</f>
        <v>100101</v>
      </c>
      <c r="P18" s="13">
        <f>README!$B$34</f>
        <v>0</v>
      </c>
      <c r="Q18" s="13" t="str">
        <f>JOIN(", ", README!$B$10, 1)</f>
        <v>0, 1</v>
      </c>
      <c r="R18" s="13" t="str">
        <f>JOIN(", ", README!$L$21, README!$B$27, -1, README!$B$9, 0)</f>
        <v>300000000, -1, -1, -1, 0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</row>
    <row r="19">
      <c r="A19" s="35" t="s">
        <v>67</v>
      </c>
      <c r="B19" s="14">
        <v>0.0</v>
      </c>
      <c r="C19" s="14">
        <v>0.0</v>
      </c>
      <c r="D19" s="14">
        <v>1.0</v>
      </c>
      <c r="E19" s="14">
        <v>1.0</v>
      </c>
      <c r="F19" s="14">
        <v>1.0</v>
      </c>
      <c r="G19" s="13">
        <v>0.0</v>
      </c>
      <c r="H19" s="13">
        <v>1.0</v>
      </c>
      <c r="I19" s="13">
        <v>0.0</v>
      </c>
      <c r="J19" s="13">
        <v>0.0</v>
      </c>
      <c r="K19" s="35"/>
      <c r="L19" s="35"/>
      <c r="M19" s="13">
        <f>IF($A19="", -1, ($B19*README!$B$2)+($C19*README!$B$3)+($D19*README!$B$4)+($E19*README!$B$5)+($F19*README!$B$6))</f>
        <v>100101</v>
      </c>
      <c r="N19" s="13">
        <f>IF($A19="", -1, ($B19*README!$B$2)+($C19*README!$B$3)+($D19*README!$B$4)+($E19*README!$B$5)+($F19*README!$B$6)-1)</f>
        <v>100100</v>
      </c>
      <c r="O19" s="13">
        <f>IF($A19="", -1, ($B19*README!$B$2)+($C19*README!$B$3)+($D19*README!$B$4)+($E19*README!$B$5)+($F19*README!$B$6)+1)</f>
        <v>100102</v>
      </c>
      <c r="P19" s="13">
        <f>README!$B$34</f>
        <v>0</v>
      </c>
      <c r="Q19" s="13" t="str">
        <f>JOIN(", ", README!$B$11, 0.1)</f>
        <v>1, 0.1</v>
      </c>
      <c r="R19" s="13" t="str">
        <f>JOIN(", ", README!$L$21, README!$B$27, -1, README!$B$9, 0)</f>
        <v>300000000, -1, -1, -1, 0</v>
      </c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</row>
    <row r="20" ht="15.75" customHeight="1">
      <c r="A20" s="35" t="s">
        <v>69</v>
      </c>
      <c r="B20" s="14">
        <v>0.0</v>
      </c>
      <c r="C20" s="14">
        <v>1.0</v>
      </c>
      <c r="D20" s="14">
        <v>1.0</v>
      </c>
      <c r="E20" s="14">
        <v>1.0</v>
      </c>
      <c r="F20" s="14">
        <v>0.0</v>
      </c>
      <c r="G20" s="13">
        <v>0.0</v>
      </c>
      <c r="H20" s="13">
        <v>0.0</v>
      </c>
      <c r="I20" s="13">
        <v>0.0</v>
      </c>
      <c r="J20" s="13">
        <v>0.0</v>
      </c>
      <c r="K20" s="35"/>
      <c r="L20" s="35"/>
      <c r="M20" s="13">
        <f>IF($A20="", -1, ($B20*README!$B$2)+($C20*README!$B$3)+($D20*README!$B$4)+($E20*README!$B$5)+($F20*README!$B$6))</f>
        <v>10100100</v>
      </c>
      <c r="N20" s="13">
        <f>IF($A20="", -1, ($B20*README!$B$2)+($C20*README!$B$3)+($D20*README!$B$4)+($E20*README!$B$5)+($F20*README!$B$6)-1)</f>
        <v>10100099</v>
      </c>
      <c r="O20" s="13">
        <f>IF($A20="", -1, ($B20*README!$B$2)+($C20*README!$B$3)+($D20*README!$B$4)+($E20*README!$B$5)+($F20*README!$B$6)+1)</f>
        <v>10100101</v>
      </c>
      <c r="P20" s="13">
        <f>README!$B$35</f>
        <v>1</v>
      </c>
      <c r="Q20" s="13" t="str">
        <f>JOIN(", ", README!$B$11, 0.1)</f>
        <v>1, 0.1</v>
      </c>
      <c r="R20" s="13" t="str">
        <f>JOIN(", ", README!$L$21, README!$B$27, -1, README!$B$9, 0)</f>
        <v>300000000, -1, -1, -1, 0</v>
      </c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</row>
    <row r="21" ht="15.75" customHeight="1">
      <c r="A21" s="35" t="s">
        <v>70</v>
      </c>
      <c r="B21" s="14">
        <v>0.0</v>
      </c>
      <c r="C21" s="14">
        <v>2.0</v>
      </c>
      <c r="D21" s="14">
        <v>1.0</v>
      </c>
      <c r="E21" s="14">
        <v>1.0</v>
      </c>
      <c r="F21" s="14">
        <v>0.0</v>
      </c>
      <c r="G21" s="13">
        <v>0.0</v>
      </c>
      <c r="H21" s="13">
        <v>0.0</v>
      </c>
      <c r="I21" s="13">
        <v>0.0</v>
      </c>
      <c r="J21" s="13">
        <v>0.0</v>
      </c>
      <c r="K21" s="35"/>
      <c r="L21" s="35"/>
      <c r="M21" s="13">
        <f>IF($A21="", -1, ($B21*README!$B$2)+($C21*README!$B$3)+($D21*README!$B$4)+($E21*README!$B$5)+($F21*README!$B$6))</f>
        <v>20100100</v>
      </c>
      <c r="N21" s="13">
        <f>IF($A21="", -1, ($B21*README!$B$2)+($C21*README!$B$3)+($D21*README!$B$4)+($E21*README!$B$5)+($F21*README!$B$6)-1)</f>
        <v>20100099</v>
      </c>
      <c r="O21" s="13">
        <f>IF($A21="", -1, ($B21*README!$B$2)+($C21*README!$B$3)+($D21*README!$B$4)+($E21*README!$B$5)+($F21*README!$B$6)+1)</f>
        <v>20100101</v>
      </c>
      <c r="P21" s="13">
        <f>README!$B$36</f>
        <v>2</v>
      </c>
      <c r="Q21" s="13" t="str">
        <f>JOIN(", ", README!$B$11, 0.1)</f>
        <v>1, 0.1</v>
      </c>
      <c r="R21" s="13" t="str">
        <f>JOIN(", ", README!$L$21, README!$B$27, -1, README!$B$9, 0)</f>
        <v>300000000, -1, -1, -1, 0</v>
      </c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</row>
    <row r="22">
      <c r="A22" s="35" t="s">
        <v>73</v>
      </c>
      <c r="B22" s="14">
        <v>0.0</v>
      </c>
      <c r="C22" s="14">
        <v>0.0</v>
      </c>
      <c r="D22" s="14">
        <v>1.0</v>
      </c>
      <c r="E22" s="14">
        <v>2.0</v>
      </c>
      <c r="F22" s="14">
        <v>0.0</v>
      </c>
      <c r="G22" s="13">
        <v>0.0</v>
      </c>
      <c r="H22" s="13">
        <v>1.0</v>
      </c>
      <c r="I22" s="13">
        <v>0.0</v>
      </c>
      <c r="J22" s="13">
        <v>0.0</v>
      </c>
      <c r="K22" s="35"/>
      <c r="L22" s="35"/>
      <c r="M22" s="13">
        <f>IF($A22="", -1, ($B22*README!$B$2)+($C22*README!$B$3)+($D22*README!$B$4)+($E22*README!$B$5)+($F22*README!$B$6))</f>
        <v>100200</v>
      </c>
      <c r="N22" s="13">
        <f>IF($A22="", -1, ($B22*README!$B$2)+($C22*README!$B$3)+($D22*README!$B$4)+($E22*README!$B$5)+($F22*README!$B$6)-1)</f>
        <v>100199</v>
      </c>
      <c r="O22" s="13">
        <f>IF($A22="", -1, ($B22*README!$B$2)+($C22*README!$B$3)+($D22*README!$B$4)+($E22*README!$B$5)+($F22*README!$B$6)+1)</f>
        <v>100201</v>
      </c>
      <c r="P22" s="13">
        <f>README!$B$34</f>
        <v>0</v>
      </c>
      <c r="Q22" s="13" t="str">
        <f>JOIN(", ", README!$B$10, 1)</f>
        <v>0, 1</v>
      </c>
      <c r="R22" s="13" t="str">
        <f>JOIN(", ", README!$L$21, README!$B$27, -1, README!$B$9, 0)</f>
        <v>300000000, -1, -1, -1, 0</v>
      </c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</row>
    <row r="23">
      <c r="A23" s="35" t="s">
        <v>75</v>
      </c>
      <c r="B23" s="14">
        <v>0.0</v>
      </c>
      <c r="C23" s="14">
        <v>0.0</v>
      </c>
      <c r="D23" s="14">
        <v>1.0</v>
      </c>
      <c r="E23" s="14">
        <v>2.0</v>
      </c>
      <c r="F23" s="14">
        <v>1.0</v>
      </c>
      <c r="G23" s="13">
        <v>0.0</v>
      </c>
      <c r="H23" s="13">
        <v>1.0</v>
      </c>
      <c r="I23" s="13">
        <v>0.0</v>
      </c>
      <c r="J23" s="13">
        <v>0.0</v>
      </c>
      <c r="K23" s="35"/>
      <c r="L23" s="35"/>
      <c r="M23" s="13">
        <f>IF($A23="", -1, ($B23*README!$B$2)+($C23*README!$B$3)+($D23*README!$B$4)+($E23*README!$B$5)+($F23*README!$B$6))</f>
        <v>100201</v>
      </c>
      <c r="N23" s="13">
        <f>IF($A23="", -1, ($B23*README!$B$2)+($C23*README!$B$3)+($D23*README!$B$4)+($E23*README!$B$5)+($F23*README!$B$6)-1)</f>
        <v>100200</v>
      </c>
      <c r="O23" s="13">
        <f>IF($A23="", -1, ($B23*README!$B$2)+($C23*README!$B$3)+($D23*README!$B$4)+($E23*README!$B$5)+($F23*README!$B$6)+1)</f>
        <v>100202</v>
      </c>
      <c r="P23" s="13">
        <f>README!$B$34</f>
        <v>0</v>
      </c>
      <c r="Q23" s="13" t="str">
        <f>JOIN(", ", README!$B$11, 0.1)</f>
        <v>1, 0.1</v>
      </c>
      <c r="R23" s="13" t="str">
        <f>JOIN(", ", README!$L$21, README!$B$27, -1, README!$B$9, 0)</f>
        <v>300000000, -1, -1, -1, 0</v>
      </c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</row>
    <row r="24" ht="15.75" customHeight="1">
      <c r="A24" s="35" t="s">
        <v>76</v>
      </c>
      <c r="B24" s="14">
        <v>0.0</v>
      </c>
      <c r="C24" s="14">
        <v>1.0</v>
      </c>
      <c r="D24" s="14">
        <v>1.0</v>
      </c>
      <c r="E24" s="14">
        <v>2.0</v>
      </c>
      <c r="F24" s="14">
        <v>0.0</v>
      </c>
      <c r="G24" s="13">
        <v>0.0</v>
      </c>
      <c r="H24" s="13">
        <v>0.0</v>
      </c>
      <c r="I24" s="13">
        <v>0.0</v>
      </c>
      <c r="J24" s="13">
        <v>0.0</v>
      </c>
      <c r="K24" s="35"/>
      <c r="L24" s="35"/>
      <c r="M24" s="13">
        <f>IF($A24="", -1, ($B24*README!$B$2)+($C24*README!$B$3)+($D24*README!$B$4)+($E24*README!$B$5)+($F24*README!$B$6))</f>
        <v>10100200</v>
      </c>
      <c r="N24" s="13">
        <f>IF($A24="", -1, ($B24*README!$B$2)+($C24*README!$B$3)+($D24*README!$B$4)+($E24*README!$B$5)+($F24*README!$B$6)-1)</f>
        <v>10100199</v>
      </c>
      <c r="O24" s="13">
        <f>IF($A24="", -1, ($B24*README!$B$2)+($C24*README!$B$3)+($D24*README!$B$4)+($E24*README!$B$5)+($F24*README!$B$6)+1)</f>
        <v>10100201</v>
      </c>
      <c r="P24" s="13">
        <f>README!$B$35</f>
        <v>1</v>
      </c>
      <c r="Q24" s="13" t="str">
        <f>JOIN(", ", README!$B$11, 0.1)</f>
        <v>1, 0.1</v>
      </c>
      <c r="R24" s="13" t="str">
        <f>JOIN(", ", README!$L$21, README!$B$27, -1, README!$B$9, 0)</f>
        <v>300000000, -1, -1, -1, 0</v>
      </c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</row>
    <row r="25" ht="15.75" customHeight="1">
      <c r="A25" s="35" t="s">
        <v>78</v>
      </c>
      <c r="B25" s="14">
        <v>0.0</v>
      </c>
      <c r="C25" s="14">
        <v>2.0</v>
      </c>
      <c r="D25" s="14">
        <v>1.0</v>
      </c>
      <c r="E25" s="14">
        <v>2.0</v>
      </c>
      <c r="F25" s="14">
        <v>0.0</v>
      </c>
      <c r="G25" s="13">
        <v>0.0</v>
      </c>
      <c r="H25" s="13">
        <v>0.0</v>
      </c>
      <c r="I25" s="13">
        <v>0.0</v>
      </c>
      <c r="J25" s="13">
        <v>0.0</v>
      </c>
      <c r="K25" s="35"/>
      <c r="L25" s="35"/>
      <c r="M25" s="13">
        <f>IF($A25="", -1, ($B25*README!$B$2)+($C25*README!$B$3)+($D25*README!$B$4)+($E25*README!$B$5)+($F25*README!$B$6))</f>
        <v>20100200</v>
      </c>
      <c r="N25" s="13">
        <f>IF($A25="", -1, ($B25*README!$B$2)+($C25*README!$B$3)+($D25*README!$B$4)+($E25*README!$B$5)+($F25*README!$B$6)-1)</f>
        <v>20100199</v>
      </c>
      <c r="O25" s="13">
        <f>IF($A25="", -1, ($B25*README!$B$2)+($C25*README!$B$3)+($D25*README!$B$4)+($E25*README!$B$5)+($F25*README!$B$6)+1)</f>
        <v>20100201</v>
      </c>
      <c r="P25" s="13">
        <f>README!$B$36</f>
        <v>2</v>
      </c>
      <c r="Q25" s="13" t="str">
        <f>JOIN(", ", README!$B$11, 0.1)</f>
        <v>1, 0.1</v>
      </c>
      <c r="R25" s="13" t="str">
        <f>JOIN(", ", README!$L$21, README!$B$27, -1, README!$B$9, 0)</f>
        <v>300000000, -1, -1, -1, 0</v>
      </c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</row>
    <row r="26">
      <c r="A26" s="35" t="s">
        <v>80</v>
      </c>
      <c r="B26" s="14">
        <v>0.0</v>
      </c>
      <c r="C26" s="14">
        <v>0.0</v>
      </c>
      <c r="D26" s="14">
        <v>2.0</v>
      </c>
      <c r="E26" s="14">
        <v>0.0</v>
      </c>
      <c r="F26" s="14">
        <v>0.0</v>
      </c>
      <c r="G26" s="13">
        <v>0.0</v>
      </c>
      <c r="H26" s="13">
        <v>0.0</v>
      </c>
      <c r="I26" s="13">
        <v>0.0</v>
      </c>
      <c r="J26" s="13">
        <v>0.0</v>
      </c>
      <c r="K26" s="35"/>
      <c r="L26" s="35"/>
      <c r="M26" s="13">
        <f>IF($A26="", -1, ($B26*README!$B$2)+($C26*README!$B$3)+($D26*README!$B$4)+($E26*README!$B$5)+($F26*README!$B$6))</f>
        <v>200000</v>
      </c>
      <c r="N26" s="13">
        <f>IF($A26="", -1, ($B26*README!$B$2)+($C26*README!$B$3)+($D26*README!$B$4)+($E26*README!$B$5)+($F26*README!$B$6)-1)</f>
        <v>199999</v>
      </c>
      <c r="O26" s="13">
        <f>IF($A26="", -1, ($B26*README!$B$2)+($C26*README!$B$3)+($D26*README!$B$4)+($E26*README!$B$5)+($F26*README!$B$6)+1)</f>
        <v>200001</v>
      </c>
      <c r="P26" s="13">
        <f>README!$B$34</f>
        <v>0</v>
      </c>
      <c r="Q26" s="13" t="str">
        <f>JOIN(", ", README!$B$10, 1)</f>
        <v>0, 1</v>
      </c>
      <c r="R26" s="13" t="str">
        <f>JOIN(", ", README!$L$21, README!$B$27, -1, README!$B$9, 0)</f>
        <v>300000000, -1, -1, -1, 0</v>
      </c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</row>
    <row r="27">
      <c r="A27" s="35" t="s">
        <v>82</v>
      </c>
      <c r="B27" s="14">
        <v>0.0</v>
      </c>
      <c r="C27" s="14">
        <v>0.0</v>
      </c>
      <c r="D27" s="14">
        <v>2.0</v>
      </c>
      <c r="E27" s="14">
        <v>0.0</v>
      </c>
      <c r="F27" s="14">
        <v>1.0</v>
      </c>
      <c r="G27" s="13">
        <v>0.0</v>
      </c>
      <c r="H27" s="13">
        <v>0.0</v>
      </c>
      <c r="I27" s="13">
        <v>0.0</v>
      </c>
      <c r="J27" s="13">
        <v>0.0</v>
      </c>
      <c r="K27" s="35"/>
      <c r="L27" s="35"/>
      <c r="M27" s="13">
        <f>IF($A27="", -1, ($B27*README!$B$2)+($C27*README!$B$3)+($D27*README!$B$4)+($E27*README!$B$5)+($F27*README!$B$6))</f>
        <v>200001</v>
      </c>
      <c r="N27" s="13">
        <f>IF($A27="", -1, ($B27*README!$B$2)+($C27*README!$B$3)+($D27*README!$B$4)+($E27*README!$B$5)+($F27*README!$B$6)-1)</f>
        <v>200000</v>
      </c>
      <c r="O27" s="13">
        <f>IF($A27="", -1, ($B27*README!$B$2)+($C27*README!$B$3)+($D27*README!$B$4)+($E27*README!$B$5)+($F27*README!$B$6)+1)</f>
        <v>200002</v>
      </c>
      <c r="P27" s="13">
        <f>README!$B$34</f>
        <v>0</v>
      </c>
      <c r="Q27" s="13" t="str">
        <f>JOIN(", ", README!$B$11, 0.1)</f>
        <v>1, 0.1</v>
      </c>
      <c r="R27" s="13" t="str">
        <f>JOIN(", ", README!$L$21, README!$B$27, -1, README!$B$9, 0)</f>
        <v>300000000, -1, -1, -1, 0</v>
      </c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</row>
    <row r="28" ht="15.75" customHeight="1">
      <c r="A28" s="35" t="s">
        <v>84</v>
      </c>
      <c r="B28" s="14">
        <v>0.0</v>
      </c>
      <c r="C28" s="14">
        <v>1.0</v>
      </c>
      <c r="D28" s="14">
        <v>2.0</v>
      </c>
      <c r="E28" s="14">
        <v>0.0</v>
      </c>
      <c r="F28" s="14">
        <v>0.0</v>
      </c>
      <c r="G28" s="13">
        <v>0.0</v>
      </c>
      <c r="H28" s="13">
        <v>0.0</v>
      </c>
      <c r="I28" s="13">
        <v>0.0</v>
      </c>
      <c r="J28" s="13">
        <v>0.0</v>
      </c>
      <c r="K28" s="35"/>
      <c r="L28" s="35"/>
      <c r="M28" s="13">
        <f>IF($A28="", -1, ($B28*README!$B$2)+($C28*README!$B$3)+($D28*README!$B$4)+($E28*README!$B$5)+($F28*README!$B$6))</f>
        <v>10200000</v>
      </c>
      <c r="N28" s="13">
        <f>IF($A28="", -1, ($B28*README!$B$2)+($C28*README!$B$3)+($D28*README!$B$4)+($E28*README!$B$5)+($F28*README!$B$6)-1)</f>
        <v>10199999</v>
      </c>
      <c r="O28" s="13">
        <f>IF($A28="", -1, ($B28*README!$B$2)+($C28*README!$B$3)+($D28*README!$B$4)+($E28*README!$B$5)+($F28*README!$B$6)+1)</f>
        <v>10200001</v>
      </c>
      <c r="P28" s="13">
        <f>README!$B$35</f>
        <v>1</v>
      </c>
      <c r="Q28" s="13" t="str">
        <f>JOIN(", ", README!$B$11, 0.1)</f>
        <v>1, 0.1</v>
      </c>
      <c r="R28" s="13" t="str">
        <f>JOIN(", ", README!$L$21, README!$B$27, -1, README!$B$9, 0)</f>
        <v>300000000, -1, -1, -1, 0</v>
      </c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</row>
    <row r="29" ht="15.75" customHeight="1">
      <c r="A29" s="35" t="s">
        <v>85</v>
      </c>
      <c r="B29" s="14">
        <v>0.0</v>
      </c>
      <c r="C29" s="14">
        <v>2.0</v>
      </c>
      <c r="D29" s="14">
        <v>2.0</v>
      </c>
      <c r="E29" s="14">
        <v>0.0</v>
      </c>
      <c r="F29" s="14">
        <v>0.0</v>
      </c>
      <c r="G29" s="13">
        <v>0.0</v>
      </c>
      <c r="H29" s="13">
        <v>0.0</v>
      </c>
      <c r="I29" s="13">
        <v>0.0</v>
      </c>
      <c r="J29" s="13">
        <v>0.0</v>
      </c>
      <c r="K29" s="35"/>
      <c r="L29" s="35"/>
      <c r="M29" s="13">
        <f>IF($A29="", -1, ($B29*README!$B$2)+($C29*README!$B$3)+($D29*README!$B$4)+($E29*README!$B$5)+($F29*README!$B$6))</f>
        <v>20200000</v>
      </c>
      <c r="N29" s="13">
        <f>IF($A29="", -1, ($B29*README!$B$2)+($C29*README!$B$3)+($D29*README!$B$4)+($E29*README!$B$5)+($F29*README!$B$6)-1)</f>
        <v>20199999</v>
      </c>
      <c r="O29" s="13">
        <f>IF($A29="", -1, ($B29*README!$B$2)+($C29*README!$B$3)+($D29*README!$B$4)+($E29*README!$B$5)+($F29*README!$B$6)+1)</f>
        <v>20200001</v>
      </c>
      <c r="P29" s="13">
        <f>README!$B$36</f>
        <v>2</v>
      </c>
      <c r="Q29" s="13" t="str">
        <f>JOIN(", ", README!$B$11, 0.1)</f>
        <v>1, 0.1</v>
      </c>
      <c r="R29" s="13" t="str">
        <f>JOIN(", ", README!$L$21, README!$B$27, -1, README!$B$9, 0)</f>
        <v>300000000, -1, -1, -1, 0</v>
      </c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</row>
    <row r="30">
      <c r="A30" s="35" t="s">
        <v>86</v>
      </c>
      <c r="B30" s="14">
        <v>0.0</v>
      </c>
      <c r="C30" s="14">
        <v>0.0</v>
      </c>
      <c r="D30" s="14">
        <v>2.0</v>
      </c>
      <c r="E30" s="14">
        <v>1.0</v>
      </c>
      <c r="F30" s="14">
        <v>0.0</v>
      </c>
      <c r="G30" s="13">
        <v>0.0</v>
      </c>
      <c r="H30" s="13">
        <v>0.0</v>
      </c>
      <c r="I30" s="13">
        <v>0.0</v>
      </c>
      <c r="J30" s="13">
        <v>0.0</v>
      </c>
      <c r="K30" s="35"/>
      <c r="L30" s="35"/>
      <c r="M30" s="13">
        <f>IF($A30="", -1, ($B30*README!$B$2)+($C30*README!$B$3)+($D30*README!$B$4)+($E30*README!$B$5)+($F30*README!$B$6))</f>
        <v>200100</v>
      </c>
      <c r="N30" s="13">
        <f>IF($A30="", -1, ($B30*README!$B$2)+($C30*README!$B$3)+($D30*README!$B$4)+($E30*README!$B$5)+($F30*README!$B$6)-1)</f>
        <v>200099</v>
      </c>
      <c r="O30" s="13">
        <f>IF($A30="", -1, ($B30*README!$B$2)+($C30*README!$B$3)+($D30*README!$B$4)+($E30*README!$B$5)+($F30*README!$B$6)+1)</f>
        <v>200101</v>
      </c>
      <c r="P30" s="13">
        <f>README!$B$34</f>
        <v>0</v>
      </c>
      <c r="Q30" s="13" t="str">
        <f>JOIN(", ", README!$B$10, 1)</f>
        <v>0, 1</v>
      </c>
      <c r="R30" s="13" t="str">
        <f>JOIN(", ", README!$L$21, README!$B$27, -1, README!$B$9, 0)</f>
        <v>300000000, -1, -1, -1, 0</v>
      </c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</row>
    <row r="31">
      <c r="A31" s="35" t="s">
        <v>87</v>
      </c>
      <c r="B31" s="14">
        <v>0.0</v>
      </c>
      <c r="C31" s="14">
        <v>0.0</v>
      </c>
      <c r="D31" s="14">
        <v>2.0</v>
      </c>
      <c r="E31" s="14">
        <v>1.0</v>
      </c>
      <c r="F31" s="14">
        <v>1.0</v>
      </c>
      <c r="G31" s="13">
        <v>0.0</v>
      </c>
      <c r="H31" s="13">
        <v>0.0</v>
      </c>
      <c r="I31" s="13">
        <v>0.0</v>
      </c>
      <c r="J31" s="13">
        <v>0.0</v>
      </c>
      <c r="K31" s="35"/>
      <c r="L31" s="35"/>
      <c r="M31" s="13">
        <f>IF($A31="", -1, ($B31*README!$B$2)+($C31*README!$B$3)+($D31*README!$B$4)+($E31*README!$B$5)+($F31*README!$B$6))</f>
        <v>200101</v>
      </c>
      <c r="N31" s="13">
        <f>IF($A31="", -1, ($B31*README!$B$2)+($C31*README!$B$3)+($D31*README!$B$4)+($E31*README!$B$5)+($F31*README!$B$6)-1)</f>
        <v>200100</v>
      </c>
      <c r="O31" s="13">
        <f>IF($A31="", -1, ($B31*README!$B$2)+($C31*README!$B$3)+($D31*README!$B$4)+($E31*README!$B$5)+($F31*README!$B$6)+1)</f>
        <v>200102</v>
      </c>
      <c r="P31" s="13">
        <f>README!$B$34</f>
        <v>0</v>
      </c>
      <c r="Q31" s="13" t="str">
        <f>JOIN(", ", README!$B$11, 0.1)</f>
        <v>1, 0.1</v>
      </c>
      <c r="R31" s="13" t="str">
        <f>JOIN(", ", README!$L$21, README!$B$27, -1, README!$B$9, 0)</f>
        <v>300000000, -1, -1, -1, 0</v>
      </c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</row>
    <row r="32" ht="15.75" customHeight="1">
      <c r="A32" s="35" t="s">
        <v>88</v>
      </c>
      <c r="B32" s="14">
        <v>0.0</v>
      </c>
      <c r="C32" s="14">
        <v>1.0</v>
      </c>
      <c r="D32" s="14">
        <v>2.0</v>
      </c>
      <c r="E32" s="14">
        <v>1.0</v>
      </c>
      <c r="F32" s="14">
        <v>0.0</v>
      </c>
      <c r="G32" s="13">
        <v>0.0</v>
      </c>
      <c r="H32" s="13">
        <v>0.0</v>
      </c>
      <c r="I32" s="13">
        <v>0.0</v>
      </c>
      <c r="J32" s="13">
        <v>0.0</v>
      </c>
      <c r="K32" s="35"/>
      <c r="L32" s="35"/>
      <c r="M32" s="13">
        <f>IF($A32="", -1, ($B32*README!$B$2)+($C32*README!$B$3)+($D32*README!$B$4)+($E32*README!$B$5)+($F32*README!$B$6))</f>
        <v>10200100</v>
      </c>
      <c r="N32" s="13">
        <f>IF($A32="", -1, ($B32*README!$B$2)+($C32*README!$B$3)+($D32*README!$B$4)+($E32*README!$B$5)+($F32*README!$B$6)-1)</f>
        <v>10200099</v>
      </c>
      <c r="O32" s="13">
        <f>IF($A32="", -1, ($B32*README!$B$2)+($C32*README!$B$3)+($D32*README!$B$4)+($E32*README!$B$5)+($F32*README!$B$6)+1)</f>
        <v>10200101</v>
      </c>
      <c r="P32" s="13">
        <f>README!$B$35</f>
        <v>1</v>
      </c>
      <c r="Q32" s="13" t="str">
        <f>JOIN(", ", README!$B$11, 0.1)</f>
        <v>1, 0.1</v>
      </c>
      <c r="R32" s="13" t="str">
        <f>JOIN(", ", README!$L$21, README!$B$27, -1, README!$B$9, 0)</f>
        <v>300000000, -1, -1, -1, 0</v>
      </c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</row>
    <row r="33" ht="15.75" customHeight="1">
      <c r="A33" s="35" t="s">
        <v>89</v>
      </c>
      <c r="B33" s="14">
        <v>0.0</v>
      </c>
      <c r="C33" s="14">
        <v>2.0</v>
      </c>
      <c r="D33" s="14">
        <v>2.0</v>
      </c>
      <c r="E33" s="14">
        <v>1.0</v>
      </c>
      <c r="F33" s="14">
        <v>0.0</v>
      </c>
      <c r="G33" s="13">
        <v>0.0</v>
      </c>
      <c r="H33" s="13">
        <v>0.0</v>
      </c>
      <c r="I33" s="13">
        <v>0.0</v>
      </c>
      <c r="J33" s="13">
        <v>0.0</v>
      </c>
      <c r="K33" s="35"/>
      <c r="L33" s="35"/>
      <c r="M33" s="13">
        <f>IF($A33="", -1, ($B33*README!$B$2)+($C33*README!$B$3)+($D33*README!$B$4)+($E33*README!$B$5)+($F33*README!$B$6))</f>
        <v>20200100</v>
      </c>
      <c r="N33" s="13">
        <f>IF($A33="", -1, ($B33*README!$B$2)+($C33*README!$B$3)+($D33*README!$B$4)+($E33*README!$B$5)+($F33*README!$B$6)-1)</f>
        <v>20200099</v>
      </c>
      <c r="O33" s="13">
        <f>IF($A33="", -1, ($B33*README!$B$2)+($C33*README!$B$3)+($D33*README!$B$4)+($E33*README!$B$5)+($F33*README!$B$6)+1)</f>
        <v>20200101</v>
      </c>
      <c r="P33" s="13">
        <f>README!$B$36</f>
        <v>2</v>
      </c>
      <c r="Q33" s="13" t="str">
        <f>JOIN(", ", README!$B$11, 0.1)</f>
        <v>1, 0.1</v>
      </c>
      <c r="R33" s="13" t="str">
        <f>JOIN(", ", README!$L$21, README!$B$27, -1, README!$B$9, 0)</f>
        <v>300000000, -1, -1, -1, 0</v>
      </c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</row>
    <row r="34">
      <c r="A34" s="35" t="s">
        <v>90</v>
      </c>
      <c r="B34" s="14">
        <v>0.0</v>
      </c>
      <c r="C34" s="14">
        <v>0.0</v>
      </c>
      <c r="D34" s="14">
        <v>2.0</v>
      </c>
      <c r="E34" s="14">
        <v>2.0</v>
      </c>
      <c r="F34" s="14">
        <v>0.0</v>
      </c>
      <c r="G34" s="13">
        <v>0.0</v>
      </c>
      <c r="H34" s="13">
        <v>0.0</v>
      </c>
      <c r="I34" s="13">
        <v>0.0</v>
      </c>
      <c r="J34" s="13">
        <v>0.0</v>
      </c>
      <c r="K34" s="35"/>
      <c r="L34" s="35"/>
      <c r="M34" s="13">
        <f>IF($A34="", -1, ($B34*README!$B$2)+($C34*README!$B$3)+($D34*README!$B$4)+($E34*README!$B$5)+($F34*README!$B$6))</f>
        <v>200200</v>
      </c>
      <c r="N34" s="13">
        <f>IF($A34="", -1, ($B34*README!$B$2)+($C34*README!$B$3)+($D34*README!$B$4)+($E34*README!$B$5)+($F34*README!$B$6)-1)</f>
        <v>200199</v>
      </c>
      <c r="O34" s="13">
        <f>IF($A34="", -1, ($B34*README!$B$2)+($C34*README!$B$3)+($D34*README!$B$4)+($E34*README!$B$5)+($F34*README!$B$6)+1)</f>
        <v>200201</v>
      </c>
      <c r="P34" s="13">
        <f>README!$B$34</f>
        <v>0</v>
      </c>
      <c r="Q34" s="13" t="str">
        <f>JOIN(", ", README!$B$10, 1)</f>
        <v>0, 1</v>
      </c>
      <c r="R34" s="13" t="str">
        <f>JOIN(", ", README!$L$21, README!$B$27, -1, README!$B$9, 0)</f>
        <v>300000000, -1, -1, -1, 0</v>
      </c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</row>
    <row r="35">
      <c r="A35" s="35" t="s">
        <v>91</v>
      </c>
      <c r="B35" s="14">
        <v>0.0</v>
      </c>
      <c r="C35" s="14">
        <v>0.0</v>
      </c>
      <c r="D35" s="14">
        <v>2.0</v>
      </c>
      <c r="E35" s="14">
        <v>2.0</v>
      </c>
      <c r="F35" s="14">
        <v>1.0</v>
      </c>
      <c r="G35" s="13">
        <v>0.0</v>
      </c>
      <c r="H35" s="13">
        <v>0.0</v>
      </c>
      <c r="I35" s="13">
        <v>0.0</v>
      </c>
      <c r="J35" s="13">
        <v>0.0</v>
      </c>
      <c r="K35" s="35"/>
      <c r="L35" s="35"/>
      <c r="M35" s="13">
        <f>IF($A35="", -1, ($B35*README!$B$2)+($C35*README!$B$3)+($D35*README!$B$4)+($E35*README!$B$5)+($F35*README!$B$6))</f>
        <v>200201</v>
      </c>
      <c r="N35" s="13">
        <f>IF($A35="", -1, ($B35*README!$B$2)+($C35*README!$B$3)+($D35*README!$B$4)+($E35*README!$B$5)+($F35*README!$B$6)-1)</f>
        <v>200200</v>
      </c>
      <c r="O35" s="13">
        <f>IF($A35="", -1, ($B35*README!$B$2)+($C35*README!$B$3)+($D35*README!$B$4)+($E35*README!$B$5)+($F35*README!$B$6)+1)</f>
        <v>200202</v>
      </c>
      <c r="P35" s="13">
        <f>README!$B$34</f>
        <v>0</v>
      </c>
      <c r="Q35" s="13" t="str">
        <f>JOIN(", ", README!$B$11, 0.1)</f>
        <v>1, 0.1</v>
      </c>
      <c r="R35" s="13" t="str">
        <f>JOIN(", ", README!$L$21, README!$B$27, -1, README!$B$9, 0)</f>
        <v>300000000, -1, -1, -1, 0</v>
      </c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</row>
    <row r="36" ht="15.75" customHeight="1">
      <c r="A36" s="35" t="s">
        <v>92</v>
      </c>
      <c r="B36" s="14">
        <v>0.0</v>
      </c>
      <c r="C36" s="14">
        <v>1.0</v>
      </c>
      <c r="D36" s="14">
        <v>2.0</v>
      </c>
      <c r="E36" s="14">
        <v>2.0</v>
      </c>
      <c r="F36" s="14">
        <v>0.0</v>
      </c>
      <c r="G36" s="13">
        <v>0.0</v>
      </c>
      <c r="H36" s="13">
        <v>0.0</v>
      </c>
      <c r="I36" s="13">
        <v>0.0</v>
      </c>
      <c r="J36" s="13">
        <v>0.0</v>
      </c>
      <c r="K36" s="35"/>
      <c r="L36" s="35"/>
      <c r="M36" s="13">
        <f>IF($A36="", -1, ($B36*README!$B$2)+($C36*README!$B$3)+($D36*README!$B$4)+($E36*README!$B$5)+($F36*README!$B$6))</f>
        <v>10200200</v>
      </c>
      <c r="N36" s="13">
        <f>IF($A36="", -1, ($B36*README!$B$2)+($C36*README!$B$3)+($D36*README!$B$4)+($E36*README!$B$5)+($F36*README!$B$6)-1)</f>
        <v>10200199</v>
      </c>
      <c r="O36" s="13">
        <f>IF($A36="", -1, ($B36*README!$B$2)+($C36*README!$B$3)+($D36*README!$B$4)+($E36*README!$B$5)+($F36*README!$B$6)+1)</f>
        <v>10200201</v>
      </c>
      <c r="P36" s="13">
        <f>README!$B$35</f>
        <v>1</v>
      </c>
      <c r="Q36" s="13" t="str">
        <f>JOIN(", ", README!$B$11, 0.1)</f>
        <v>1, 0.1</v>
      </c>
      <c r="R36" s="13" t="str">
        <f>JOIN(", ", README!$L$21, README!$B$27, -1, README!$B$9, 0)</f>
        <v>300000000, -1, -1, -1, 0</v>
      </c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</row>
    <row r="37" ht="15.75" customHeight="1">
      <c r="A37" s="35" t="s">
        <v>93</v>
      </c>
      <c r="B37" s="14">
        <v>0.0</v>
      </c>
      <c r="C37" s="14">
        <v>2.0</v>
      </c>
      <c r="D37" s="14">
        <v>2.0</v>
      </c>
      <c r="E37" s="14">
        <v>2.0</v>
      </c>
      <c r="F37" s="14">
        <v>0.0</v>
      </c>
      <c r="G37" s="13">
        <v>0.0</v>
      </c>
      <c r="H37" s="13">
        <v>0.0</v>
      </c>
      <c r="I37" s="13">
        <v>0.0</v>
      </c>
      <c r="J37" s="13">
        <v>0.0</v>
      </c>
      <c r="K37" s="35"/>
      <c r="L37" s="35"/>
      <c r="M37" s="13">
        <f>IF($A37="", -1, ($B37*README!$B$2)+($C37*README!$B$3)+($D37*README!$B$4)+($E37*README!$B$5)+($F37*README!$B$6))</f>
        <v>20200200</v>
      </c>
      <c r="N37" s="13">
        <f>IF($A37="", -1, ($B37*README!$B$2)+($C37*README!$B$3)+($D37*README!$B$4)+($E37*README!$B$5)+($F37*README!$B$6)-1)</f>
        <v>20200199</v>
      </c>
      <c r="O37" s="13">
        <f>IF($A37="", -1, ($B37*README!$B$2)+($C37*README!$B$3)+($D37*README!$B$4)+($E37*README!$B$5)+($F37*README!$B$6)+1)</f>
        <v>20200201</v>
      </c>
      <c r="P37" s="13">
        <f>README!$B$36</f>
        <v>2</v>
      </c>
      <c r="Q37" s="13" t="str">
        <f>JOIN(", ", README!$B$11, 0.1)</f>
        <v>1, 0.1</v>
      </c>
      <c r="R37" s="13" t="str">
        <f>JOIN(", ", README!$L$21, README!$B$27, -1, README!$B$9, 0)</f>
        <v>300000000, -1, -1, -1, 0</v>
      </c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</row>
    <row r="38">
      <c r="A38" s="35" t="s">
        <v>94</v>
      </c>
      <c r="B38" s="14">
        <v>0.0</v>
      </c>
      <c r="C38" s="14">
        <v>0.0</v>
      </c>
      <c r="D38" s="14">
        <v>2.0</v>
      </c>
      <c r="E38" s="14">
        <v>3.0</v>
      </c>
      <c r="F38" s="14">
        <v>0.0</v>
      </c>
      <c r="G38" s="13">
        <v>0.0</v>
      </c>
      <c r="H38" s="13">
        <v>0.0</v>
      </c>
      <c r="I38" s="13">
        <v>0.0</v>
      </c>
      <c r="J38" s="13">
        <v>0.0</v>
      </c>
      <c r="K38" s="35"/>
      <c r="L38" s="35"/>
      <c r="M38" s="13">
        <f>IF($A38="", -1, ($B38*README!$B$2)+($C38*README!$B$3)+($D38*README!$B$4)+($E38*README!$B$5)+($F38*README!$B$6))</f>
        <v>200300</v>
      </c>
      <c r="N38" s="13">
        <f>IF($A38="", -1, ($B38*README!$B$2)+($C38*README!$B$3)+($D38*README!$B$4)+($E38*README!$B$5)+($F38*README!$B$6)-1)</f>
        <v>200299</v>
      </c>
      <c r="O38" s="13">
        <f>IF($A38="", -1, ($B38*README!$B$2)+($C38*README!$B$3)+($D38*README!$B$4)+($E38*README!$B$5)+($F38*README!$B$6)+1)</f>
        <v>200301</v>
      </c>
      <c r="P38" s="13">
        <f>README!$B$34</f>
        <v>0</v>
      </c>
      <c r="Q38" s="13" t="str">
        <f>JOIN(", ", README!$B$10, 1)</f>
        <v>0, 1</v>
      </c>
      <c r="R38" s="13" t="str">
        <f>JOIN(", ", README!$L$21, README!$B$27, -1, README!$B$9, 0)</f>
        <v>300000000, -1, -1, -1, 0</v>
      </c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</row>
    <row r="39" ht="15.75" customHeight="1">
      <c r="A39" s="35" t="s">
        <v>95</v>
      </c>
      <c r="B39" s="14">
        <v>0.0</v>
      </c>
      <c r="C39" s="14">
        <v>0.0</v>
      </c>
      <c r="D39" s="14">
        <v>2.0</v>
      </c>
      <c r="E39" s="14">
        <v>3.0</v>
      </c>
      <c r="F39" s="14">
        <v>1.0</v>
      </c>
      <c r="G39" s="13">
        <v>0.0</v>
      </c>
      <c r="H39" s="13">
        <v>0.0</v>
      </c>
      <c r="I39" s="13">
        <v>0.0</v>
      </c>
      <c r="J39" s="13">
        <v>0.0</v>
      </c>
      <c r="K39" s="35"/>
      <c r="L39" s="35"/>
      <c r="M39" s="13">
        <f>IF($A39="", -1, ($B39*README!$B$2)+($C39*README!$B$3)+($D39*README!$B$4)+($E39*README!$B$5)+($F39*README!$B$6))</f>
        <v>200301</v>
      </c>
      <c r="N39" s="13">
        <f>IF($A39="", -1, ($B39*README!$B$2)+($C39*README!$B$3)+($D39*README!$B$4)+($E39*README!$B$5)+($F39*README!$B$6)-1)</f>
        <v>200300</v>
      </c>
      <c r="O39" s="13">
        <f>IF($A39="", -1, ($B39*README!$B$2)+($C39*README!$B$3)+($D39*README!$B$4)+($E39*README!$B$5)+($F39*README!$B$6)+1)</f>
        <v>200302</v>
      </c>
      <c r="P39" s="13">
        <f>README!$B$34</f>
        <v>0</v>
      </c>
      <c r="Q39" s="13" t="str">
        <f>JOIN(", ", README!$B$11, 0.1)</f>
        <v>1, 0.1</v>
      </c>
      <c r="R39" s="13" t="str">
        <f>JOIN(", ", README!$L$21, README!$B$27, -1, README!$B$9, 0)</f>
        <v>300000000, -1, -1, -1, 0</v>
      </c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</row>
    <row r="40" ht="15.75" customHeight="1">
      <c r="A40" s="35" t="s">
        <v>96</v>
      </c>
      <c r="B40" s="14">
        <v>0.0</v>
      </c>
      <c r="C40" s="14">
        <v>1.0</v>
      </c>
      <c r="D40" s="14">
        <v>2.0</v>
      </c>
      <c r="E40" s="14">
        <v>3.0</v>
      </c>
      <c r="F40" s="14">
        <v>0.0</v>
      </c>
      <c r="G40" s="13">
        <v>0.0</v>
      </c>
      <c r="H40" s="13">
        <v>0.0</v>
      </c>
      <c r="I40" s="13">
        <v>0.0</v>
      </c>
      <c r="J40" s="13">
        <v>0.0</v>
      </c>
      <c r="K40" s="35"/>
      <c r="L40" s="35"/>
      <c r="M40" s="13">
        <f>IF($A40="", -1, ($B40*README!$B$2)+($C40*README!$B$3)+($D40*README!$B$4)+($E40*README!$B$5)+($F40*README!$B$6))</f>
        <v>10200300</v>
      </c>
      <c r="N40" s="13">
        <f>IF($A40="", -1, ($B40*README!$B$2)+($C40*README!$B$3)+($D40*README!$B$4)+($E40*README!$B$5)+($F40*README!$B$6)-1)</f>
        <v>10200299</v>
      </c>
      <c r="O40" s="13">
        <f>IF($A40="", -1, ($B40*README!$B$2)+($C40*README!$B$3)+($D40*README!$B$4)+($E40*README!$B$5)+($F40*README!$B$6)+1)</f>
        <v>10200301</v>
      </c>
      <c r="P40" s="13">
        <f>README!$B$35</f>
        <v>1</v>
      </c>
      <c r="Q40" s="13" t="str">
        <f>JOIN(", ", README!$B$11, 0.1)</f>
        <v>1, 0.1</v>
      </c>
      <c r="R40" s="13" t="str">
        <f>JOIN(", ", README!$L$21, README!$B$27, -1, README!$B$9, 0)</f>
        <v>300000000, -1, -1, -1, 0</v>
      </c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</row>
    <row r="41" ht="15.75" customHeight="1">
      <c r="A41" s="35" t="s">
        <v>97</v>
      </c>
      <c r="B41" s="14">
        <v>0.0</v>
      </c>
      <c r="C41" s="14">
        <v>2.0</v>
      </c>
      <c r="D41" s="14">
        <v>2.0</v>
      </c>
      <c r="E41" s="14">
        <v>3.0</v>
      </c>
      <c r="F41" s="14">
        <v>0.0</v>
      </c>
      <c r="G41" s="13">
        <v>0.0</v>
      </c>
      <c r="H41" s="13">
        <v>0.0</v>
      </c>
      <c r="I41" s="13">
        <v>0.0</v>
      </c>
      <c r="J41" s="13">
        <v>0.0</v>
      </c>
      <c r="K41" s="35"/>
      <c r="L41" s="35"/>
      <c r="M41" s="13">
        <f>IF($A41="", -1, ($B41*README!$B$2)+($C41*README!$B$3)+($D41*README!$B$4)+($E41*README!$B$5)+($F41*README!$B$6))</f>
        <v>20200300</v>
      </c>
      <c r="N41" s="13">
        <f>IF($A41="", -1, ($B41*README!$B$2)+($C41*README!$B$3)+($D41*README!$B$4)+($E41*README!$B$5)+($F41*README!$B$6)-1)</f>
        <v>20200299</v>
      </c>
      <c r="O41" s="13">
        <f>IF($A41="", -1, ($B41*README!$B$2)+($C41*README!$B$3)+($D41*README!$B$4)+($E41*README!$B$5)+($F41*README!$B$6)+1)</f>
        <v>20200301</v>
      </c>
      <c r="P41" s="13">
        <f>README!$B$36</f>
        <v>2</v>
      </c>
      <c r="Q41" s="13" t="str">
        <f>JOIN(", ", README!$B$11, 0.1)</f>
        <v>1, 0.1</v>
      </c>
      <c r="R41" s="13" t="str">
        <f>JOIN(", ", README!$L$21, README!$B$27, -1, README!$B$9, 0)</f>
        <v>300000000, -1, -1, -1, 0</v>
      </c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</row>
    <row r="42" ht="15.75" customHeight="1">
      <c r="A42" s="35" t="s">
        <v>98</v>
      </c>
      <c r="B42" s="14">
        <v>0.0</v>
      </c>
      <c r="C42" s="14">
        <v>0.0</v>
      </c>
      <c r="D42" s="14">
        <v>3.0</v>
      </c>
      <c r="E42" s="14">
        <v>0.0</v>
      </c>
      <c r="F42" s="14">
        <v>0.0</v>
      </c>
      <c r="G42" s="13">
        <v>0.0</v>
      </c>
      <c r="H42" s="13">
        <v>0.0</v>
      </c>
      <c r="I42" s="13">
        <v>0.0</v>
      </c>
      <c r="J42" s="13">
        <v>0.0</v>
      </c>
      <c r="K42" s="35"/>
      <c r="L42" s="35"/>
      <c r="M42" s="13">
        <f>IF($A42="", -1, ($B42*README!$B$2)+($C42*README!$B$3)+($D42*README!$B$4)+($E42*README!$B$5)+($F42*README!$B$6))</f>
        <v>300000</v>
      </c>
      <c r="N42" s="13">
        <f>IF($A42="", -1, ($B42*README!$B$2)+($C42*README!$B$3)+($D42*README!$B$4)+($E42*README!$B$5)+($F42*README!$B$6)-1)</f>
        <v>299999</v>
      </c>
      <c r="O42" s="13">
        <f>IF($A42="", -1, ($B42*README!$B$2)+($C42*README!$B$3)+($D42*README!$B$4)+($E42*README!$B$5)+($F42*README!$B$6)+1)</f>
        <v>300001</v>
      </c>
      <c r="P42" s="13">
        <f>README!$B$34</f>
        <v>0</v>
      </c>
      <c r="Q42" s="13" t="str">
        <f>JOIN(", ", README!$B$10, 1)</f>
        <v>0, 1</v>
      </c>
      <c r="R42" s="13" t="str">
        <f>JOIN(", ", README!$L$21, README!$B$27, -1, README!$B$9, 0)</f>
        <v>300000000, -1, -1, -1, 0</v>
      </c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</row>
    <row r="43" ht="15.75" customHeight="1">
      <c r="A43" s="35" t="s">
        <v>99</v>
      </c>
      <c r="B43" s="14">
        <v>0.0</v>
      </c>
      <c r="C43" s="14">
        <v>0.0</v>
      </c>
      <c r="D43" s="14">
        <v>3.0</v>
      </c>
      <c r="E43" s="14">
        <v>0.0</v>
      </c>
      <c r="F43" s="14">
        <v>1.0</v>
      </c>
      <c r="G43" s="13">
        <v>0.0</v>
      </c>
      <c r="H43" s="13">
        <v>0.0</v>
      </c>
      <c r="I43" s="13">
        <v>0.0</v>
      </c>
      <c r="J43" s="13">
        <v>0.0</v>
      </c>
      <c r="K43" s="35"/>
      <c r="L43" s="35"/>
      <c r="M43" s="13">
        <f>IF($A43="", -1, ($B43*README!$B$2)+($C43*README!$B$3)+($D43*README!$B$4)+($E43*README!$B$5)+($F43*README!$B$6))</f>
        <v>300001</v>
      </c>
      <c r="N43" s="13">
        <f>IF($A43="", -1, ($B43*README!$B$2)+($C43*README!$B$3)+($D43*README!$B$4)+($E43*README!$B$5)+($F43*README!$B$6)-1)</f>
        <v>300000</v>
      </c>
      <c r="O43" s="13">
        <f>IF($A43="", -1, ($B43*README!$B$2)+($C43*README!$B$3)+($D43*README!$B$4)+($E43*README!$B$5)+($F43*README!$B$6)+1)</f>
        <v>300002</v>
      </c>
      <c r="P43" s="13">
        <f>README!$B$34</f>
        <v>0</v>
      </c>
      <c r="Q43" s="13" t="str">
        <f>JOIN(", ", README!$B$11, 0.1)</f>
        <v>1, 0.1</v>
      </c>
      <c r="R43" s="13" t="str">
        <f>JOIN(", ", README!$L$21, README!$B$27, -1, README!$B$9, 0)</f>
        <v>300000000, -1, -1, -1, 0</v>
      </c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</row>
    <row r="44" ht="15.75" customHeight="1">
      <c r="A44" s="35" t="s">
        <v>100</v>
      </c>
      <c r="B44" s="14">
        <v>0.0</v>
      </c>
      <c r="C44" s="14">
        <v>1.0</v>
      </c>
      <c r="D44" s="14">
        <v>3.0</v>
      </c>
      <c r="E44" s="14">
        <v>0.0</v>
      </c>
      <c r="F44" s="14">
        <v>0.0</v>
      </c>
      <c r="G44" s="13">
        <v>0.0</v>
      </c>
      <c r="H44" s="13">
        <v>0.0</v>
      </c>
      <c r="I44" s="13">
        <v>0.0</v>
      </c>
      <c r="J44" s="13">
        <v>0.0</v>
      </c>
      <c r="K44" s="35"/>
      <c r="L44" s="35"/>
      <c r="M44" s="13">
        <f>IF($A44="", -1, ($B44*README!$B$2)+($C44*README!$B$3)+($D44*README!$B$4)+($E44*README!$B$5)+($F44*README!$B$6))</f>
        <v>10300000</v>
      </c>
      <c r="N44" s="13">
        <f>IF($A44="", -1, ($B44*README!$B$2)+($C44*README!$B$3)+($D44*README!$B$4)+($E44*README!$B$5)+($F44*README!$B$6)-1)</f>
        <v>10299999</v>
      </c>
      <c r="O44" s="13">
        <f>IF($A44="", -1, ($B44*README!$B$2)+($C44*README!$B$3)+($D44*README!$B$4)+($E44*README!$B$5)+($F44*README!$B$6)+1)</f>
        <v>10300001</v>
      </c>
      <c r="P44" s="13">
        <f>README!$B$35</f>
        <v>1</v>
      </c>
      <c r="Q44" s="13" t="str">
        <f>JOIN(", ", README!$B$11, 0.1)</f>
        <v>1, 0.1</v>
      </c>
      <c r="R44" s="13" t="str">
        <f>JOIN(", ", README!$L$21, README!$B$27, -1, README!$B$9, 0)</f>
        <v>300000000, -1, -1, -1, 0</v>
      </c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</row>
    <row r="45" ht="15.75" customHeight="1">
      <c r="A45" s="35" t="s">
        <v>101</v>
      </c>
      <c r="B45" s="14">
        <v>0.0</v>
      </c>
      <c r="C45" s="14">
        <v>2.0</v>
      </c>
      <c r="D45" s="14">
        <v>3.0</v>
      </c>
      <c r="E45" s="14">
        <v>0.0</v>
      </c>
      <c r="F45" s="14">
        <v>0.0</v>
      </c>
      <c r="G45" s="13">
        <v>0.0</v>
      </c>
      <c r="H45" s="13">
        <v>0.0</v>
      </c>
      <c r="I45" s="13">
        <v>0.0</v>
      </c>
      <c r="J45" s="13">
        <v>0.0</v>
      </c>
      <c r="K45" s="35"/>
      <c r="L45" s="35"/>
      <c r="M45" s="13">
        <f>IF($A45="", -1, ($B45*README!$B$2)+($C45*README!$B$3)+($D45*README!$B$4)+($E45*README!$B$5)+($F45*README!$B$6))</f>
        <v>20300000</v>
      </c>
      <c r="N45" s="13">
        <f>IF($A45="", -1, ($B45*README!$B$2)+($C45*README!$B$3)+($D45*README!$B$4)+($E45*README!$B$5)+($F45*README!$B$6)-1)</f>
        <v>20299999</v>
      </c>
      <c r="O45" s="13">
        <f>IF($A45="", -1, ($B45*README!$B$2)+($C45*README!$B$3)+($D45*README!$B$4)+($E45*README!$B$5)+($F45*README!$B$6)+1)</f>
        <v>20300001</v>
      </c>
      <c r="P45" s="13">
        <f>README!$B$36</f>
        <v>2</v>
      </c>
      <c r="Q45" s="13" t="str">
        <f>JOIN(", ", README!$B$11, 0.1)</f>
        <v>1, 0.1</v>
      </c>
      <c r="R45" s="13" t="str">
        <f>JOIN(", ", README!$L$21, README!$B$27, -1, README!$B$9, 0)</f>
        <v>300000000, -1, -1, -1, 0</v>
      </c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</row>
    <row r="46" ht="15.75" customHeight="1">
      <c r="A46" s="35" t="s">
        <v>102</v>
      </c>
      <c r="B46" s="14">
        <v>0.0</v>
      </c>
      <c r="C46" s="14">
        <v>0.0</v>
      </c>
      <c r="D46" s="14">
        <v>3.0</v>
      </c>
      <c r="E46" s="14">
        <v>1.0</v>
      </c>
      <c r="F46" s="14">
        <v>0.0</v>
      </c>
      <c r="G46" s="13">
        <v>0.0</v>
      </c>
      <c r="H46" s="13">
        <v>0.0</v>
      </c>
      <c r="I46" s="13">
        <v>0.0</v>
      </c>
      <c r="J46" s="13">
        <v>0.0</v>
      </c>
      <c r="K46" s="35"/>
      <c r="L46" s="35"/>
      <c r="M46" s="13">
        <f>IF($A46="", -1, ($B46*README!$B$2)+($C46*README!$B$3)+($D46*README!$B$4)+($E46*README!$B$5)+($F46*README!$B$6))</f>
        <v>300100</v>
      </c>
      <c r="N46" s="13">
        <f>IF($A46="", -1, ($B46*README!$B$2)+($C46*README!$B$3)+($D46*README!$B$4)+($E46*README!$B$5)+($F46*README!$B$6)-1)</f>
        <v>300099</v>
      </c>
      <c r="O46" s="13">
        <f>IF($A46="", -1, ($B46*README!$B$2)+($C46*README!$B$3)+($D46*README!$B$4)+($E46*README!$B$5)+($F46*README!$B$6)+1)</f>
        <v>300101</v>
      </c>
      <c r="P46" s="13">
        <f>README!$B$34</f>
        <v>0</v>
      </c>
      <c r="Q46" s="13" t="str">
        <f>JOIN(", ", README!$B$10, 1)</f>
        <v>0, 1</v>
      </c>
      <c r="R46" s="13" t="str">
        <f>JOIN(", ", README!$L$21, README!$B$27, -1, README!$B$9, 0)</f>
        <v>300000000, -1, -1, -1, 0</v>
      </c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</row>
    <row r="47" ht="15.75" customHeight="1">
      <c r="A47" s="35" t="s">
        <v>103</v>
      </c>
      <c r="B47" s="14">
        <v>0.0</v>
      </c>
      <c r="C47" s="14">
        <v>0.0</v>
      </c>
      <c r="D47" s="14">
        <v>3.0</v>
      </c>
      <c r="E47" s="14">
        <v>1.0</v>
      </c>
      <c r="F47" s="14">
        <v>1.0</v>
      </c>
      <c r="G47" s="13">
        <v>0.0</v>
      </c>
      <c r="H47" s="13">
        <v>0.0</v>
      </c>
      <c r="I47" s="13">
        <v>0.0</v>
      </c>
      <c r="J47" s="13">
        <v>0.0</v>
      </c>
      <c r="K47" s="35"/>
      <c r="L47" s="35"/>
      <c r="M47" s="13">
        <f>IF($A47="", -1, ($B47*README!$B$2)+($C47*README!$B$3)+($D47*README!$B$4)+($E47*README!$B$5)+($F47*README!$B$6))</f>
        <v>300101</v>
      </c>
      <c r="N47" s="13">
        <f>IF($A47="", -1, ($B47*README!$B$2)+($C47*README!$B$3)+($D47*README!$B$4)+($E47*README!$B$5)+($F47*README!$B$6)-1)</f>
        <v>300100</v>
      </c>
      <c r="O47" s="13">
        <f>IF($A47="", -1, ($B47*README!$B$2)+($C47*README!$B$3)+($D47*README!$B$4)+($E47*README!$B$5)+($F47*README!$B$6)+1)</f>
        <v>300102</v>
      </c>
      <c r="P47" s="13">
        <f>README!$B$34</f>
        <v>0</v>
      </c>
      <c r="Q47" s="13" t="str">
        <f>JOIN(", ", README!$B$11, 0.1)</f>
        <v>1, 0.1</v>
      </c>
      <c r="R47" s="13" t="str">
        <f>JOIN(", ", README!$L$21, README!$B$27, -1, README!$B$9, 0)</f>
        <v>300000000, -1, -1, -1, 0</v>
      </c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</row>
    <row r="48" ht="15.75" customHeight="1">
      <c r="A48" s="35" t="s">
        <v>104</v>
      </c>
      <c r="B48" s="14">
        <v>0.0</v>
      </c>
      <c r="C48" s="14">
        <v>1.0</v>
      </c>
      <c r="D48" s="14">
        <v>3.0</v>
      </c>
      <c r="E48" s="14">
        <v>1.0</v>
      </c>
      <c r="F48" s="14">
        <v>0.0</v>
      </c>
      <c r="G48" s="13">
        <v>0.0</v>
      </c>
      <c r="H48" s="13">
        <v>0.0</v>
      </c>
      <c r="I48" s="13">
        <v>0.0</v>
      </c>
      <c r="J48" s="13">
        <v>0.0</v>
      </c>
      <c r="K48" s="35"/>
      <c r="L48" s="35"/>
      <c r="M48" s="13">
        <f>IF($A48="", -1, ($B48*README!$B$2)+($C48*README!$B$3)+($D48*README!$B$4)+($E48*README!$B$5)+($F48*README!$B$6))</f>
        <v>10300100</v>
      </c>
      <c r="N48" s="13">
        <f>IF($A48="", -1, ($B48*README!$B$2)+($C48*README!$B$3)+($D48*README!$B$4)+($E48*README!$B$5)+($F48*README!$B$6)-1)</f>
        <v>10300099</v>
      </c>
      <c r="O48" s="13">
        <f>IF($A48="", -1, ($B48*README!$B$2)+($C48*README!$B$3)+($D48*README!$B$4)+($E48*README!$B$5)+($F48*README!$B$6)+1)</f>
        <v>10300101</v>
      </c>
      <c r="P48" s="13">
        <f>README!$B$35</f>
        <v>1</v>
      </c>
      <c r="Q48" s="13" t="str">
        <f>JOIN(", ", README!$B$11, 0.1)</f>
        <v>1, 0.1</v>
      </c>
      <c r="R48" s="13" t="str">
        <f>JOIN(", ", README!$L$21, README!$B$27, -1, README!$B$9, 0)</f>
        <v>300000000, -1, -1, -1, 0</v>
      </c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</row>
    <row r="49" ht="15.75" customHeight="1">
      <c r="A49" s="35" t="s">
        <v>105</v>
      </c>
      <c r="B49" s="14">
        <v>0.0</v>
      </c>
      <c r="C49" s="14">
        <v>2.0</v>
      </c>
      <c r="D49" s="14">
        <v>3.0</v>
      </c>
      <c r="E49" s="14">
        <v>1.0</v>
      </c>
      <c r="F49" s="14">
        <v>0.0</v>
      </c>
      <c r="G49" s="13">
        <v>0.0</v>
      </c>
      <c r="H49" s="13">
        <v>0.0</v>
      </c>
      <c r="I49" s="13">
        <v>0.0</v>
      </c>
      <c r="J49" s="13">
        <v>0.0</v>
      </c>
      <c r="K49" s="35"/>
      <c r="L49" s="35"/>
      <c r="M49" s="13">
        <f>IF($A49="", -1, ($B49*README!$B$2)+($C49*README!$B$3)+($D49*README!$B$4)+($E49*README!$B$5)+($F49*README!$B$6))</f>
        <v>20300100</v>
      </c>
      <c r="N49" s="13">
        <f>IF($A49="", -1, ($B49*README!$B$2)+($C49*README!$B$3)+($D49*README!$B$4)+($E49*README!$B$5)+($F49*README!$B$6)-1)</f>
        <v>20300099</v>
      </c>
      <c r="O49" s="13">
        <f>IF($A49="", -1, ($B49*README!$B$2)+($C49*README!$B$3)+($D49*README!$B$4)+($E49*README!$B$5)+($F49*README!$B$6)+1)</f>
        <v>20300101</v>
      </c>
      <c r="P49" s="13">
        <f>README!$B$36</f>
        <v>2</v>
      </c>
      <c r="Q49" s="13" t="str">
        <f>JOIN(", ", README!$B$11, 0.1)</f>
        <v>1, 0.1</v>
      </c>
      <c r="R49" s="13" t="str">
        <f>JOIN(", ", README!$L$21, README!$B$27, -1, README!$B$9, 0)</f>
        <v>300000000, -1, -1, -1, 0</v>
      </c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</row>
    <row r="50" ht="15.75" customHeight="1">
      <c r="A50" s="35" t="s">
        <v>106</v>
      </c>
      <c r="B50" s="14">
        <v>0.0</v>
      </c>
      <c r="C50" s="14">
        <v>0.0</v>
      </c>
      <c r="D50" s="14">
        <v>3.0</v>
      </c>
      <c r="E50" s="14">
        <v>2.0</v>
      </c>
      <c r="F50" s="14">
        <v>0.0</v>
      </c>
      <c r="G50" s="13">
        <v>0.0</v>
      </c>
      <c r="H50" s="13">
        <v>0.0</v>
      </c>
      <c r="I50" s="13">
        <v>0.0</v>
      </c>
      <c r="J50" s="13">
        <v>0.0</v>
      </c>
      <c r="K50" s="35"/>
      <c r="L50" s="35"/>
      <c r="M50" s="13">
        <f>IF($A50="", -1, ($B50*README!$B$2)+($C50*README!$B$3)+($D50*README!$B$4)+($E50*README!$B$5)+($F50*README!$B$6))</f>
        <v>300200</v>
      </c>
      <c r="N50" s="13">
        <f>IF($A50="", -1, ($B50*README!$B$2)+($C50*README!$B$3)+($D50*README!$B$4)+($E50*README!$B$5)+($F50*README!$B$6)-1)</f>
        <v>300199</v>
      </c>
      <c r="O50" s="13">
        <f>IF($A50="", -1, ($B50*README!$B$2)+($C50*README!$B$3)+($D50*README!$B$4)+($E50*README!$B$5)+($F50*README!$B$6)+1)</f>
        <v>300201</v>
      </c>
      <c r="P50" s="13">
        <f>README!$B$34</f>
        <v>0</v>
      </c>
      <c r="Q50" s="13" t="str">
        <f>JOIN(", ", README!$B$10, 1)</f>
        <v>0, 1</v>
      </c>
      <c r="R50" s="13" t="str">
        <f>JOIN(", ", README!$L$21, README!$B$27, -1, README!$B$9, 0)</f>
        <v>300000000, -1, -1, -1, 0</v>
      </c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</row>
    <row r="51" ht="15.75" customHeight="1">
      <c r="A51" s="35" t="s">
        <v>107</v>
      </c>
      <c r="B51" s="14">
        <v>0.0</v>
      </c>
      <c r="C51" s="14">
        <v>0.0</v>
      </c>
      <c r="D51" s="14">
        <v>3.0</v>
      </c>
      <c r="E51" s="14">
        <v>2.0</v>
      </c>
      <c r="F51" s="14">
        <v>1.0</v>
      </c>
      <c r="G51" s="13">
        <v>0.0</v>
      </c>
      <c r="H51" s="13">
        <v>0.0</v>
      </c>
      <c r="I51" s="13">
        <v>0.0</v>
      </c>
      <c r="J51" s="13">
        <v>0.0</v>
      </c>
      <c r="K51" s="35"/>
      <c r="L51" s="35"/>
      <c r="M51" s="13">
        <f>IF($A51="", -1, ($B51*README!$B$2)+($C51*README!$B$3)+($D51*README!$B$4)+($E51*README!$B$5)+($F51*README!$B$6))</f>
        <v>300201</v>
      </c>
      <c r="N51" s="13">
        <f>IF($A51="", -1, ($B51*README!$B$2)+($C51*README!$B$3)+($D51*README!$B$4)+($E51*README!$B$5)+($F51*README!$B$6)-1)</f>
        <v>300200</v>
      </c>
      <c r="O51" s="13">
        <f>IF($A51="", -1, ($B51*README!$B$2)+($C51*README!$B$3)+($D51*README!$B$4)+($E51*README!$B$5)+($F51*README!$B$6)+1)</f>
        <v>300202</v>
      </c>
      <c r="P51" s="13">
        <f>README!$B$34</f>
        <v>0</v>
      </c>
      <c r="Q51" s="13" t="str">
        <f>JOIN(", ", README!$B$11, 0.1)</f>
        <v>1, 0.1</v>
      </c>
      <c r="R51" s="13" t="str">
        <f>JOIN(", ", README!$L$21, README!$B$27, -1, README!$B$9, 0)</f>
        <v>300000000, -1, -1, -1, 0</v>
      </c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</row>
    <row r="52" ht="15.75" customHeight="1">
      <c r="A52" s="35" t="s">
        <v>108</v>
      </c>
      <c r="B52" s="14">
        <v>0.0</v>
      </c>
      <c r="C52" s="14">
        <v>1.0</v>
      </c>
      <c r="D52" s="14">
        <v>3.0</v>
      </c>
      <c r="E52" s="14">
        <v>2.0</v>
      </c>
      <c r="F52" s="14">
        <v>0.0</v>
      </c>
      <c r="G52" s="13">
        <v>0.0</v>
      </c>
      <c r="H52" s="13">
        <v>0.0</v>
      </c>
      <c r="I52" s="13">
        <v>0.0</v>
      </c>
      <c r="J52" s="13">
        <v>0.0</v>
      </c>
      <c r="K52" s="35"/>
      <c r="L52" s="35"/>
      <c r="M52" s="13">
        <f>IF($A52="", -1, ($B52*README!$B$2)+($C52*README!$B$3)+($D52*README!$B$4)+($E52*README!$B$5)+($F52*README!$B$6))</f>
        <v>10300200</v>
      </c>
      <c r="N52" s="13">
        <f>IF($A52="", -1, ($B52*README!$B$2)+($C52*README!$B$3)+($D52*README!$B$4)+($E52*README!$B$5)+($F52*README!$B$6)-1)</f>
        <v>10300199</v>
      </c>
      <c r="O52" s="13">
        <f>IF($A52="", -1, ($B52*README!$B$2)+($C52*README!$B$3)+($D52*README!$B$4)+($E52*README!$B$5)+($F52*README!$B$6)+1)</f>
        <v>10300201</v>
      </c>
      <c r="P52" s="13">
        <f>README!$B$35</f>
        <v>1</v>
      </c>
      <c r="Q52" s="13" t="str">
        <f>JOIN(", ", README!$B$11, 0.1)</f>
        <v>1, 0.1</v>
      </c>
      <c r="R52" s="13" t="str">
        <f>JOIN(", ", README!$L$21, README!$B$27, -1, README!$B$9, 0)</f>
        <v>300000000, -1, -1, -1, 0</v>
      </c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</row>
    <row r="53" ht="15.75" customHeight="1">
      <c r="A53" s="35" t="s">
        <v>109</v>
      </c>
      <c r="B53" s="14">
        <v>0.0</v>
      </c>
      <c r="C53" s="14">
        <v>2.0</v>
      </c>
      <c r="D53" s="14">
        <v>3.0</v>
      </c>
      <c r="E53" s="14">
        <v>2.0</v>
      </c>
      <c r="F53" s="14">
        <v>0.0</v>
      </c>
      <c r="G53" s="13">
        <v>0.0</v>
      </c>
      <c r="H53" s="13">
        <v>0.0</v>
      </c>
      <c r="I53" s="13">
        <v>0.0</v>
      </c>
      <c r="J53" s="13">
        <v>0.0</v>
      </c>
      <c r="K53" s="35"/>
      <c r="L53" s="35"/>
      <c r="M53" s="13">
        <f>IF($A53="", -1, ($B53*README!$B$2)+($C53*README!$B$3)+($D53*README!$B$4)+($E53*README!$B$5)+($F53*README!$B$6))</f>
        <v>20300200</v>
      </c>
      <c r="N53" s="13">
        <f>IF($A53="", -1, ($B53*README!$B$2)+($C53*README!$B$3)+($D53*README!$B$4)+($E53*README!$B$5)+($F53*README!$B$6)-1)</f>
        <v>20300199</v>
      </c>
      <c r="O53" s="13">
        <f>IF($A53="", -1, ($B53*README!$B$2)+($C53*README!$B$3)+($D53*README!$B$4)+($E53*README!$B$5)+($F53*README!$B$6)+1)</f>
        <v>20300201</v>
      </c>
      <c r="P53" s="13">
        <f>README!$B$36</f>
        <v>2</v>
      </c>
      <c r="Q53" s="13" t="str">
        <f>JOIN(", ", README!$B$11, 0.1)</f>
        <v>1, 0.1</v>
      </c>
      <c r="R53" s="13" t="str">
        <f>JOIN(", ", README!$L$21, README!$B$27, -1, README!$B$9, 0)</f>
        <v>300000000, -1, -1, -1, 0</v>
      </c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</row>
    <row r="54" ht="15.75" customHeight="1">
      <c r="A54" s="35" t="s">
        <v>110</v>
      </c>
      <c r="B54" s="14">
        <v>0.0</v>
      </c>
      <c r="C54" s="14">
        <v>0.0</v>
      </c>
      <c r="D54" s="14">
        <v>4.0</v>
      </c>
      <c r="E54" s="14">
        <v>0.0</v>
      </c>
      <c r="F54" s="14">
        <v>0.0</v>
      </c>
      <c r="G54" s="13">
        <v>0.0</v>
      </c>
      <c r="H54" s="13">
        <v>0.0</v>
      </c>
      <c r="I54" s="13">
        <v>0.0</v>
      </c>
      <c r="J54" s="13">
        <v>0.0</v>
      </c>
      <c r="K54" s="35"/>
      <c r="L54" s="35"/>
      <c r="M54" s="13">
        <f>IF($A54="", -1, ($B54*README!$B$2)+($C54*README!$B$3)+($D54*README!$B$4)+($E54*README!$B$5)+($F54*README!$B$6))</f>
        <v>400000</v>
      </c>
      <c r="N54" s="13">
        <f>IF($A54="", -1, ($B54*README!$B$2)+($C54*README!$B$3)+($D54*README!$B$4)+($E54*README!$B$5)+($F54*README!$B$6)-1)</f>
        <v>399999</v>
      </c>
      <c r="O54" s="13">
        <f>IF($A54="", -1, ($B54*README!$B$2)+($C54*README!$B$3)+($D54*README!$B$4)+($E54*README!$B$5)+($F54*README!$B$6)+1)</f>
        <v>400001</v>
      </c>
      <c r="P54" s="13">
        <f>README!$B$34</f>
        <v>0</v>
      </c>
      <c r="Q54" s="13" t="str">
        <f>JOIN(", ", README!$B$10, 1)</f>
        <v>0, 1</v>
      </c>
      <c r="R54" s="13" t="str">
        <f>JOIN(", ", README!$L$21, README!$B$27, -1, README!$B$9, 0)</f>
        <v>300000000, -1, -1, -1, 0</v>
      </c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</row>
    <row r="55" ht="15.75" customHeight="1">
      <c r="A55" s="35" t="s">
        <v>111</v>
      </c>
      <c r="B55" s="14">
        <v>0.0</v>
      </c>
      <c r="C55" s="14">
        <v>0.0</v>
      </c>
      <c r="D55" s="14">
        <v>4.0</v>
      </c>
      <c r="E55" s="14">
        <v>0.0</v>
      </c>
      <c r="F55" s="14">
        <v>1.0</v>
      </c>
      <c r="G55" s="13">
        <v>0.0</v>
      </c>
      <c r="H55" s="13">
        <v>0.0</v>
      </c>
      <c r="I55" s="13">
        <v>0.0</v>
      </c>
      <c r="J55" s="13">
        <v>0.0</v>
      </c>
      <c r="K55" s="35"/>
      <c r="L55" s="35"/>
      <c r="M55" s="13">
        <f>IF($A55="", -1, ($B55*README!$B$2)+($C55*README!$B$3)+($D55*README!$B$4)+($E55*README!$B$5)+($F55*README!$B$6))</f>
        <v>400001</v>
      </c>
      <c r="N55" s="13">
        <f>IF($A55="", -1, ($B55*README!$B$2)+($C55*README!$B$3)+($D55*README!$B$4)+($E55*README!$B$5)+($F55*README!$B$6)-1)</f>
        <v>400000</v>
      </c>
      <c r="O55" s="13">
        <f>IF($A55="", -1, ($B55*README!$B$2)+($C55*README!$B$3)+($D55*README!$B$4)+($E55*README!$B$5)+($F55*README!$B$6)+1)</f>
        <v>400002</v>
      </c>
      <c r="P55" s="13">
        <f>README!$B$34</f>
        <v>0</v>
      </c>
      <c r="Q55" s="13" t="str">
        <f>JOIN(", ", README!$B$11, 0.1)</f>
        <v>1, 0.1</v>
      </c>
      <c r="R55" s="13" t="str">
        <f>JOIN(", ", README!$L$21, README!$B$27, -1, README!$B$9, 0)</f>
        <v>300000000, -1, -1, -1, 0</v>
      </c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</row>
    <row r="56" ht="15.75" customHeight="1">
      <c r="A56" s="35" t="s">
        <v>112</v>
      </c>
      <c r="B56" s="14">
        <v>0.0</v>
      </c>
      <c r="C56" s="14">
        <v>1.0</v>
      </c>
      <c r="D56" s="14">
        <v>4.0</v>
      </c>
      <c r="E56" s="14">
        <v>0.0</v>
      </c>
      <c r="F56" s="14">
        <v>0.0</v>
      </c>
      <c r="G56" s="13">
        <v>0.0</v>
      </c>
      <c r="H56" s="13">
        <v>0.0</v>
      </c>
      <c r="I56" s="13">
        <v>0.0</v>
      </c>
      <c r="J56" s="13">
        <v>0.0</v>
      </c>
      <c r="K56" s="35"/>
      <c r="L56" s="35"/>
      <c r="M56" s="13">
        <f>IF($A56="", -1, ($B56*README!$B$2)+($C56*README!$B$3)+($D56*README!$B$4)+($E56*README!$B$5)+($F56*README!$B$6))</f>
        <v>10400000</v>
      </c>
      <c r="N56" s="13">
        <f>IF($A56="", -1, ($B56*README!$B$2)+($C56*README!$B$3)+($D56*README!$B$4)+($E56*README!$B$5)+($F56*README!$B$6)-1)</f>
        <v>10399999</v>
      </c>
      <c r="O56" s="13">
        <f>IF($A56="", -1, ($B56*README!$B$2)+($C56*README!$B$3)+($D56*README!$B$4)+($E56*README!$B$5)+($F56*README!$B$6)+1)</f>
        <v>10400001</v>
      </c>
      <c r="P56" s="13">
        <f>README!$B$35</f>
        <v>1</v>
      </c>
      <c r="Q56" s="13" t="str">
        <f>JOIN(", ", README!$B$11, 0.1)</f>
        <v>1, 0.1</v>
      </c>
      <c r="R56" s="13" t="str">
        <f>JOIN(", ", README!$L$21, README!$B$27, -1, README!$B$9, 0)</f>
        <v>300000000, -1, -1, -1, 0</v>
      </c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</row>
    <row r="57" ht="15.75" customHeight="1">
      <c r="A57" s="35" t="s">
        <v>113</v>
      </c>
      <c r="B57" s="14">
        <v>0.0</v>
      </c>
      <c r="C57" s="14">
        <v>2.0</v>
      </c>
      <c r="D57" s="14">
        <v>4.0</v>
      </c>
      <c r="E57" s="14">
        <v>0.0</v>
      </c>
      <c r="F57" s="14">
        <v>0.0</v>
      </c>
      <c r="G57" s="13">
        <v>0.0</v>
      </c>
      <c r="H57" s="13">
        <v>0.0</v>
      </c>
      <c r="I57" s="13">
        <v>0.0</v>
      </c>
      <c r="J57" s="13">
        <v>0.0</v>
      </c>
      <c r="K57" s="35"/>
      <c r="L57" s="35"/>
      <c r="M57" s="13">
        <f>IF($A57="", -1, ($B57*README!$B$2)+($C57*README!$B$3)+($D57*README!$B$4)+($E57*README!$B$5)+($F57*README!$B$6))</f>
        <v>20400000</v>
      </c>
      <c r="N57" s="13">
        <f>IF($A57="", -1, ($B57*README!$B$2)+($C57*README!$B$3)+($D57*README!$B$4)+($E57*README!$B$5)+($F57*README!$B$6)-1)</f>
        <v>20399999</v>
      </c>
      <c r="O57" s="13">
        <f>IF($A57="", -1, ($B57*README!$B$2)+($C57*README!$B$3)+($D57*README!$B$4)+($E57*README!$B$5)+($F57*README!$B$6)+1)</f>
        <v>20400001</v>
      </c>
      <c r="P57" s="13">
        <f>README!$B$36</f>
        <v>2</v>
      </c>
      <c r="Q57" s="13" t="str">
        <f>JOIN(", ", README!$B$11, 0.1)</f>
        <v>1, 0.1</v>
      </c>
      <c r="R57" s="13" t="str">
        <f>JOIN(", ", README!$L$21, README!$B$27, -1, README!$B$9, 0)</f>
        <v>300000000, -1, -1, -1, 0</v>
      </c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</row>
    <row r="58" ht="15.75" customHeight="1">
      <c r="A58" s="35" t="s">
        <v>114</v>
      </c>
      <c r="B58" s="14">
        <v>0.0</v>
      </c>
      <c r="C58" s="14">
        <v>0.0</v>
      </c>
      <c r="D58" s="14">
        <v>4.0</v>
      </c>
      <c r="E58" s="14">
        <v>1.0</v>
      </c>
      <c r="F58" s="14">
        <v>0.0</v>
      </c>
      <c r="G58" s="13">
        <v>0.0</v>
      </c>
      <c r="H58" s="13">
        <v>0.0</v>
      </c>
      <c r="I58" s="13">
        <v>0.0</v>
      </c>
      <c r="J58" s="13">
        <v>0.0</v>
      </c>
      <c r="K58" s="35"/>
      <c r="L58" s="35"/>
      <c r="M58" s="13">
        <f>IF($A58="", -1, ($B58*README!$B$2)+($C58*README!$B$3)+($D58*README!$B$4)+($E58*README!$B$5)+($F58*README!$B$6))</f>
        <v>400100</v>
      </c>
      <c r="N58" s="13">
        <f>IF($A58="", -1, ($B58*README!$B$2)+($C58*README!$B$3)+($D58*README!$B$4)+($E58*README!$B$5)+($F58*README!$B$6)-1)</f>
        <v>400099</v>
      </c>
      <c r="O58" s="13">
        <f>IF($A58="", -1, ($B58*README!$B$2)+($C58*README!$B$3)+($D58*README!$B$4)+($E58*README!$B$5)+($F58*README!$B$6)+1)</f>
        <v>400101</v>
      </c>
      <c r="P58" s="13">
        <f>README!$B$34</f>
        <v>0</v>
      </c>
      <c r="Q58" s="13" t="str">
        <f>JOIN(", ", README!$B$10, 1)</f>
        <v>0, 1</v>
      </c>
      <c r="R58" s="13" t="str">
        <f>JOIN(", ", README!$L$21, README!$B$27, -1, README!$B$9, 0)</f>
        <v>300000000, -1, -1, -1, 0</v>
      </c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</row>
    <row r="59" ht="15.75" customHeight="1">
      <c r="A59" s="35" t="s">
        <v>115</v>
      </c>
      <c r="B59" s="14">
        <v>0.0</v>
      </c>
      <c r="C59" s="14">
        <v>0.0</v>
      </c>
      <c r="D59" s="14">
        <v>4.0</v>
      </c>
      <c r="E59" s="14">
        <v>1.0</v>
      </c>
      <c r="F59" s="14">
        <v>1.0</v>
      </c>
      <c r="G59" s="13">
        <v>0.0</v>
      </c>
      <c r="H59" s="13">
        <v>0.0</v>
      </c>
      <c r="I59" s="13">
        <v>0.0</v>
      </c>
      <c r="J59" s="13">
        <v>0.0</v>
      </c>
      <c r="K59" s="35"/>
      <c r="L59" s="35"/>
      <c r="M59" s="13">
        <f>IF($A59="", -1, ($B59*README!$B$2)+($C59*README!$B$3)+($D59*README!$B$4)+($E59*README!$B$5)+($F59*README!$B$6))</f>
        <v>400101</v>
      </c>
      <c r="N59" s="13">
        <f>IF($A59="", -1, ($B59*README!$B$2)+($C59*README!$B$3)+($D59*README!$B$4)+($E59*README!$B$5)+($F59*README!$B$6)-1)</f>
        <v>400100</v>
      </c>
      <c r="O59" s="13">
        <f>IF($A59="", -1, ($B59*README!$B$2)+($C59*README!$B$3)+($D59*README!$B$4)+($E59*README!$B$5)+($F59*README!$B$6)+1)</f>
        <v>400102</v>
      </c>
      <c r="P59" s="13">
        <f>README!$B$34</f>
        <v>0</v>
      </c>
      <c r="Q59" s="13" t="str">
        <f>JOIN(", ", README!$B$11, 0.1)</f>
        <v>1, 0.1</v>
      </c>
      <c r="R59" s="13" t="str">
        <f>JOIN(", ", README!$L$21, README!$B$27, -1, README!$B$9, 0)</f>
        <v>300000000, -1, -1, -1, 0</v>
      </c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</row>
    <row r="60" ht="15.75" customHeight="1">
      <c r="A60" s="35" t="s">
        <v>116</v>
      </c>
      <c r="B60" s="14">
        <v>0.0</v>
      </c>
      <c r="C60" s="14">
        <v>1.0</v>
      </c>
      <c r="D60" s="14">
        <v>4.0</v>
      </c>
      <c r="E60" s="14">
        <v>1.0</v>
      </c>
      <c r="F60" s="14">
        <v>0.0</v>
      </c>
      <c r="G60" s="13">
        <v>0.0</v>
      </c>
      <c r="H60" s="13">
        <v>0.0</v>
      </c>
      <c r="I60" s="13">
        <v>0.0</v>
      </c>
      <c r="J60" s="13">
        <v>0.0</v>
      </c>
      <c r="K60" s="35"/>
      <c r="L60" s="35"/>
      <c r="M60" s="13">
        <f>IF($A60="", -1, ($B60*README!$B$2)+($C60*README!$B$3)+($D60*README!$B$4)+($E60*README!$B$5)+($F60*README!$B$6))</f>
        <v>10400100</v>
      </c>
      <c r="N60" s="13">
        <f>IF($A60="", -1, ($B60*README!$B$2)+($C60*README!$B$3)+($D60*README!$B$4)+($E60*README!$B$5)+($F60*README!$B$6)-1)</f>
        <v>10400099</v>
      </c>
      <c r="O60" s="13">
        <f>IF($A60="", -1, ($B60*README!$B$2)+($C60*README!$B$3)+($D60*README!$B$4)+($E60*README!$B$5)+($F60*README!$B$6)+1)</f>
        <v>10400101</v>
      </c>
      <c r="P60" s="13">
        <f>README!$B$35</f>
        <v>1</v>
      </c>
      <c r="Q60" s="13" t="str">
        <f>JOIN(", ", README!$B$11, 0.1)</f>
        <v>1, 0.1</v>
      </c>
      <c r="R60" s="13" t="str">
        <f>JOIN(", ", README!$L$21, README!$B$27, -1, README!$B$9, 0)</f>
        <v>300000000, -1, -1, -1, 0</v>
      </c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</row>
    <row r="61" ht="15.75" customHeight="1">
      <c r="A61" s="35" t="s">
        <v>117</v>
      </c>
      <c r="B61" s="14">
        <v>0.0</v>
      </c>
      <c r="C61" s="14">
        <v>2.0</v>
      </c>
      <c r="D61" s="14">
        <v>4.0</v>
      </c>
      <c r="E61" s="14">
        <v>1.0</v>
      </c>
      <c r="F61" s="14">
        <v>0.0</v>
      </c>
      <c r="G61" s="13">
        <v>0.0</v>
      </c>
      <c r="H61" s="13">
        <v>0.0</v>
      </c>
      <c r="I61" s="13">
        <v>0.0</v>
      </c>
      <c r="J61" s="13">
        <v>0.0</v>
      </c>
      <c r="K61" s="35"/>
      <c r="L61" s="35"/>
      <c r="M61" s="13">
        <f>IF($A61="", -1, ($B61*README!$B$2)+($C61*README!$B$3)+($D61*README!$B$4)+($E61*README!$B$5)+($F61*README!$B$6))</f>
        <v>20400100</v>
      </c>
      <c r="N61" s="13">
        <f>IF($A61="", -1, ($B61*README!$B$2)+($C61*README!$B$3)+($D61*README!$B$4)+($E61*README!$B$5)+($F61*README!$B$6)-1)</f>
        <v>20400099</v>
      </c>
      <c r="O61" s="13">
        <f>IF($A61="", -1, ($B61*README!$B$2)+($C61*README!$B$3)+($D61*README!$B$4)+($E61*README!$B$5)+($F61*README!$B$6)+1)</f>
        <v>20400101</v>
      </c>
      <c r="P61" s="13">
        <f>README!$B$36</f>
        <v>2</v>
      </c>
      <c r="Q61" s="13" t="str">
        <f>JOIN(", ", README!$B$11, 0.1)</f>
        <v>1, 0.1</v>
      </c>
      <c r="R61" s="13" t="str">
        <f>JOIN(", ", README!$L$21, README!$B$27, -1, README!$B$9, 0)</f>
        <v>300000000, -1, -1, -1, 0</v>
      </c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</row>
    <row r="62" ht="15.75" customHeight="1">
      <c r="A62" s="35" t="s">
        <v>118</v>
      </c>
      <c r="B62" s="14">
        <v>0.0</v>
      </c>
      <c r="C62" s="14">
        <v>0.0</v>
      </c>
      <c r="D62" s="14">
        <v>4.0</v>
      </c>
      <c r="E62" s="14">
        <v>2.0</v>
      </c>
      <c r="F62" s="14">
        <v>0.0</v>
      </c>
      <c r="G62" s="13">
        <v>0.0</v>
      </c>
      <c r="H62" s="13">
        <v>0.0</v>
      </c>
      <c r="I62" s="13">
        <v>0.0</v>
      </c>
      <c r="J62" s="13">
        <v>0.0</v>
      </c>
      <c r="K62" s="35"/>
      <c r="L62" s="35"/>
      <c r="M62" s="13">
        <f>IF($A62="", -1, ($B62*README!$B$2)+($C62*README!$B$3)+($D62*README!$B$4)+($E62*README!$B$5)+($F62*README!$B$6))</f>
        <v>400200</v>
      </c>
      <c r="N62" s="13">
        <f>IF($A62="", -1, ($B62*README!$B$2)+($C62*README!$B$3)+($D62*README!$B$4)+($E62*README!$B$5)+($F62*README!$B$6)-1)</f>
        <v>400199</v>
      </c>
      <c r="O62" s="13">
        <f>IF($A62="", -1, ($B62*README!$B$2)+($C62*README!$B$3)+($D62*README!$B$4)+($E62*README!$B$5)+($F62*README!$B$6)+1)</f>
        <v>400201</v>
      </c>
      <c r="P62" s="13">
        <f>README!$B$34</f>
        <v>0</v>
      </c>
      <c r="Q62" s="13" t="str">
        <f>JOIN(", ", README!$B$10, 1)</f>
        <v>0, 1</v>
      </c>
      <c r="R62" s="13" t="str">
        <f>JOIN(", ", README!$L$21, README!$B$27, -1, README!$B$9, 0)</f>
        <v>300000000, -1, -1, -1, 0</v>
      </c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</row>
    <row r="63" ht="15.75" customHeight="1">
      <c r="A63" s="35" t="s">
        <v>119</v>
      </c>
      <c r="B63" s="14">
        <v>0.0</v>
      </c>
      <c r="C63" s="14">
        <v>0.0</v>
      </c>
      <c r="D63" s="14">
        <v>4.0</v>
      </c>
      <c r="E63" s="14">
        <v>2.0</v>
      </c>
      <c r="F63" s="14">
        <v>1.0</v>
      </c>
      <c r="G63" s="13">
        <v>0.0</v>
      </c>
      <c r="H63" s="13">
        <v>0.0</v>
      </c>
      <c r="I63" s="13">
        <v>0.0</v>
      </c>
      <c r="J63" s="13">
        <v>0.0</v>
      </c>
      <c r="K63" s="35"/>
      <c r="L63" s="35"/>
      <c r="M63" s="13">
        <f>IF($A63="", -1, ($B63*README!$B$2)+($C63*README!$B$3)+($D63*README!$B$4)+($E63*README!$B$5)+($F63*README!$B$6))</f>
        <v>400201</v>
      </c>
      <c r="N63" s="13">
        <f>IF($A63="", -1, ($B63*README!$B$2)+($C63*README!$B$3)+($D63*README!$B$4)+($E63*README!$B$5)+($F63*README!$B$6)-1)</f>
        <v>400200</v>
      </c>
      <c r="O63" s="13">
        <f>IF($A63="", -1, ($B63*README!$B$2)+($C63*README!$B$3)+($D63*README!$B$4)+($E63*README!$B$5)+($F63*README!$B$6)+1)</f>
        <v>400202</v>
      </c>
      <c r="P63" s="13">
        <f>README!$B$34</f>
        <v>0</v>
      </c>
      <c r="Q63" s="13" t="str">
        <f>JOIN(", ", README!$B$11, 0.1)</f>
        <v>1, 0.1</v>
      </c>
      <c r="R63" s="13" t="str">
        <f>JOIN(", ", README!$L$21, README!$B$27, -1, README!$B$9, 0)</f>
        <v>300000000, -1, -1, -1, 0</v>
      </c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</row>
    <row r="64" ht="15.75" customHeight="1">
      <c r="A64" s="35" t="s">
        <v>120</v>
      </c>
      <c r="B64" s="14">
        <v>0.0</v>
      </c>
      <c r="C64" s="14">
        <v>1.0</v>
      </c>
      <c r="D64" s="14">
        <v>4.0</v>
      </c>
      <c r="E64" s="14">
        <v>2.0</v>
      </c>
      <c r="F64" s="14">
        <v>0.0</v>
      </c>
      <c r="G64" s="13">
        <v>0.0</v>
      </c>
      <c r="H64" s="13">
        <v>0.0</v>
      </c>
      <c r="I64" s="13">
        <v>0.0</v>
      </c>
      <c r="J64" s="13">
        <v>0.0</v>
      </c>
      <c r="K64" s="35"/>
      <c r="L64" s="35"/>
      <c r="M64" s="13">
        <f>IF($A64="", -1, ($B64*README!$B$2)+($C64*README!$B$3)+($D64*README!$B$4)+($E64*README!$B$5)+($F64*README!$B$6))</f>
        <v>10400200</v>
      </c>
      <c r="N64" s="13">
        <f>IF($A64="", -1, ($B64*README!$B$2)+($C64*README!$B$3)+($D64*README!$B$4)+($E64*README!$B$5)+($F64*README!$B$6)-1)</f>
        <v>10400199</v>
      </c>
      <c r="O64" s="13">
        <f>IF($A64="", -1, ($B64*README!$B$2)+($C64*README!$B$3)+($D64*README!$B$4)+($E64*README!$B$5)+($F64*README!$B$6)+1)</f>
        <v>10400201</v>
      </c>
      <c r="P64" s="13">
        <f>README!$B$35</f>
        <v>1</v>
      </c>
      <c r="Q64" s="13" t="str">
        <f>JOIN(", ", README!$B$11, 0.1)</f>
        <v>1, 0.1</v>
      </c>
      <c r="R64" s="13" t="str">
        <f>JOIN(", ", README!$L$21, README!$B$27, -1, README!$B$9, 0)</f>
        <v>300000000, -1, -1, -1, 0</v>
      </c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</row>
    <row r="65" ht="15.75" customHeight="1">
      <c r="A65" s="35" t="s">
        <v>121</v>
      </c>
      <c r="B65" s="14">
        <v>0.0</v>
      </c>
      <c r="C65" s="14">
        <v>2.0</v>
      </c>
      <c r="D65" s="14">
        <v>4.0</v>
      </c>
      <c r="E65" s="14">
        <v>2.0</v>
      </c>
      <c r="F65" s="14">
        <v>0.0</v>
      </c>
      <c r="G65" s="13">
        <v>0.0</v>
      </c>
      <c r="H65" s="13">
        <v>0.0</v>
      </c>
      <c r="I65" s="13">
        <v>0.0</v>
      </c>
      <c r="J65" s="13">
        <v>0.0</v>
      </c>
      <c r="K65" s="35"/>
      <c r="L65" s="35"/>
      <c r="M65" s="13">
        <f>IF($A65="", -1, ($B65*README!$B$2)+($C65*README!$B$3)+($D65*README!$B$4)+($E65*README!$B$5)+($F65*README!$B$6))</f>
        <v>20400200</v>
      </c>
      <c r="N65" s="13">
        <f>IF($A65="", -1, ($B65*README!$B$2)+($C65*README!$B$3)+($D65*README!$B$4)+($E65*README!$B$5)+($F65*README!$B$6)-1)</f>
        <v>20400199</v>
      </c>
      <c r="O65" s="13">
        <f>IF($A65="", -1, ($B65*README!$B$2)+($C65*README!$B$3)+($D65*README!$B$4)+($E65*README!$B$5)+($F65*README!$B$6)+1)</f>
        <v>20400201</v>
      </c>
      <c r="P65" s="13">
        <f>README!$B$36</f>
        <v>2</v>
      </c>
      <c r="Q65" s="13" t="str">
        <f>JOIN(", ", README!$B$11, 0.1)</f>
        <v>1, 0.1</v>
      </c>
      <c r="R65" s="13" t="str">
        <f>JOIN(", ", README!$L$21, README!$B$27, -1, README!$B$9, 0)</f>
        <v>300000000, -1, -1, -1, 0</v>
      </c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</row>
    <row r="66" ht="15.75" customHeight="1">
      <c r="A66" s="35" t="s">
        <v>122</v>
      </c>
      <c r="B66" s="14">
        <v>0.0</v>
      </c>
      <c r="C66" s="14">
        <v>0.0</v>
      </c>
      <c r="D66" s="14">
        <v>5.0</v>
      </c>
      <c r="E66" s="14">
        <v>0.0</v>
      </c>
      <c r="F66" s="14">
        <v>0.0</v>
      </c>
      <c r="G66" s="13">
        <v>0.0</v>
      </c>
      <c r="H66" s="13">
        <v>0.0</v>
      </c>
      <c r="I66" s="13">
        <v>0.0</v>
      </c>
      <c r="J66" s="13">
        <v>0.0</v>
      </c>
      <c r="K66" s="35"/>
      <c r="L66" s="35"/>
      <c r="M66" s="13">
        <f>IF($A66="", -1, ($B66*README!$B$2)+($C66*README!$B$3)+($D66*README!$B$4)+($E66*README!$B$5)+($F66*README!$B$6))</f>
        <v>500000</v>
      </c>
      <c r="N66" s="13">
        <f>IF($A66="", -1, ($B66*README!$B$2)+($C66*README!$B$3)+($D66*README!$B$4)+($E66*README!$B$5)+($F66*README!$B$6)-1)</f>
        <v>499999</v>
      </c>
      <c r="O66" s="13">
        <f>IF($A66="", -1, ($B66*README!$B$2)+($C66*README!$B$3)+($D66*README!$B$4)+($E66*README!$B$5)+($F66*README!$B$6)+1)</f>
        <v>500001</v>
      </c>
      <c r="P66" s="13">
        <f>README!$B$34</f>
        <v>0</v>
      </c>
      <c r="Q66" s="13" t="str">
        <f>JOIN(", ", README!$B$10, 1)</f>
        <v>0, 1</v>
      </c>
      <c r="R66" s="13" t="str">
        <f>JOIN(", ", README!$L$21, README!$B$27, -1, README!$B$9, 0)</f>
        <v>300000000, -1, -1, -1, 0</v>
      </c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</row>
    <row r="67" ht="15.75" customHeight="1">
      <c r="A67" s="35" t="s">
        <v>123</v>
      </c>
      <c r="B67" s="14">
        <v>0.0</v>
      </c>
      <c r="C67" s="14">
        <v>0.0</v>
      </c>
      <c r="D67" s="14">
        <v>5.0</v>
      </c>
      <c r="E67" s="14">
        <v>0.0</v>
      </c>
      <c r="F67" s="14">
        <v>1.0</v>
      </c>
      <c r="G67" s="13">
        <v>0.0</v>
      </c>
      <c r="H67" s="13">
        <v>0.0</v>
      </c>
      <c r="I67" s="13">
        <v>0.0</v>
      </c>
      <c r="J67" s="13">
        <v>0.0</v>
      </c>
      <c r="K67" s="35"/>
      <c r="L67" s="35"/>
      <c r="M67" s="13">
        <f>IF($A67="", -1, ($B67*README!$B$2)+($C67*README!$B$3)+($D67*README!$B$4)+($E67*README!$B$5)+($F67*README!$B$6))</f>
        <v>500001</v>
      </c>
      <c r="N67" s="13">
        <f>IF($A67="", -1, ($B67*README!$B$2)+($C67*README!$B$3)+($D67*README!$B$4)+($E67*README!$B$5)+($F67*README!$B$6)-1)</f>
        <v>500000</v>
      </c>
      <c r="O67" s="13">
        <f>IF($A67="", -1, ($B67*README!$B$2)+($C67*README!$B$3)+($D67*README!$B$4)+($E67*README!$B$5)+($F67*README!$B$6)+1)</f>
        <v>500002</v>
      </c>
      <c r="P67" s="13">
        <f>README!$B$34</f>
        <v>0</v>
      </c>
      <c r="Q67" s="13" t="str">
        <f>JOIN(", ", README!$B$11, 0.1)</f>
        <v>1, 0.1</v>
      </c>
      <c r="R67" s="13" t="str">
        <f>JOIN(", ", README!$L$21, README!$B$27, -1, README!$B$9, 0)</f>
        <v>300000000, -1, -1, -1, 0</v>
      </c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</row>
    <row r="68" ht="15.75" customHeight="1">
      <c r="A68" s="35" t="s">
        <v>124</v>
      </c>
      <c r="B68" s="14">
        <v>0.0</v>
      </c>
      <c r="C68" s="14">
        <v>1.0</v>
      </c>
      <c r="D68" s="14">
        <v>5.0</v>
      </c>
      <c r="E68" s="14">
        <v>0.0</v>
      </c>
      <c r="F68" s="14">
        <v>0.0</v>
      </c>
      <c r="G68" s="13">
        <v>0.0</v>
      </c>
      <c r="H68" s="13">
        <v>0.0</v>
      </c>
      <c r="I68" s="13">
        <v>0.0</v>
      </c>
      <c r="J68" s="13">
        <v>0.0</v>
      </c>
      <c r="K68" s="35"/>
      <c r="L68" s="35"/>
      <c r="M68" s="13">
        <f>IF($A68="", -1, ($B68*README!$B$2)+($C68*README!$B$3)+($D68*README!$B$4)+($E68*README!$B$5)+($F68*README!$B$6))</f>
        <v>10500000</v>
      </c>
      <c r="N68" s="13">
        <f>IF($A68="", -1, ($B68*README!$B$2)+($C68*README!$B$3)+($D68*README!$B$4)+($E68*README!$B$5)+($F68*README!$B$6)-1)</f>
        <v>10499999</v>
      </c>
      <c r="O68" s="13">
        <f>IF($A68="", -1, ($B68*README!$B$2)+($C68*README!$B$3)+($D68*README!$B$4)+($E68*README!$B$5)+($F68*README!$B$6)+1)</f>
        <v>10500001</v>
      </c>
      <c r="P68" s="13">
        <f>README!$B$35</f>
        <v>1</v>
      </c>
      <c r="Q68" s="13" t="str">
        <f>JOIN(", ", README!$B$11, 0.1)</f>
        <v>1, 0.1</v>
      </c>
      <c r="R68" s="13" t="str">
        <f>JOIN(", ", README!$L$21, README!$B$27, -1, README!$B$9, 0)</f>
        <v>300000000, -1, -1, -1, 0</v>
      </c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</row>
    <row r="69" ht="15.75" customHeight="1">
      <c r="A69" s="35" t="s">
        <v>125</v>
      </c>
      <c r="B69" s="14">
        <v>0.0</v>
      </c>
      <c r="C69" s="14">
        <v>2.0</v>
      </c>
      <c r="D69" s="14">
        <v>5.0</v>
      </c>
      <c r="E69" s="14">
        <v>0.0</v>
      </c>
      <c r="F69" s="14">
        <v>0.0</v>
      </c>
      <c r="G69" s="13">
        <v>0.0</v>
      </c>
      <c r="H69" s="13">
        <v>0.0</v>
      </c>
      <c r="I69" s="13">
        <v>0.0</v>
      </c>
      <c r="J69" s="13">
        <v>0.0</v>
      </c>
      <c r="K69" s="35"/>
      <c r="L69" s="35"/>
      <c r="M69" s="13">
        <f>IF($A69="", -1, ($B69*README!$B$2)+($C69*README!$B$3)+($D69*README!$B$4)+($E69*README!$B$5)+($F69*README!$B$6))</f>
        <v>20500000</v>
      </c>
      <c r="N69" s="13">
        <f>IF($A69="", -1, ($B69*README!$B$2)+($C69*README!$B$3)+($D69*README!$B$4)+($E69*README!$B$5)+($F69*README!$B$6)-1)</f>
        <v>20499999</v>
      </c>
      <c r="O69" s="13">
        <f>IF($A69="", -1, ($B69*README!$B$2)+($C69*README!$B$3)+($D69*README!$B$4)+($E69*README!$B$5)+($F69*README!$B$6)+1)</f>
        <v>20500001</v>
      </c>
      <c r="P69" s="13">
        <f>README!$B$36</f>
        <v>2</v>
      </c>
      <c r="Q69" s="13" t="str">
        <f>JOIN(", ", README!$B$11, 0.1)</f>
        <v>1, 0.1</v>
      </c>
      <c r="R69" s="13" t="str">
        <f>JOIN(", ", README!$L$21, README!$B$27, -1, README!$B$9, 0)</f>
        <v>300000000, -1, -1, -1, 0</v>
      </c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</row>
    <row r="70" ht="15.75" customHeight="1">
      <c r="A70" s="35" t="s">
        <v>126</v>
      </c>
      <c r="B70" s="14">
        <v>0.0</v>
      </c>
      <c r="C70" s="14">
        <v>0.0</v>
      </c>
      <c r="D70" s="14">
        <v>5.0</v>
      </c>
      <c r="E70" s="14">
        <v>1.0</v>
      </c>
      <c r="F70" s="14">
        <v>0.0</v>
      </c>
      <c r="G70" s="13">
        <v>0.0</v>
      </c>
      <c r="H70" s="13">
        <v>0.0</v>
      </c>
      <c r="I70" s="13">
        <v>0.0</v>
      </c>
      <c r="J70" s="13">
        <v>0.0</v>
      </c>
      <c r="K70" s="35"/>
      <c r="L70" s="35"/>
      <c r="M70" s="13">
        <f>IF($A70="", -1, ($B70*README!$B$2)+($C70*README!$B$3)+($D70*README!$B$4)+($E70*README!$B$5)+($F70*README!$B$6))</f>
        <v>500100</v>
      </c>
      <c r="N70" s="13">
        <f>IF($A70="", -1, ($B70*README!$B$2)+($C70*README!$B$3)+($D70*README!$B$4)+($E70*README!$B$5)+($F70*README!$B$6)-1)</f>
        <v>500099</v>
      </c>
      <c r="O70" s="13">
        <f>IF($A70="", -1, ($B70*README!$B$2)+($C70*README!$B$3)+($D70*README!$B$4)+($E70*README!$B$5)+($F70*README!$B$6)+1)</f>
        <v>500101</v>
      </c>
      <c r="P70" s="13">
        <f>README!$B$34</f>
        <v>0</v>
      </c>
      <c r="Q70" s="13" t="str">
        <f>JOIN(", ", README!$B$10, 1)</f>
        <v>0, 1</v>
      </c>
      <c r="R70" s="13" t="str">
        <f>JOIN(", ", README!$L$21, README!$B$27, -1, README!$B$9, 0)</f>
        <v>300000000, -1, -1, -1, 0</v>
      </c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</row>
    <row r="71" ht="15.75" customHeight="1">
      <c r="A71" s="35" t="s">
        <v>127</v>
      </c>
      <c r="B71" s="14">
        <v>0.0</v>
      </c>
      <c r="C71" s="14">
        <v>0.0</v>
      </c>
      <c r="D71" s="14">
        <v>5.0</v>
      </c>
      <c r="E71" s="14">
        <v>1.0</v>
      </c>
      <c r="F71" s="14">
        <v>1.0</v>
      </c>
      <c r="G71" s="13">
        <v>0.0</v>
      </c>
      <c r="H71" s="13">
        <v>0.0</v>
      </c>
      <c r="I71" s="13">
        <v>0.0</v>
      </c>
      <c r="J71" s="13">
        <v>0.0</v>
      </c>
      <c r="K71" s="35"/>
      <c r="L71" s="35"/>
      <c r="M71" s="13">
        <f>IF($A71="", -1, ($B71*README!$B$2)+($C71*README!$B$3)+($D71*README!$B$4)+($E71*README!$B$5)+($F71*README!$B$6))</f>
        <v>500101</v>
      </c>
      <c r="N71" s="13">
        <f>IF($A71="", -1, ($B71*README!$B$2)+($C71*README!$B$3)+($D71*README!$B$4)+($E71*README!$B$5)+($F71*README!$B$6)-1)</f>
        <v>500100</v>
      </c>
      <c r="O71" s="13">
        <f>IF($A71="", -1, ($B71*README!$B$2)+($C71*README!$B$3)+($D71*README!$B$4)+($E71*README!$B$5)+($F71*README!$B$6)+1)</f>
        <v>500102</v>
      </c>
      <c r="P71" s="13">
        <f>README!$B$34</f>
        <v>0</v>
      </c>
      <c r="Q71" s="13" t="str">
        <f>JOIN(", ", README!$B$11, 0.1)</f>
        <v>1, 0.1</v>
      </c>
      <c r="R71" s="13" t="str">
        <f>JOIN(", ", README!$L$21, README!$B$27, -1, README!$B$9, 0)</f>
        <v>300000000, -1, -1, -1, 0</v>
      </c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 ht="15.75" customHeight="1">
      <c r="A72" s="35" t="s">
        <v>128</v>
      </c>
      <c r="B72" s="14">
        <v>0.0</v>
      </c>
      <c r="C72" s="14">
        <v>1.0</v>
      </c>
      <c r="D72" s="14">
        <v>5.0</v>
      </c>
      <c r="E72" s="14">
        <v>1.0</v>
      </c>
      <c r="F72" s="14">
        <v>0.0</v>
      </c>
      <c r="G72" s="13">
        <v>0.0</v>
      </c>
      <c r="H72" s="13">
        <v>0.0</v>
      </c>
      <c r="I72" s="13">
        <v>0.0</v>
      </c>
      <c r="J72" s="13">
        <v>0.0</v>
      </c>
      <c r="K72" s="35"/>
      <c r="L72" s="35"/>
      <c r="M72" s="13">
        <f>IF($A72="", -1, ($B72*README!$B$2)+($C72*README!$B$3)+($D72*README!$B$4)+($E72*README!$B$5)+($F72*README!$B$6))</f>
        <v>10500100</v>
      </c>
      <c r="N72" s="13">
        <f>IF($A72="", -1, ($B72*README!$B$2)+($C72*README!$B$3)+($D72*README!$B$4)+($E72*README!$B$5)+($F72*README!$B$6)-1)</f>
        <v>10500099</v>
      </c>
      <c r="O72" s="13">
        <f>IF($A72="", -1, ($B72*README!$B$2)+($C72*README!$B$3)+($D72*README!$B$4)+($E72*README!$B$5)+($F72*README!$B$6)+1)</f>
        <v>10500101</v>
      </c>
      <c r="P72" s="13">
        <f>README!$B$35</f>
        <v>1</v>
      </c>
      <c r="Q72" s="13" t="str">
        <f>JOIN(", ", README!$B$11, 0.1)</f>
        <v>1, 0.1</v>
      </c>
      <c r="R72" s="13" t="str">
        <f>JOIN(", ", README!$L$21, README!$B$27, -1, README!$B$9, 0)</f>
        <v>300000000, -1, -1, -1, 0</v>
      </c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 ht="15.75" customHeight="1">
      <c r="A73" s="35" t="s">
        <v>129</v>
      </c>
      <c r="B73" s="14">
        <v>0.0</v>
      </c>
      <c r="C73" s="14">
        <v>2.0</v>
      </c>
      <c r="D73" s="14">
        <v>5.0</v>
      </c>
      <c r="E73" s="14">
        <v>1.0</v>
      </c>
      <c r="F73" s="14">
        <v>0.0</v>
      </c>
      <c r="G73" s="13">
        <v>0.0</v>
      </c>
      <c r="H73" s="13">
        <v>0.0</v>
      </c>
      <c r="I73" s="13">
        <v>0.0</v>
      </c>
      <c r="J73" s="13">
        <v>0.0</v>
      </c>
      <c r="K73" s="35"/>
      <c r="L73" s="35"/>
      <c r="M73" s="13">
        <f>IF($A73="", -1, ($B73*README!$B$2)+($C73*README!$B$3)+($D73*README!$B$4)+($E73*README!$B$5)+($F73*README!$B$6))</f>
        <v>20500100</v>
      </c>
      <c r="N73" s="13">
        <f>IF($A73="", -1, ($B73*README!$B$2)+($C73*README!$B$3)+($D73*README!$B$4)+($E73*README!$B$5)+($F73*README!$B$6)-1)</f>
        <v>20500099</v>
      </c>
      <c r="O73" s="13">
        <f>IF($A73="", -1, ($B73*README!$B$2)+($C73*README!$B$3)+($D73*README!$B$4)+($E73*README!$B$5)+($F73*README!$B$6)+1)</f>
        <v>20500101</v>
      </c>
      <c r="P73" s="13">
        <f>README!$B$36</f>
        <v>2</v>
      </c>
      <c r="Q73" s="13" t="str">
        <f>JOIN(", ", README!$B$11, 0.1)</f>
        <v>1, 0.1</v>
      </c>
      <c r="R73" s="13" t="str">
        <f>JOIN(", ", README!$L$21, README!$B$27, -1, README!$B$9, 0)</f>
        <v>300000000, -1, -1, -1, 0</v>
      </c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 ht="15.75" customHeight="1">
      <c r="A74" s="35" t="s">
        <v>130</v>
      </c>
      <c r="B74" s="14">
        <v>0.0</v>
      </c>
      <c r="C74" s="14">
        <v>0.0</v>
      </c>
      <c r="D74" s="14">
        <v>5.0</v>
      </c>
      <c r="E74" s="14">
        <v>2.0</v>
      </c>
      <c r="F74" s="14">
        <v>0.0</v>
      </c>
      <c r="G74" s="13">
        <v>0.0</v>
      </c>
      <c r="H74" s="13">
        <v>0.0</v>
      </c>
      <c r="I74" s="13">
        <v>0.0</v>
      </c>
      <c r="J74" s="13">
        <v>0.0</v>
      </c>
      <c r="K74" s="35"/>
      <c r="L74" s="35"/>
      <c r="M74" s="13">
        <f>IF($A74="", -1, ($B74*README!$B$2)+($C74*README!$B$3)+($D74*README!$B$4)+($E74*README!$B$5)+($F74*README!$B$6))</f>
        <v>500200</v>
      </c>
      <c r="N74" s="13">
        <f>IF($A74="", -1, ($B74*README!$B$2)+($C74*README!$B$3)+($D74*README!$B$4)+($E74*README!$B$5)+($F74*README!$B$6)-1)</f>
        <v>500199</v>
      </c>
      <c r="O74" s="13">
        <f>IF($A74="", -1, ($B74*README!$B$2)+($C74*README!$B$3)+($D74*README!$B$4)+($E74*README!$B$5)+($F74*README!$B$6)+1)</f>
        <v>500201</v>
      </c>
      <c r="P74" s="13">
        <f>README!$B$34</f>
        <v>0</v>
      </c>
      <c r="Q74" s="13" t="str">
        <f>JOIN(", ", README!$B$10, 1)</f>
        <v>0, 1</v>
      </c>
      <c r="R74" s="13" t="str">
        <f>JOIN(", ", README!$L$21, README!$B$27, -1, README!$B$9, 0)</f>
        <v>300000000, -1, -1, -1, 0</v>
      </c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 ht="15.75" customHeight="1">
      <c r="A75" s="35" t="s">
        <v>131</v>
      </c>
      <c r="B75" s="14">
        <v>0.0</v>
      </c>
      <c r="C75" s="14">
        <v>0.0</v>
      </c>
      <c r="D75" s="14">
        <v>5.0</v>
      </c>
      <c r="E75" s="14">
        <v>2.0</v>
      </c>
      <c r="F75" s="14">
        <v>1.0</v>
      </c>
      <c r="G75" s="13">
        <v>0.0</v>
      </c>
      <c r="H75" s="13">
        <v>0.0</v>
      </c>
      <c r="I75" s="13">
        <v>0.0</v>
      </c>
      <c r="J75" s="13">
        <v>0.0</v>
      </c>
      <c r="K75" s="35"/>
      <c r="L75" s="35"/>
      <c r="M75" s="13">
        <f>IF($A75="", -1, ($B75*README!$B$2)+($C75*README!$B$3)+($D75*README!$B$4)+($E75*README!$B$5)+($F75*README!$B$6))</f>
        <v>500201</v>
      </c>
      <c r="N75" s="13">
        <f>IF($A75="", -1, ($B75*README!$B$2)+($C75*README!$B$3)+($D75*README!$B$4)+($E75*README!$B$5)+($F75*README!$B$6)-1)</f>
        <v>500200</v>
      </c>
      <c r="O75" s="13">
        <f>IF($A75="", -1, ($B75*README!$B$2)+($C75*README!$B$3)+($D75*README!$B$4)+($E75*README!$B$5)+($F75*README!$B$6)+1)</f>
        <v>500202</v>
      </c>
      <c r="P75" s="13">
        <f>README!$B$34</f>
        <v>0</v>
      </c>
      <c r="Q75" s="13" t="str">
        <f>JOIN(", ", README!$B$11, 0.1)</f>
        <v>1, 0.1</v>
      </c>
      <c r="R75" s="13" t="str">
        <f>JOIN(", ", README!$L$21, README!$B$27, -1, README!$B$9, 0)</f>
        <v>300000000, -1, -1, -1, 0</v>
      </c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 ht="15.75" customHeight="1">
      <c r="A76" s="35" t="s">
        <v>132</v>
      </c>
      <c r="B76" s="14">
        <v>0.0</v>
      </c>
      <c r="C76" s="14">
        <v>1.0</v>
      </c>
      <c r="D76" s="14">
        <v>5.0</v>
      </c>
      <c r="E76" s="14">
        <v>2.0</v>
      </c>
      <c r="F76" s="14">
        <v>0.0</v>
      </c>
      <c r="G76" s="13">
        <v>0.0</v>
      </c>
      <c r="H76" s="13">
        <v>0.0</v>
      </c>
      <c r="I76" s="13">
        <v>0.0</v>
      </c>
      <c r="J76" s="13">
        <v>0.0</v>
      </c>
      <c r="K76" s="35"/>
      <c r="L76" s="35"/>
      <c r="M76" s="13">
        <f>IF($A76="", -1, ($B76*README!$B$2)+($C76*README!$B$3)+($D76*README!$B$4)+($E76*README!$B$5)+($F76*README!$B$6))</f>
        <v>10500200</v>
      </c>
      <c r="N76" s="13">
        <f>IF($A76="", -1, ($B76*README!$B$2)+($C76*README!$B$3)+($D76*README!$B$4)+($E76*README!$B$5)+($F76*README!$B$6)-1)</f>
        <v>10500199</v>
      </c>
      <c r="O76" s="13">
        <f>IF($A76="", -1, ($B76*README!$B$2)+($C76*README!$B$3)+($D76*README!$B$4)+($E76*README!$B$5)+($F76*README!$B$6)+1)</f>
        <v>10500201</v>
      </c>
      <c r="P76" s="13">
        <f>README!$B$35</f>
        <v>1</v>
      </c>
      <c r="Q76" s="13" t="str">
        <f>JOIN(", ", README!$B$11, 0.1)</f>
        <v>1, 0.1</v>
      </c>
      <c r="R76" s="13" t="str">
        <f>JOIN(", ", README!$L$21, README!$B$27, -1, README!$B$9, 0)</f>
        <v>300000000, -1, -1, -1, 0</v>
      </c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 ht="15.75" customHeight="1">
      <c r="A77" s="35" t="s">
        <v>133</v>
      </c>
      <c r="B77" s="14">
        <v>0.0</v>
      </c>
      <c r="C77" s="14">
        <v>2.0</v>
      </c>
      <c r="D77" s="14">
        <v>5.0</v>
      </c>
      <c r="E77" s="14">
        <v>2.0</v>
      </c>
      <c r="F77" s="14">
        <v>0.0</v>
      </c>
      <c r="G77" s="13">
        <v>0.0</v>
      </c>
      <c r="H77" s="13">
        <v>0.0</v>
      </c>
      <c r="I77" s="13">
        <v>0.0</v>
      </c>
      <c r="J77" s="13">
        <v>0.0</v>
      </c>
      <c r="K77" s="35"/>
      <c r="L77" s="35"/>
      <c r="M77" s="13">
        <f>IF($A77="", -1, ($B77*README!$B$2)+($C77*README!$B$3)+($D77*README!$B$4)+($E77*README!$B$5)+($F77*README!$B$6))</f>
        <v>20500200</v>
      </c>
      <c r="N77" s="13">
        <f>IF($A77="", -1, ($B77*README!$B$2)+($C77*README!$B$3)+($D77*README!$B$4)+($E77*README!$B$5)+($F77*README!$B$6)-1)</f>
        <v>20500199</v>
      </c>
      <c r="O77" s="13">
        <f>IF($A77="", -1, ($B77*README!$B$2)+($C77*README!$B$3)+($D77*README!$B$4)+($E77*README!$B$5)+($F77*README!$B$6)+1)</f>
        <v>20500201</v>
      </c>
      <c r="P77" s="13">
        <f>README!$B$36</f>
        <v>2</v>
      </c>
      <c r="Q77" s="13" t="str">
        <f>JOIN(", ", README!$B$11, 0.1)</f>
        <v>1, 0.1</v>
      </c>
      <c r="R77" s="13" t="str">
        <f>JOIN(", ", README!$L$21, README!$B$27, -1, README!$B$9, 0)</f>
        <v>300000000, -1, -1, -1, 0</v>
      </c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 ht="15.75" customHeight="1">
      <c r="A78" s="35" t="s">
        <v>134</v>
      </c>
      <c r="B78" s="14">
        <v>0.0</v>
      </c>
      <c r="C78" s="14">
        <v>0.0</v>
      </c>
      <c r="D78" s="14">
        <v>6.0</v>
      </c>
      <c r="E78" s="14">
        <v>0.0</v>
      </c>
      <c r="F78" s="14">
        <v>0.0</v>
      </c>
      <c r="G78" s="13">
        <v>0.0</v>
      </c>
      <c r="H78" s="13">
        <v>0.0</v>
      </c>
      <c r="I78" s="13">
        <v>0.0</v>
      </c>
      <c r="J78" s="13">
        <v>0.0</v>
      </c>
      <c r="K78" s="35"/>
      <c r="L78" s="35"/>
      <c r="M78" s="13">
        <f>IF($A78="", -1, ($B78*README!$B$2)+($C78*README!$B$3)+($D78*README!$B$4)+($E78*README!$B$5)+($F78*README!$B$6))</f>
        <v>600000</v>
      </c>
      <c r="N78" s="13">
        <f>IF($A78="", -1, ($B78*README!$B$2)+($C78*README!$B$3)+($D78*README!$B$4)+($E78*README!$B$5)+($F78*README!$B$6)-1)</f>
        <v>599999</v>
      </c>
      <c r="O78" s="13">
        <f>IF($A78="", -1, ($B78*README!$B$2)+($C78*README!$B$3)+($D78*README!$B$4)+($E78*README!$B$5)+($F78*README!$B$6)+1)</f>
        <v>600001</v>
      </c>
      <c r="P78" s="13">
        <f>README!$B$34</f>
        <v>0</v>
      </c>
      <c r="Q78" s="13" t="str">
        <f>JOIN(", ", README!$B$10, 1)</f>
        <v>0, 1</v>
      </c>
      <c r="R78" s="13" t="str">
        <f>JOIN(", ", README!$L$21, README!$B$27, -1, README!$B$9, 0)</f>
        <v>300000000, -1, -1, -1, 0</v>
      </c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 ht="15.75" customHeight="1">
      <c r="A79" s="35" t="s">
        <v>135</v>
      </c>
      <c r="B79" s="14">
        <v>0.0</v>
      </c>
      <c r="C79" s="14">
        <v>0.0</v>
      </c>
      <c r="D79" s="14">
        <v>6.0</v>
      </c>
      <c r="E79" s="14">
        <v>0.0</v>
      </c>
      <c r="F79" s="14">
        <v>1.0</v>
      </c>
      <c r="G79" s="13">
        <v>0.0</v>
      </c>
      <c r="H79" s="13">
        <v>0.0</v>
      </c>
      <c r="I79" s="13">
        <v>0.0</v>
      </c>
      <c r="J79" s="13">
        <v>0.0</v>
      </c>
      <c r="K79" s="35"/>
      <c r="L79" s="35"/>
      <c r="M79" s="13">
        <f>IF($A79="", -1, ($B79*README!$B$2)+($C79*README!$B$3)+($D79*README!$B$4)+($E79*README!$B$5)+($F79*README!$B$6))</f>
        <v>600001</v>
      </c>
      <c r="N79" s="13">
        <f>IF($A79="", -1, ($B79*README!$B$2)+($C79*README!$B$3)+($D79*README!$B$4)+($E79*README!$B$5)+($F79*README!$B$6)-1)</f>
        <v>600000</v>
      </c>
      <c r="O79" s="13">
        <f>IF($A79="", -1, ($B79*README!$B$2)+($C79*README!$B$3)+($D79*README!$B$4)+($E79*README!$B$5)+($F79*README!$B$6)+1)</f>
        <v>600002</v>
      </c>
      <c r="P79" s="13">
        <f>README!$B$34</f>
        <v>0</v>
      </c>
      <c r="Q79" s="13" t="str">
        <f>JOIN(", ", README!$B$11, 0.1)</f>
        <v>1, 0.1</v>
      </c>
      <c r="R79" s="13" t="str">
        <f>JOIN(", ", README!$L$21, README!$B$27, -1, README!$B$9, 0)</f>
        <v>300000000, -1, -1, -1, 0</v>
      </c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 ht="15.75" customHeight="1">
      <c r="A80" s="35" t="s">
        <v>136</v>
      </c>
      <c r="B80" s="14">
        <v>0.0</v>
      </c>
      <c r="C80" s="14">
        <v>1.0</v>
      </c>
      <c r="D80" s="14">
        <v>6.0</v>
      </c>
      <c r="E80" s="14">
        <v>0.0</v>
      </c>
      <c r="F80" s="14">
        <v>0.0</v>
      </c>
      <c r="G80" s="13">
        <v>0.0</v>
      </c>
      <c r="H80" s="13">
        <v>0.0</v>
      </c>
      <c r="I80" s="13">
        <v>0.0</v>
      </c>
      <c r="J80" s="13">
        <v>0.0</v>
      </c>
      <c r="K80" s="35"/>
      <c r="L80" s="35"/>
      <c r="M80" s="13">
        <f>IF($A80="", -1, ($B80*README!$B$2)+($C80*README!$B$3)+($D80*README!$B$4)+($E80*README!$B$5)+($F80*README!$B$6))</f>
        <v>10600000</v>
      </c>
      <c r="N80" s="13">
        <f>IF($A80="", -1, ($B80*README!$B$2)+($C80*README!$B$3)+($D80*README!$B$4)+($E80*README!$B$5)+($F80*README!$B$6)-1)</f>
        <v>10599999</v>
      </c>
      <c r="O80" s="13">
        <f>IF($A80="", -1, ($B80*README!$B$2)+($C80*README!$B$3)+($D80*README!$B$4)+($E80*README!$B$5)+($F80*README!$B$6)+1)</f>
        <v>10600001</v>
      </c>
      <c r="P80" s="13">
        <f>README!$B$35</f>
        <v>1</v>
      </c>
      <c r="Q80" s="13" t="str">
        <f>JOIN(", ", README!$B$11, 0.1)</f>
        <v>1, 0.1</v>
      </c>
      <c r="R80" s="13" t="str">
        <f>JOIN(", ", README!$L$21, README!$B$27, -1, README!$B$9, 0)</f>
        <v>300000000, -1, -1, -1, 0</v>
      </c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 ht="15.75" customHeight="1">
      <c r="A81" s="35" t="s">
        <v>137</v>
      </c>
      <c r="B81" s="14">
        <v>0.0</v>
      </c>
      <c r="C81" s="14">
        <v>2.0</v>
      </c>
      <c r="D81" s="14">
        <v>6.0</v>
      </c>
      <c r="E81" s="14">
        <v>0.0</v>
      </c>
      <c r="F81" s="14">
        <v>0.0</v>
      </c>
      <c r="G81" s="13">
        <v>0.0</v>
      </c>
      <c r="H81" s="13">
        <v>0.0</v>
      </c>
      <c r="I81" s="13">
        <v>0.0</v>
      </c>
      <c r="J81" s="13">
        <v>0.0</v>
      </c>
      <c r="K81" s="35"/>
      <c r="L81" s="35"/>
      <c r="M81" s="13">
        <f>IF($A81="", -1, ($B81*README!$B$2)+($C81*README!$B$3)+($D81*README!$B$4)+($E81*README!$B$5)+($F81*README!$B$6))</f>
        <v>20600000</v>
      </c>
      <c r="N81" s="13">
        <f>IF($A81="", -1, ($B81*README!$B$2)+($C81*README!$B$3)+($D81*README!$B$4)+($E81*README!$B$5)+($F81*README!$B$6)-1)</f>
        <v>20599999</v>
      </c>
      <c r="O81" s="13">
        <f>IF($A81="", -1, ($B81*README!$B$2)+($C81*README!$B$3)+($D81*README!$B$4)+($E81*README!$B$5)+($F81*README!$B$6)+1)</f>
        <v>20600001</v>
      </c>
      <c r="P81" s="13">
        <f>README!$B$36</f>
        <v>2</v>
      </c>
      <c r="Q81" s="13" t="str">
        <f>JOIN(", ", README!$B$11, 0.1)</f>
        <v>1, 0.1</v>
      </c>
      <c r="R81" s="13" t="str">
        <f>JOIN(", ", README!$L$21, README!$B$27, -1, README!$B$9, 0)</f>
        <v>300000000, -1, -1, -1, 0</v>
      </c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 ht="15.75" customHeight="1">
      <c r="A82" s="35" t="s">
        <v>138</v>
      </c>
      <c r="B82" s="14">
        <v>0.0</v>
      </c>
      <c r="C82" s="14">
        <v>0.0</v>
      </c>
      <c r="D82" s="14">
        <v>6.0</v>
      </c>
      <c r="E82" s="14">
        <v>1.0</v>
      </c>
      <c r="F82" s="14">
        <v>0.0</v>
      </c>
      <c r="G82" s="13">
        <v>0.0</v>
      </c>
      <c r="H82" s="13">
        <v>0.0</v>
      </c>
      <c r="I82" s="13">
        <v>0.0</v>
      </c>
      <c r="J82" s="13">
        <v>0.0</v>
      </c>
      <c r="K82" s="35"/>
      <c r="L82" s="35"/>
      <c r="M82" s="13">
        <f>IF($A82="", -1, ($B82*README!$B$2)+($C82*README!$B$3)+($D82*README!$B$4)+($E82*README!$B$5)+($F82*README!$B$6))</f>
        <v>600100</v>
      </c>
      <c r="N82" s="13">
        <f>IF($A82="", -1, ($B82*README!$B$2)+($C82*README!$B$3)+($D82*README!$B$4)+($E82*README!$B$5)+($F82*README!$B$6)-1)</f>
        <v>600099</v>
      </c>
      <c r="O82" s="13">
        <f>IF($A82="", -1, ($B82*README!$B$2)+($C82*README!$B$3)+($D82*README!$B$4)+($E82*README!$B$5)+($F82*README!$B$6)+1)</f>
        <v>600101</v>
      </c>
      <c r="P82" s="13">
        <f>README!$B$34</f>
        <v>0</v>
      </c>
      <c r="Q82" s="13" t="str">
        <f>JOIN(", ", README!$B$10, 1)</f>
        <v>0, 1</v>
      </c>
      <c r="R82" s="13" t="str">
        <f>JOIN(", ", README!$L$21, README!$B$27, -1, README!$B$9, 0)</f>
        <v>300000000, -1, -1, -1, 0</v>
      </c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 ht="15.75" customHeight="1">
      <c r="A83" s="35" t="s">
        <v>139</v>
      </c>
      <c r="B83" s="14">
        <v>0.0</v>
      </c>
      <c r="C83" s="14">
        <v>0.0</v>
      </c>
      <c r="D83" s="14">
        <v>6.0</v>
      </c>
      <c r="E83" s="14">
        <v>1.0</v>
      </c>
      <c r="F83" s="14">
        <v>1.0</v>
      </c>
      <c r="G83" s="13">
        <v>0.0</v>
      </c>
      <c r="H83" s="13">
        <v>0.0</v>
      </c>
      <c r="I83" s="13">
        <v>0.0</v>
      </c>
      <c r="J83" s="13">
        <v>0.0</v>
      </c>
      <c r="K83" s="35"/>
      <c r="L83" s="35"/>
      <c r="M83" s="13">
        <f>IF($A83="", -1, ($B83*README!$B$2)+($C83*README!$B$3)+($D83*README!$B$4)+($E83*README!$B$5)+($F83*README!$B$6))</f>
        <v>600101</v>
      </c>
      <c r="N83" s="13">
        <f>IF($A83="", -1, ($B83*README!$B$2)+($C83*README!$B$3)+($D83*README!$B$4)+($E83*README!$B$5)+($F83*README!$B$6)-1)</f>
        <v>600100</v>
      </c>
      <c r="O83" s="13">
        <f>IF($A83="", -1, ($B83*README!$B$2)+($C83*README!$B$3)+($D83*README!$B$4)+($E83*README!$B$5)+($F83*README!$B$6)+1)</f>
        <v>600102</v>
      </c>
      <c r="P83" s="13">
        <f>README!$B$34</f>
        <v>0</v>
      </c>
      <c r="Q83" s="13" t="str">
        <f>JOIN(", ", README!$B$11, 0.1)</f>
        <v>1, 0.1</v>
      </c>
      <c r="R83" s="13" t="str">
        <f>JOIN(", ", README!$L$21, README!$B$27, -1, README!$B$9, 0)</f>
        <v>300000000, -1, -1, -1, 0</v>
      </c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 ht="15.75" customHeight="1">
      <c r="A84" s="35" t="s">
        <v>140</v>
      </c>
      <c r="B84" s="14">
        <v>0.0</v>
      </c>
      <c r="C84" s="14">
        <v>1.0</v>
      </c>
      <c r="D84" s="14">
        <v>6.0</v>
      </c>
      <c r="E84" s="14">
        <v>1.0</v>
      </c>
      <c r="F84" s="14">
        <v>0.0</v>
      </c>
      <c r="G84" s="13">
        <v>0.0</v>
      </c>
      <c r="H84" s="13">
        <v>0.0</v>
      </c>
      <c r="I84" s="13">
        <v>0.0</v>
      </c>
      <c r="J84" s="13">
        <v>0.0</v>
      </c>
      <c r="K84" s="35"/>
      <c r="L84" s="35"/>
      <c r="M84" s="13">
        <f>IF($A84="", -1, ($B84*README!$B$2)+($C84*README!$B$3)+($D84*README!$B$4)+($E84*README!$B$5)+($F84*README!$B$6))</f>
        <v>10600100</v>
      </c>
      <c r="N84" s="13">
        <f>IF($A84="", -1, ($B84*README!$B$2)+($C84*README!$B$3)+($D84*README!$B$4)+($E84*README!$B$5)+($F84*README!$B$6)-1)</f>
        <v>10600099</v>
      </c>
      <c r="O84" s="13">
        <f>IF($A84="", -1, ($B84*README!$B$2)+($C84*README!$B$3)+($D84*README!$B$4)+($E84*README!$B$5)+($F84*README!$B$6)+1)</f>
        <v>10600101</v>
      </c>
      <c r="P84" s="13">
        <f>README!$B$35</f>
        <v>1</v>
      </c>
      <c r="Q84" s="13" t="str">
        <f>JOIN(", ", README!$B$11, 0.1)</f>
        <v>1, 0.1</v>
      </c>
      <c r="R84" s="13" t="str">
        <f>JOIN(", ", README!$L$21, README!$B$27, -1, README!$B$9, 0)</f>
        <v>300000000, -1, -1, -1, 0</v>
      </c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 ht="15.75" customHeight="1">
      <c r="A85" s="35" t="s">
        <v>141</v>
      </c>
      <c r="B85" s="14">
        <v>0.0</v>
      </c>
      <c r="C85" s="14">
        <v>2.0</v>
      </c>
      <c r="D85" s="14">
        <v>6.0</v>
      </c>
      <c r="E85" s="14">
        <v>1.0</v>
      </c>
      <c r="F85" s="14">
        <v>0.0</v>
      </c>
      <c r="G85" s="13">
        <v>0.0</v>
      </c>
      <c r="H85" s="13">
        <v>0.0</v>
      </c>
      <c r="I85" s="13">
        <v>0.0</v>
      </c>
      <c r="J85" s="13">
        <v>0.0</v>
      </c>
      <c r="K85" s="35"/>
      <c r="L85" s="35"/>
      <c r="M85" s="13">
        <f>IF($A85="", -1, ($B85*README!$B$2)+($C85*README!$B$3)+($D85*README!$B$4)+($E85*README!$B$5)+($F85*README!$B$6))</f>
        <v>20600100</v>
      </c>
      <c r="N85" s="13">
        <f>IF($A85="", -1, ($B85*README!$B$2)+($C85*README!$B$3)+($D85*README!$B$4)+($E85*README!$B$5)+($F85*README!$B$6)-1)</f>
        <v>20600099</v>
      </c>
      <c r="O85" s="13">
        <f>IF($A85="", -1, ($B85*README!$B$2)+($C85*README!$B$3)+($D85*README!$B$4)+($E85*README!$B$5)+($F85*README!$B$6)+1)</f>
        <v>20600101</v>
      </c>
      <c r="P85" s="13">
        <f>README!$B$36</f>
        <v>2</v>
      </c>
      <c r="Q85" s="13" t="str">
        <f>JOIN(", ", README!$B$11, 0.1)</f>
        <v>1, 0.1</v>
      </c>
      <c r="R85" s="13" t="str">
        <f>JOIN(", ", README!$L$21, README!$B$27, -1, README!$B$9, 0)</f>
        <v>300000000, -1, -1, -1, 0</v>
      </c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 ht="15.75" customHeight="1">
      <c r="A86" s="35" t="s">
        <v>142</v>
      </c>
      <c r="B86" s="14">
        <v>0.0</v>
      </c>
      <c r="C86" s="14">
        <v>0.0</v>
      </c>
      <c r="D86" s="14">
        <v>6.0</v>
      </c>
      <c r="E86" s="14">
        <v>2.0</v>
      </c>
      <c r="F86" s="14">
        <v>0.0</v>
      </c>
      <c r="G86" s="13">
        <v>0.0</v>
      </c>
      <c r="H86" s="13">
        <v>0.0</v>
      </c>
      <c r="I86" s="13">
        <v>0.0</v>
      </c>
      <c r="J86" s="13">
        <v>0.0</v>
      </c>
      <c r="K86" s="35"/>
      <c r="L86" s="35"/>
      <c r="M86" s="13">
        <f>IF($A86="", -1, ($B86*README!$B$2)+($C86*README!$B$3)+($D86*README!$B$4)+($E86*README!$B$5)+($F86*README!$B$6))</f>
        <v>600200</v>
      </c>
      <c r="N86" s="13">
        <f>IF($A86="", -1, ($B86*README!$B$2)+($C86*README!$B$3)+($D86*README!$B$4)+($E86*README!$B$5)+($F86*README!$B$6)-1)</f>
        <v>600199</v>
      </c>
      <c r="O86" s="13">
        <f>IF($A86="", -1, ($B86*README!$B$2)+($C86*README!$B$3)+($D86*README!$B$4)+($E86*README!$B$5)+($F86*README!$B$6)+1)</f>
        <v>600201</v>
      </c>
      <c r="P86" s="13">
        <f>README!$B$34</f>
        <v>0</v>
      </c>
      <c r="Q86" s="13" t="str">
        <f>JOIN(", ", README!$B$10, 1)</f>
        <v>0, 1</v>
      </c>
      <c r="R86" s="13" t="str">
        <f>JOIN(", ", README!$L$21, README!$B$27, -1, README!$B$9, 0)</f>
        <v>300000000, -1, -1, -1, 0</v>
      </c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 ht="15.75" customHeight="1">
      <c r="A87" s="35" t="s">
        <v>143</v>
      </c>
      <c r="B87" s="14">
        <v>0.0</v>
      </c>
      <c r="C87" s="14">
        <v>0.0</v>
      </c>
      <c r="D87" s="14">
        <v>6.0</v>
      </c>
      <c r="E87" s="14">
        <v>2.0</v>
      </c>
      <c r="F87" s="14">
        <v>1.0</v>
      </c>
      <c r="G87" s="13">
        <v>0.0</v>
      </c>
      <c r="H87" s="13">
        <v>0.0</v>
      </c>
      <c r="I87" s="13">
        <v>0.0</v>
      </c>
      <c r="J87" s="13">
        <v>0.0</v>
      </c>
      <c r="K87" s="35"/>
      <c r="L87" s="35"/>
      <c r="M87" s="13">
        <f>IF($A87="", -1, ($B87*README!$B$2)+($C87*README!$B$3)+($D87*README!$B$4)+($E87*README!$B$5)+($F87*README!$B$6))</f>
        <v>600201</v>
      </c>
      <c r="N87" s="13">
        <f>IF($A87="", -1, ($B87*README!$B$2)+($C87*README!$B$3)+($D87*README!$B$4)+($E87*README!$B$5)+($F87*README!$B$6)-1)</f>
        <v>600200</v>
      </c>
      <c r="O87" s="13">
        <f>IF($A87="", -1, ($B87*README!$B$2)+($C87*README!$B$3)+($D87*README!$B$4)+($E87*README!$B$5)+($F87*README!$B$6)+1)</f>
        <v>600202</v>
      </c>
      <c r="P87" s="13">
        <f>README!$B$34</f>
        <v>0</v>
      </c>
      <c r="Q87" s="13" t="str">
        <f>JOIN(", ", README!$B$11, 0.1)</f>
        <v>1, 0.1</v>
      </c>
      <c r="R87" s="13" t="str">
        <f>JOIN(", ", README!$L$21, README!$B$27, -1, README!$B$9, 0)</f>
        <v>300000000, -1, -1, -1, 0</v>
      </c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 ht="15.75" customHeight="1">
      <c r="A88" s="35" t="s">
        <v>144</v>
      </c>
      <c r="B88" s="14">
        <v>0.0</v>
      </c>
      <c r="C88" s="14">
        <v>1.0</v>
      </c>
      <c r="D88" s="14">
        <v>6.0</v>
      </c>
      <c r="E88" s="14">
        <v>2.0</v>
      </c>
      <c r="F88" s="14">
        <v>0.0</v>
      </c>
      <c r="G88" s="13">
        <v>0.0</v>
      </c>
      <c r="H88" s="13">
        <v>0.0</v>
      </c>
      <c r="I88" s="13">
        <v>0.0</v>
      </c>
      <c r="J88" s="13">
        <v>0.0</v>
      </c>
      <c r="K88" s="35"/>
      <c r="L88" s="35"/>
      <c r="M88" s="13">
        <f>IF($A88="", -1, ($B88*README!$B$2)+($C88*README!$B$3)+($D88*README!$B$4)+($E88*README!$B$5)+($F88*README!$B$6))</f>
        <v>10600200</v>
      </c>
      <c r="N88" s="13">
        <f>IF($A88="", -1, ($B88*README!$B$2)+($C88*README!$B$3)+($D88*README!$B$4)+($E88*README!$B$5)+($F88*README!$B$6)-1)</f>
        <v>10600199</v>
      </c>
      <c r="O88" s="13">
        <f>IF($A88="", -1, ($B88*README!$B$2)+($C88*README!$B$3)+($D88*README!$B$4)+($E88*README!$B$5)+($F88*README!$B$6)+1)</f>
        <v>10600201</v>
      </c>
      <c r="P88" s="13">
        <f>README!$B$35</f>
        <v>1</v>
      </c>
      <c r="Q88" s="13" t="str">
        <f>JOIN(", ", README!$B$11, 0.1)</f>
        <v>1, 0.1</v>
      </c>
      <c r="R88" s="13" t="str">
        <f>JOIN(", ", README!$L$21, README!$B$27, -1, README!$B$9, 0)</f>
        <v>300000000, -1, -1, -1, 0</v>
      </c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 ht="15.75" customHeight="1">
      <c r="A89" s="35" t="s">
        <v>145</v>
      </c>
      <c r="B89" s="14">
        <v>0.0</v>
      </c>
      <c r="C89" s="14">
        <v>2.0</v>
      </c>
      <c r="D89" s="14">
        <v>6.0</v>
      </c>
      <c r="E89" s="14">
        <v>2.0</v>
      </c>
      <c r="F89" s="14">
        <v>0.0</v>
      </c>
      <c r="G89" s="13">
        <v>0.0</v>
      </c>
      <c r="H89" s="13">
        <v>0.0</v>
      </c>
      <c r="I89" s="13">
        <v>0.0</v>
      </c>
      <c r="J89" s="13">
        <v>0.0</v>
      </c>
      <c r="K89" s="35"/>
      <c r="L89" s="35"/>
      <c r="M89" s="13">
        <f>IF($A89="", -1, ($B89*README!$B$2)+($C89*README!$B$3)+($D89*README!$B$4)+($E89*README!$B$5)+($F89*README!$B$6))</f>
        <v>20600200</v>
      </c>
      <c r="N89" s="13">
        <f>IF($A89="", -1, ($B89*README!$B$2)+($C89*README!$B$3)+($D89*README!$B$4)+($E89*README!$B$5)+($F89*README!$B$6)-1)</f>
        <v>20600199</v>
      </c>
      <c r="O89" s="13">
        <f>IF($A89="", -1, ($B89*README!$B$2)+($C89*README!$B$3)+($D89*README!$B$4)+($E89*README!$B$5)+($F89*README!$B$6)+1)</f>
        <v>20600201</v>
      </c>
      <c r="P89" s="13">
        <f>README!$B$36</f>
        <v>2</v>
      </c>
      <c r="Q89" s="13" t="str">
        <f>JOIN(", ", README!$B$11, 0.1)</f>
        <v>1, 0.1</v>
      </c>
      <c r="R89" s="13" t="str">
        <f>JOIN(", ", README!$L$21, README!$B$27, -1, README!$B$9, 0)</f>
        <v>300000000, -1, -1, -1, 0</v>
      </c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 ht="15.75" customHeight="1">
      <c r="A90" s="35" t="s">
        <v>146</v>
      </c>
      <c r="B90" s="14">
        <v>0.0</v>
      </c>
      <c r="C90" s="14">
        <v>0.0</v>
      </c>
      <c r="D90" s="14">
        <v>7.0</v>
      </c>
      <c r="E90" s="14">
        <v>0.0</v>
      </c>
      <c r="F90" s="14">
        <v>0.0</v>
      </c>
      <c r="G90" s="13">
        <v>0.0</v>
      </c>
      <c r="H90" s="13">
        <v>0.0</v>
      </c>
      <c r="I90" s="13">
        <v>0.0</v>
      </c>
      <c r="J90" s="13">
        <v>0.0</v>
      </c>
      <c r="K90" s="35"/>
      <c r="L90" s="35"/>
      <c r="M90" s="13">
        <f>IF($A90="", -1, ($B90*README!$B$2)+($C90*README!$B$3)+($D90*README!$B$4)+($E90*README!$B$5)+($F90*README!$B$6))</f>
        <v>700000</v>
      </c>
      <c r="N90" s="13">
        <f>IF($A90="", -1, ($B90*README!$B$2)+($C90*README!$B$3)+($D90*README!$B$4)+($E90*README!$B$5)+($F90*README!$B$6)-1)</f>
        <v>699999</v>
      </c>
      <c r="O90" s="13">
        <f>IF($A90="", -1, ($B90*README!$B$2)+($C90*README!$B$3)+($D90*README!$B$4)+($E90*README!$B$5)+($F90*README!$B$6)+1)</f>
        <v>700001</v>
      </c>
      <c r="P90" s="13">
        <f>README!$B$34</f>
        <v>0</v>
      </c>
      <c r="Q90" s="13" t="str">
        <f>JOIN(", ", README!$B$10, 1)</f>
        <v>0, 1</v>
      </c>
      <c r="R90" s="13" t="str">
        <f>JOIN(", ", README!$L$21, README!$B$27, -1, README!$B$9, 0)</f>
        <v>300000000, -1, -1, -1, 0</v>
      </c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 ht="15.75" customHeight="1">
      <c r="A91" s="35" t="s">
        <v>147</v>
      </c>
      <c r="B91" s="14">
        <v>0.0</v>
      </c>
      <c r="C91" s="14">
        <v>0.0</v>
      </c>
      <c r="D91" s="14">
        <v>7.0</v>
      </c>
      <c r="E91" s="14">
        <v>0.0</v>
      </c>
      <c r="F91" s="14">
        <v>1.0</v>
      </c>
      <c r="G91" s="13">
        <v>0.0</v>
      </c>
      <c r="H91" s="13">
        <v>0.0</v>
      </c>
      <c r="I91" s="13">
        <v>0.0</v>
      </c>
      <c r="J91" s="13">
        <v>0.0</v>
      </c>
      <c r="K91" s="35"/>
      <c r="L91" s="35"/>
      <c r="M91" s="13">
        <f>IF($A91="", -1, ($B91*README!$B$2)+($C91*README!$B$3)+($D91*README!$B$4)+($E91*README!$B$5)+($F91*README!$B$6))</f>
        <v>700001</v>
      </c>
      <c r="N91" s="13">
        <f>IF($A91="", -1, ($B91*README!$B$2)+($C91*README!$B$3)+($D91*README!$B$4)+($E91*README!$B$5)+($F91*README!$B$6)-1)</f>
        <v>700000</v>
      </c>
      <c r="O91" s="13">
        <f>IF($A91="", -1, ($B91*README!$B$2)+($C91*README!$B$3)+($D91*README!$B$4)+($E91*README!$B$5)+($F91*README!$B$6)+1)</f>
        <v>700002</v>
      </c>
      <c r="P91" s="13">
        <f>README!$B$34</f>
        <v>0</v>
      </c>
      <c r="Q91" s="13" t="str">
        <f>JOIN(", ", README!$B$11, 0.1)</f>
        <v>1, 0.1</v>
      </c>
      <c r="R91" s="13" t="str">
        <f>JOIN(", ", README!$L$21, README!$B$27, -1, README!$B$9, 0)</f>
        <v>300000000, -1, -1, -1, 0</v>
      </c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 ht="15.75" customHeight="1">
      <c r="A92" s="35" t="s">
        <v>148</v>
      </c>
      <c r="B92" s="14">
        <v>0.0</v>
      </c>
      <c r="C92" s="14">
        <v>1.0</v>
      </c>
      <c r="D92" s="14">
        <v>7.0</v>
      </c>
      <c r="E92" s="14">
        <v>0.0</v>
      </c>
      <c r="F92" s="14">
        <v>0.0</v>
      </c>
      <c r="G92" s="13">
        <v>0.0</v>
      </c>
      <c r="H92" s="13">
        <v>0.0</v>
      </c>
      <c r="I92" s="13">
        <v>0.0</v>
      </c>
      <c r="J92" s="13">
        <v>0.0</v>
      </c>
      <c r="K92" s="35"/>
      <c r="L92" s="35"/>
      <c r="M92" s="13">
        <f>IF($A92="", -1, ($B92*README!$B$2)+($C92*README!$B$3)+($D92*README!$B$4)+($E92*README!$B$5)+($F92*README!$B$6))</f>
        <v>10700000</v>
      </c>
      <c r="N92" s="13">
        <f>IF($A92="", -1, ($B92*README!$B$2)+($C92*README!$B$3)+($D92*README!$B$4)+($E92*README!$B$5)+($F92*README!$B$6)-1)</f>
        <v>10699999</v>
      </c>
      <c r="O92" s="13">
        <f>IF($A92="", -1, ($B92*README!$B$2)+($C92*README!$B$3)+($D92*README!$B$4)+($E92*README!$B$5)+($F92*README!$B$6)+1)</f>
        <v>10700001</v>
      </c>
      <c r="P92" s="13">
        <f>README!$B$35</f>
        <v>1</v>
      </c>
      <c r="Q92" s="13" t="str">
        <f>JOIN(", ", README!$B$11, 0.1)</f>
        <v>1, 0.1</v>
      </c>
      <c r="R92" s="13" t="str">
        <f>JOIN(", ", README!$L$21, README!$B$27, -1, README!$B$9, 0)</f>
        <v>300000000, -1, -1, -1, 0</v>
      </c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 ht="15.75" customHeight="1">
      <c r="A93" s="35" t="s">
        <v>149</v>
      </c>
      <c r="B93" s="14">
        <v>0.0</v>
      </c>
      <c r="C93" s="14">
        <v>2.0</v>
      </c>
      <c r="D93" s="14">
        <v>7.0</v>
      </c>
      <c r="E93" s="14">
        <v>0.0</v>
      </c>
      <c r="F93" s="14">
        <v>0.0</v>
      </c>
      <c r="G93" s="13">
        <v>0.0</v>
      </c>
      <c r="H93" s="13">
        <v>0.0</v>
      </c>
      <c r="I93" s="13">
        <v>0.0</v>
      </c>
      <c r="J93" s="13">
        <v>0.0</v>
      </c>
      <c r="K93" s="35"/>
      <c r="L93" s="35"/>
      <c r="M93" s="13">
        <f>IF($A93="", -1, ($B93*README!$B$2)+($C93*README!$B$3)+($D93*README!$B$4)+($E93*README!$B$5)+($F93*README!$B$6))</f>
        <v>20700000</v>
      </c>
      <c r="N93" s="13">
        <f>IF($A93="", -1, ($B93*README!$B$2)+($C93*README!$B$3)+($D93*README!$B$4)+($E93*README!$B$5)+($F93*README!$B$6)-1)</f>
        <v>20699999</v>
      </c>
      <c r="O93" s="13">
        <f>IF($A93="", -1, ($B93*README!$B$2)+($C93*README!$B$3)+($D93*README!$B$4)+($E93*README!$B$5)+($F93*README!$B$6)+1)</f>
        <v>20700001</v>
      </c>
      <c r="P93" s="13">
        <f>README!$B$36</f>
        <v>2</v>
      </c>
      <c r="Q93" s="13" t="str">
        <f>JOIN(", ", README!$B$11, 0.1)</f>
        <v>1, 0.1</v>
      </c>
      <c r="R93" s="13" t="str">
        <f>JOIN(", ", README!$L$21, README!$B$27, -1, README!$B$9, 0)</f>
        <v>300000000, -1, -1, -1, 0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 ht="15.75" customHeight="1">
      <c r="A94" s="35" t="s">
        <v>150</v>
      </c>
      <c r="B94" s="14">
        <v>0.0</v>
      </c>
      <c r="C94" s="14">
        <v>0.0</v>
      </c>
      <c r="D94" s="14">
        <v>7.0</v>
      </c>
      <c r="E94" s="14">
        <v>1.0</v>
      </c>
      <c r="F94" s="14">
        <v>0.0</v>
      </c>
      <c r="G94" s="13">
        <v>0.0</v>
      </c>
      <c r="H94" s="13">
        <v>0.0</v>
      </c>
      <c r="I94" s="13">
        <v>0.0</v>
      </c>
      <c r="J94" s="13">
        <v>0.0</v>
      </c>
      <c r="K94" s="35"/>
      <c r="L94" s="35"/>
      <c r="M94" s="13">
        <f>IF($A94="", -1, ($B94*README!$B$2)+($C94*README!$B$3)+($D94*README!$B$4)+($E94*README!$B$5)+($F94*README!$B$6))</f>
        <v>700100</v>
      </c>
      <c r="N94" s="13">
        <f>IF($A94="", -1, ($B94*README!$B$2)+($C94*README!$B$3)+($D94*README!$B$4)+($E94*README!$B$5)+($F94*README!$B$6)-1)</f>
        <v>700099</v>
      </c>
      <c r="O94" s="13">
        <f>IF($A94="", -1, ($B94*README!$B$2)+($C94*README!$B$3)+($D94*README!$B$4)+($E94*README!$B$5)+($F94*README!$B$6)+1)</f>
        <v>700101</v>
      </c>
      <c r="P94" s="13">
        <f>README!$B$34</f>
        <v>0</v>
      </c>
      <c r="Q94" s="13" t="str">
        <f>JOIN(", ", README!$B$10, 1)</f>
        <v>0, 1</v>
      </c>
      <c r="R94" s="13" t="str">
        <f>JOIN(", ", README!$L$21, README!$B$27, -1, README!$B$9, 0)</f>
        <v>300000000, -1, -1, -1, 0</v>
      </c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 ht="15.75" customHeight="1">
      <c r="A95" s="35" t="s">
        <v>151</v>
      </c>
      <c r="B95" s="14">
        <v>0.0</v>
      </c>
      <c r="C95" s="14">
        <v>0.0</v>
      </c>
      <c r="D95" s="14">
        <v>7.0</v>
      </c>
      <c r="E95" s="14">
        <v>1.0</v>
      </c>
      <c r="F95" s="14">
        <v>1.0</v>
      </c>
      <c r="G95" s="13">
        <v>0.0</v>
      </c>
      <c r="H95" s="13">
        <v>0.0</v>
      </c>
      <c r="I95" s="13">
        <v>0.0</v>
      </c>
      <c r="J95" s="13">
        <v>0.0</v>
      </c>
      <c r="K95" s="35"/>
      <c r="L95" s="35"/>
      <c r="M95" s="13">
        <f>IF($A95="", -1, ($B95*README!$B$2)+($C95*README!$B$3)+($D95*README!$B$4)+($E95*README!$B$5)+($F95*README!$B$6))</f>
        <v>700101</v>
      </c>
      <c r="N95" s="13">
        <f>IF($A95="", -1, ($B95*README!$B$2)+($C95*README!$B$3)+($D95*README!$B$4)+($E95*README!$B$5)+($F95*README!$B$6)-1)</f>
        <v>700100</v>
      </c>
      <c r="O95" s="13">
        <f>IF($A95="", -1, ($B95*README!$B$2)+($C95*README!$B$3)+($D95*README!$B$4)+($E95*README!$B$5)+($F95*README!$B$6)+1)</f>
        <v>700102</v>
      </c>
      <c r="P95" s="13">
        <f>README!$B$34</f>
        <v>0</v>
      </c>
      <c r="Q95" s="13" t="str">
        <f>JOIN(", ", README!$B$11, 0.1)</f>
        <v>1, 0.1</v>
      </c>
      <c r="R95" s="13" t="str">
        <f>JOIN(", ", README!$L$21, README!$B$27, -1, README!$B$9, 0)</f>
        <v>300000000, -1, -1, -1, 0</v>
      </c>
      <c r="S95" s="35"/>
      <c r="T95" s="13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 ht="15.75" customHeight="1">
      <c r="A96" s="35" t="s">
        <v>152</v>
      </c>
      <c r="B96" s="14">
        <v>0.0</v>
      </c>
      <c r="C96" s="14">
        <v>1.0</v>
      </c>
      <c r="D96" s="14">
        <v>7.0</v>
      </c>
      <c r="E96" s="14">
        <v>1.0</v>
      </c>
      <c r="F96" s="14">
        <v>0.0</v>
      </c>
      <c r="G96" s="13">
        <v>0.0</v>
      </c>
      <c r="H96" s="13">
        <v>0.0</v>
      </c>
      <c r="I96" s="13">
        <v>0.0</v>
      </c>
      <c r="J96" s="13">
        <v>0.0</v>
      </c>
      <c r="K96" s="35"/>
      <c r="L96" s="35"/>
      <c r="M96" s="13">
        <f>IF($A96="", -1, ($B96*README!$B$2)+($C96*README!$B$3)+($D96*README!$B$4)+($E96*README!$B$5)+($F96*README!$B$6))</f>
        <v>10700100</v>
      </c>
      <c r="N96" s="13">
        <f>IF($A96="", -1, ($B96*README!$B$2)+($C96*README!$B$3)+($D96*README!$B$4)+($E96*README!$B$5)+($F96*README!$B$6)-1)</f>
        <v>10700099</v>
      </c>
      <c r="O96" s="13">
        <f>IF($A96="", -1, ($B96*README!$B$2)+($C96*README!$B$3)+($D96*README!$B$4)+($E96*README!$B$5)+($F96*README!$B$6)+1)</f>
        <v>10700101</v>
      </c>
      <c r="P96" s="13">
        <f>README!$B$35</f>
        <v>1</v>
      </c>
      <c r="Q96" s="13" t="str">
        <f>JOIN(", ", README!$B$11, 0.1)</f>
        <v>1, 0.1</v>
      </c>
      <c r="R96" s="13" t="str">
        <f>JOIN(", ", README!$L$21, README!$B$27, -1, README!$B$9, 0)</f>
        <v>300000000, -1, -1, -1, 0</v>
      </c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 ht="15.75" customHeight="1">
      <c r="A97" s="35" t="s">
        <v>153</v>
      </c>
      <c r="B97" s="14">
        <v>0.0</v>
      </c>
      <c r="C97" s="14">
        <v>2.0</v>
      </c>
      <c r="D97" s="14">
        <v>7.0</v>
      </c>
      <c r="E97" s="14">
        <v>1.0</v>
      </c>
      <c r="F97" s="14">
        <v>0.0</v>
      </c>
      <c r="G97" s="13">
        <v>0.0</v>
      </c>
      <c r="H97" s="13">
        <v>0.0</v>
      </c>
      <c r="I97" s="13">
        <v>0.0</v>
      </c>
      <c r="J97" s="13">
        <v>0.0</v>
      </c>
      <c r="K97" s="35"/>
      <c r="L97" s="35"/>
      <c r="M97" s="13">
        <f>IF($A97="", -1, ($B97*README!$B$2)+($C97*README!$B$3)+($D97*README!$B$4)+($E97*README!$B$5)+($F97*README!$B$6))</f>
        <v>20700100</v>
      </c>
      <c r="N97" s="13">
        <f>IF($A97="", -1, ($B97*README!$B$2)+($C97*README!$B$3)+($D97*README!$B$4)+($E97*README!$B$5)+($F97*README!$B$6)-1)</f>
        <v>20700099</v>
      </c>
      <c r="O97" s="13">
        <f>IF($A97="", -1, ($B97*README!$B$2)+($C97*README!$B$3)+($D97*README!$B$4)+($E97*README!$B$5)+($F97*README!$B$6)+1)</f>
        <v>20700101</v>
      </c>
      <c r="P97" s="13">
        <f>README!$B$36</f>
        <v>2</v>
      </c>
      <c r="Q97" s="13" t="str">
        <f>JOIN(", ", README!$B$11, 0.1)</f>
        <v>1, 0.1</v>
      </c>
      <c r="R97" s="13" t="str">
        <f>JOIN(", ", README!$L$21, README!$B$27, -1, README!$B$9, 0)</f>
        <v>300000000, -1, -1, -1, 0</v>
      </c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 ht="15.75" customHeight="1">
      <c r="A98" s="35" t="s">
        <v>154</v>
      </c>
      <c r="B98" s="14">
        <v>0.0</v>
      </c>
      <c r="C98" s="14">
        <v>0.0</v>
      </c>
      <c r="D98" s="14">
        <v>7.0</v>
      </c>
      <c r="E98" s="14">
        <v>2.0</v>
      </c>
      <c r="F98" s="14">
        <v>0.0</v>
      </c>
      <c r="G98" s="13">
        <v>0.0</v>
      </c>
      <c r="H98" s="13">
        <v>0.0</v>
      </c>
      <c r="I98" s="13">
        <v>0.0</v>
      </c>
      <c r="J98" s="13">
        <v>0.0</v>
      </c>
      <c r="K98" s="35"/>
      <c r="L98" s="35"/>
      <c r="M98" s="13">
        <f>IF($A98="", -1, ($B98*README!$B$2)+($C98*README!$B$3)+($D98*README!$B$4)+($E98*README!$B$5)+($F98*README!$B$6))</f>
        <v>700200</v>
      </c>
      <c r="N98" s="13">
        <f>IF($A98="", -1, ($B98*README!$B$2)+($C98*README!$B$3)+($D98*README!$B$4)+($E98*README!$B$5)+($F98*README!$B$6)-1)</f>
        <v>700199</v>
      </c>
      <c r="O98" s="13">
        <f>IF($A98="", -1, ($B98*README!$B$2)+($C98*README!$B$3)+($D98*README!$B$4)+($E98*README!$B$5)+($F98*README!$B$6)+1)</f>
        <v>700201</v>
      </c>
      <c r="P98" s="13">
        <f>README!$B$34</f>
        <v>0</v>
      </c>
      <c r="Q98" s="13" t="str">
        <f>JOIN(", ", README!$B$10, 1)</f>
        <v>0, 1</v>
      </c>
      <c r="R98" s="13" t="str">
        <f>JOIN(", ", README!$L$21, README!$B$27, -1, README!$B$9, 0)</f>
        <v>300000000, -1, -1, -1, 0</v>
      </c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 ht="15.75" customHeight="1">
      <c r="A99" s="35" t="s">
        <v>155</v>
      </c>
      <c r="B99" s="14">
        <v>0.0</v>
      </c>
      <c r="C99" s="14">
        <v>0.0</v>
      </c>
      <c r="D99" s="14">
        <v>7.0</v>
      </c>
      <c r="E99" s="14">
        <v>2.0</v>
      </c>
      <c r="F99" s="14">
        <v>1.0</v>
      </c>
      <c r="G99" s="13">
        <v>0.0</v>
      </c>
      <c r="H99" s="13">
        <v>0.0</v>
      </c>
      <c r="I99" s="13">
        <v>0.0</v>
      </c>
      <c r="J99" s="13">
        <v>0.0</v>
      </c>
      <c r="K99" s="35"/>
      <c r="L99" s="35"/>
      <c r="M99" s="13">
        <f>IF($A99="", -1, ($B99*README!$B$2)+($C99*README!$B$3)+($D99*README!$B$4)+($E99*README!$B$5)+($F99*README!$B$6))</f>
        <v>700201</v>
      </c>
      <c r="N99" s="13">
        <f>IF($A99="", -1, ($B99*README!$B$2)+($C99*README!$B$3)+($D99*README!$B$4)+($E99*README!$B$5)+($F99*README!$B$6)-1)</f>
        <v>700200</v>
      </c>
      <c r="O99" s="13">
        <f>IF($A99="", -1, ($B99*README!$B$2)+($C99*README!$B$3)+($D99*README!$B$4)+($E99*README!$B$5)+($F99*README!$B$6)+1)</f>
        <v>700202</v>
      </c>
      <c r="P99" s="13">
        <f>README!$B$34</f>
        <v>0</v>
      </c>
      <c r="Q99" s="13" t="str">
        <f>JOIN(", ", README!$B$11, 0.1)</f>
        <v>1, 0.1</v>
      </c>
      <c r="R99" s="13" t="str">
        <f>JOIN(", ", README!$L$21, README!$B$27, -1, README!$B$9, 0)</f>
        <v>300000000, -1, -1, -1, 0</v>
      </c>
      <c r="S99" s="35"/>
      <c r="T99" s="13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 ht="15.75" customHeight="1">
      <c r="A100" s="35" t="s">
        <v>156</v>
      </c>
      <c r="B100" s="14">
        <v>0.0</v>
      </c>
      <c r="C100" s="14">
        <v>1.0</v>
      </c>
      <c r="D100" s="14">
        <v>7.0</v>
      </c>
      <c r="E100" s="14">
        <v>2.0</v>
      </c>
      <c r="F100" s="14">
        <v>0.0</v>
      </c>
      <c r="G100" s="13">
        <v>0.0</v>
      </c>
      <c r="H100" s="13">
        <v>0.0</v>
      </c>
      <c r="I100" s="13">
        <v>0.0</v>
      </c>
      <c r="J100" s="13">
        <v>0.0</v>
      </c>
      <c r="K100" s="35"/>
      <c r="L100" s="35"/>
      <c r="M100" s="13">
        <f>IF($A100="", -1, ($B100*README!$B$2)+($C100*README!$B$3)+($D100*README!$B$4)+($E100*README!$B$5)+($F100*README!$B$6))</f>
        <v>10700200</v>
      </c>
      <c r="N100" s="13">
        <f>IF($A100="", -1, ($B100*README!$B$2)+($C100*README!$B$3)+($D100*README!$B$4)+($E100*README!$B$5)+($F100*README!$B$6)-1)</f>
        <v>10700199</v>
      </c>
      <c r="O100" s="13">
        <f>IF($A100="", -1, ($B100*README!$B$2)+($C100*README!$B$3)+($D100*README!$B$4)+($E100*README!$B$5)+($F100*README!$B$6)+1)</f>
        <v>10700201</v>
      </c>
      <c r="P100" s="13">
        <f>README!$B$35</f>
        <v>1</v>
      </c>
      <c r="Q100" s="13" t="str">
        <f>JOIN(", ", README!$B$11, 0.1)</f>
        <v>1, 0.1</v>
      </c>
      <c r="R100" s="13" t="str">
        <f>JOIN(", ", README!$L$21, README!$B$27, -1, README!$B$9, 0)</f>
        <v>300000000, -1, -1, -1, 0</v>
      </c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 ht="15.75" customHeight="1">
      <c r="A101" s="35" t="s">
        <v>157</v>
      </c>
      <c r="B101" s="14">
        <v>0.0</v>
      </c>
      <c r="C101" s="14">
        <v>2.0</v>
      </c>
      <c r="D101" s="14">
        <v>7.0</v>
      </c>
      <c r="E101" s="14">
        <v>2.0</v>
      </c>
      <c r="F101" s="14">
        <v>0.0</v>
      </c>
      <c r="G101" s="13">
        <v>0.0</v>
      </c>
      <c r="H101" s="13">
        <v>0.0</v>
      </c>
      <c r="I101" s="13">
        <v>0.0</v>
      </c>
      <c r="J101" s="13">
        <v>0.0</v>
      </c>
      <c r="K101" s="35"/>
      <c r="L101" s="35"/>
      <c r="M101" s="13">
        <f>IF($A101="", -1, ($B101*README!$B$2)+($C101*README!$B$3)+($D101*README!$B$4)+($E101*README!$B$5)+($F101*README!$B$6))</f>
        <v>20700200</v>
      </c>
      <c r="N101" s="13">
        <f>IF($A101="", -1, ($B101*README!$B$2)+($C101*README!$B$3)+($D101*README!$B$4)+($E101*README!$B$5)+($F101*README!$B$6)-1)</f>
        <v>20700199</v>
      </c>
      <c r="O101" s="13">
        <f>IF($A101="", -1, ($B101*README!$B$2)+($C101*README!$B$3)+($D101*README!$B$4)+($E101*README!$B$5)+($F101*README!$B$6)+1)</f>
        <v>20700201</v>
      </c>
      <c r="P101" s="13">
        <f>README!$B$36</f>
        <v>2</v>
      </c>
      <c r="Q101" s="13" t="str">
        <f>JOIN(", ", README!$B$11, 0.1)</f>
        <v>1, 0.1</v>
      </c>
      <c r="R101" s="13" t="str">
        <f>JOIN(", ", README!$L$21, README!$B$27, -1, README!$B$9, 0)</f>
        <v>300000000, -1, -1, -1, 0</v>
      </c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 ht="15.75" customHeight="1">
      <c r="A102" s="35" t="s">
        <v>158</v>
      </c>
      <c r="B102" s="14">
        <v>0.0</v>
      </c>
      <c r="C102" s="14">
        <v>0.0</v>
      </c>
      <c r="D102" s="14">
        <v>8.0</v>
      </c>
      <c r="E102" s="14">
        <v>0.0</v>
      </c>
      <c r="F102" s="14">
        <v>0.0</v>
      </c>
      <c r="G102" s="13">
        <v>0.0</v>
      </c>
      <c r="H102" s="13">
        <v>0.0</v>
      </c>
      <c r="I102" s="13">
        <v>0.0</v>
      </c>
      <c r="J102" s="13">
        <v>0.0</v>
      </c>
      <c r="K102" s="35"/>
      <c r="L102" s="35"/>
      <c r="M102" s="13">
        <f>IF($A102="", -1, ($B102*README!$B$2)+($C102*README!$B$3)+($D102*README!$B$4)+($E102*README!$B$5)+($F102*README!$B$6))</f>
        <v>800000</v>
      </c>
      <c r="N102" s="13">
        <f>IF($A102="", -1, ($B102*README!$B$2)+($C102*README!$B$3)+($D102*README!$B$4)+($E102*README!$B$5)+($F102*README!$B$6)-1)</f>
        <v>799999</v>
      </c>
      <c r="O102" s="13">
        <f>IF($A102="", -1, ($B102*README!$B$2)+($C102*README!$B$3)+($D102*README!$B$4)+($E102*README!$B$5)+($F102*README!$B$6)+1)</f>
        <v>800001</v>
      </c>
      <c r="P102" s="13">
        <f>README!$B$34</f>
        <v>0</v>
      </c>
      <c r="Q102" s="13" t="str">
        <f>JOIN(", ", README!$B$10, 1)</f>
        <v>0, 1</v>
      </c>
      <c r="R102" s="13" t="str">
        <f>JOIN(", ", README!$L$21, README!$B$27, -1, README!$B$9, 0)</f>
        <v>300000000, -1, -1, -1, 0</v>
      </c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</row>
    <row r="103" ht="15.75" customHeight="1">
      <c r="A103" s="35" t="s">
        <v>159</v>
      </c>
      <c r="B103" s="14">
        <v>0.0</v>
      </c>
      <c r="C103" s="14">
        <v>0.0</v>
      </c>
      <c r="D103" s="14">
        <v>8.0</v>
      </c>
      <c r="E103" s="14">
        <v>0.0</v>
      </c>
      <c r="F103" s="14">
        <v>1.0</v>
      </c>
      <c r="G103" s="13">
        <v>0.0</v>
      </c>
      <c r="H103" s="13">
        <v>0.0</v>
      </c>
      <c r="I103" s="13">
        <v>0.0</v>
      </c>
      <c r="J103" s="13">
        <v>0.0</v>
      </c>
      <c r="K103" s="35"/>
      <c r="L103" s="35"/>
      <c r="M103" s="13">
        <f>IF($A103="", -1, ($B103*README!$B$2)+($C103*README!$B$3)+($D103*README!$B$4)+($E103*README!$B$5)+($F103*README!$B$6))</f>
        <v>800001</v>
      </c>
      <c r="N103" s="13">
        <f>IF($A103="", -1, ($B103*README!$B$2)+($C103*README!$B$3)+($D103*README!$B$4)+($E103*README!$B$5)+($F103*README!$B$6)-1)</f>
        <v>800000</v>
      </c>
      <c r="O103" s="13">
        <f>IF($A103="", -1, ($B103*README!$B$2)+($C103*README!$B$3)+($D103*README!$B$4)+($E103*README!$B$5)+($F103*README!$B$6)+1)</f>
        <v>800002</v>
      </c>
      <c r="P103" s="13">
        <f>README!$B$34</f>
        <v>0</v>
      </c>
      <c r="Q103" s="13" t="str">
        <f>JOIN(", ", README!$B$11, 0.1)</f>
        <v>1, 0.1</v>
      </c>
      <c r="R103" s="13" t="str">
        <f>JOIN(", ", README!$L$21, README!$B$27, -1, README!$B$9, 0)</f>
        <v>300000000, -1, -1, -1, 0</v>
      </c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</row>
    <row r="104" ht="15.75" customHeight="1">
      <c r="A104" s="35" t="s">
        <v>160</v>
      </c>
      <c r="B104" s="14">
        <v>0.0</v>
      </c>
      <c r="C104" s="14">
        <v>1.0</v>
      </c>
      <c r="D104" s="14">
        <v>8.0</v>
      </c>
      <c r="E104" s="14">
        <v>0.0</v>
      </c>
      <c r="F104" s="14">
        <v>0.0</v>
      </c>
      <c r="G104" s="13">
        <v>0.0</v>
      </c>
      <c r="H104" s="13">
        <v>0.0</v>
      </c>
      <c r="I104" s="13">
        <v>0.0</v>
      </c>
      <c r="J104" s="13">
        <v>0.0</v>
      </c>
      <c r="K104" s="35"/>
      <c r="L104" s="35"/>
      <c r="M104" s="13">
        <f>IF($A104="", -1, ($B104*README!$B$2)+($C104*README!$B$3)+($D104*README!$B$4)+($E104*README!$B$5)+($F104*README!$B$6))</f>
        <v>10800000</v>
      </c>
      <c r="N104" s="13">
        <f>IF($A104="", -1, ($B104*README!$B$2)+($C104*README!$B$3)+($D104*README!$B$4)+($E104*README!$B$5)+($F104*README!$B$6)-1)</f>
        <v>10799999</v>
      </c>
      <c r="O104" s="13">
        <f>IF($A104="", -1, ($B104*README!$B$2)+($C104*README!$B$3)+($D104*README!$B$4)+($E104*README!$B$5)+($F104*README!$B$6)+1)</f>
        <v>10800001</v>
      </c>
      <c r="P104" s="13">
        <f>README!$B$35</f>
        <v>1</v>
      </c>
      <c r="Q104" s="13" t="str">
        <f>JOIN(", ", README!$B$11, 0.1)</f>
        <v>1, 0.1</v>
      </c>
      <c r="R104" s="13" t="str">
        <f>JOIN(", ", README!$L$21, README!$B$27, -1, README!$B$9, 0)</f>
        <v>300000000, -1, -1, -1, 0</v>
      </c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</row>
    <row r="105" ht="15.75" customHeight="1">
      <c r="A105" s="35" t="s">
        <v>161</v>
      </c>
      <c r="B105" s="14">
        <v>0.0</v>
      </c>
      <c r="C105" s="14">
        <v>2.0</v>
      </c>
      <c r="D105" s="14">
        <v>8.0</v>
      </c>
      <c r="E105" s="14">
        <v>0.0</v>
      </c>
      <c r="F105" s="14">
        <v>0.0</v>
      </c>
      <c r="G105" s="13">
        <v>0.0</v>
      </c>
      <c r="H105" s="13">
        <v>0.0</v>
      </c>
      <c r="I105" s="13">
        <v>0.0</v>
      </c>
      <c r="J105" s="13">
        <v>0.0</v>
      </c>
      <c r="K105" s="35"/>
      <c r="L105" s="35"/>
      <c r="M105" s="13">
        <f>IF($A105="", -1, ($B105*README!$B$2)+($C105*README!$B$3)+($D105*README!$B$4)+($E105*README!$B$5)+($F105*README!$B$6))</f>
        <v>20800000</v>
      </c>
      <c r="N105" s="13">
        <f>IF($A105="", -1, ($B105*README!$B$2)+($C105*README!$B$3)+($D105*README!$B$4)+($E105*README!$B$5)+($F105*README!$B$6)-1)</f>
        <v>20799999</v>
      </c>
      <c r="O105" s="13">
        <f>IF($A105="", -1, ($B105*README!$B$2)+($C105*README!$B$3)+($D105*README!$B$4)+($E105*README!$B$5)+($F105*README!$B$6)+1)</f>
        <v>20800001</v>
      </c>
      <c r="P105" s="13">
        <f>README!$B$36</f>
        <v>2</v>
      </c>
      <c r="Q105" s="13" t="str">
        <f>JOIN(", ", README!$B$11, 0.1)</f>
        <v>1, 0.1</v>
      </c>
      <c r="R105" s="13" t="str">
        <f>JOIN(", ", README!$L$21, README!$B$27, -1, README!$B$9, 0)</f>
        <v>300000000, -1, -1, -1, 0</v>
      </c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</row>
    <row r="106" ht="15.75" customHeight="1">
      <c r="A106" s="35" t="s">
        <v>162</v>
      </c>
      <c r="B106" s="14">
        <v>0.0</v>
      </c>
      <c r="C106" s="14">
        <v>0.0</v>
      </c>
      <c r="D106" s="14">
        <v>8.0</v>
      </c>
      <c r="E106" s="14">
        <v>1.0</v>
      </c>
      <c r="F106" s="14">
        <v>0.0</v>
      </c>
      <c r="G106" s="13">
        <v>0.0</v>
      </c>
      <c r="H106" s="13">
        <v>0.0</v>
      </c>
      <c r="I106" s="13">
        <v>0.0</v>
      </c>
      <c r="J106" s="13">
        <v>0.0</v>
      </c>
      <c r="K106" s="35"/>
      <c r="L106" s="35"/>
      <c r="M106" s="13">
        <f>IF($A106="", -1, ($B106*README!$B$2)+($C106*README!$B$3)+($D106*README!$B$4)+($E106*README!$B$5)+($F106*README!$B$6))</f>
        <v>800100</v>
      </c>
      <c r="N106" s="13">
        <f>IF($A106="", -1, ($B106*README!$B$2)+($C106*README!$B$3)+($D106*README!$B$4)+($E106*README!$B$5)+($F106*README!$B$6)-1)</f>
        <v>800099</v>
      </c>
      <c r="O106" s="13">
        <f>IF($A106="", -1, ($B106*README!$B$2)+($C106*README!$B$3)+($D106*README!$B$4)+($E106*README!$B$5)+($F106*README!$B$6)+1)</f>
        <v>800101</v>
      </c>
      <c r="P106" s="13">
        <f>README!$B$34</f>
        <v>0</v>
      </c>
      <c r="Q106" s="13" t="str">
        <f>JOIN(", ", README!$B$10, 1)</f>
        <v>0, 1</v>
      </c>
      <c r="R106" s="13" t="str">
        <f>JOIN(", ", README!$L$21, README!$B$27, -1, README!$B$9, 0)</f>
        <v>300000000, -1, -1, -1, 0</v>
      </c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</row>
    <row r="107" ht="15.75" customHeight="1">
      <c r="A107" s="35" t="s">
        <v>163</v>
      </c>
      <c r="B107" s="14">
        <v>0.0</v>
      </c>
      <c r="C107" s="14">
        <v>0.0</v>
      </c>
      <c r="D107" s="14">
        <v>8.0</v>
      </c>
      <c r="E107" s="14">
        <v>1.0</v>
      </c>
      <c r="F107" s="14">
        <v>1.0</v>
      </c>
      <c r="G107" s="13">
        <v>0.0</v>
      </c>
      <c r="H107" s="13">
        <v>0.0</v>
      </c>
      <c r="I107" s="13">
        <v>0.0</v>
      </c>
      <c r="J107" s="13">
        <v>0.0</v>
      </c>
      <c r="K107" s="35"/>
      <c r="L107" s="35"/>
      <c r="M107" s="13">
        <f>IF($A107="", -1, ($B107*README!$B$2)+($C107*README!$B$3)+($D107*README!$B$4)+($E107*README!$B$5)+($F107*README!$B$6))</f>
        <v>800101</v>
      </c>
      <c r="N107" s="13">
        <f>IF($A107="", -1, ($B107*README!$B$2)+($C107*README!$B$3)+($D107*README!$B$4)+($E107*README!$B$5)+($F107*README!$B$6)-1)</f>
        <v>800100</v>
      </c>
      <c r="O107" s="13">
        <f>IF($A107="", -1, ($B107*README!$B$2)+($C107*README!$B$3)+($D107*README!$B$4)+($E107*README!$B$5)+($F107*README!$B$6)+1)</f>
        <v>800102</v>
      </c>
      <c r="P107" s="13">
        <f>README!$B$34</f>
        <v>0</v>
      </c>
      <c r="Q107" s="13" t="str">
        <f>JOIN(", ", README!$B$11, 0.1)</f>
        <v>1, 0.1</v>
      </c>
      <c r="R107" s="13" t="str">
        <f>JOIN(", ", README!$L$21, README!$B$27, -1, README!$B$9, 0)</f>
        <v>300000000, -1, -1, -1, 0</v>
      </c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</row>
    <row r="108" ht="15.75" customHeight="1">
      <c r="A108" s="35" t="s">
        <v>164</v>
      </c>
      <c r="B108" s="14">
        <v>0.0</v>
      </c>
      <c r="C108" s="14">
        <v>1.0</v>
      </c>
      <c r="D108" s="14">
        <v>8.0</v>
      </c>
      <c r="E108" s="14">
        <v>1.0</v>
      </c>
      <c r="F108" s="14">
        <v>0.0</v>
      </c>
      <c r="G108" s="13">
        <v>0.0</v>
      </c>
      <c r="H108" s="13">
        <v>0.0</v>
      </c>
      <c r="I108" s="13">
        <v>0.0</v>
      </c>
      <c r="J108" s="13">
        <v>0.0</v>
      </c>
      <c r="K108" s="35"/>
      <c r="L108" s="35"/>
      <c r="M108" s="13">
        <f>IF($A108="", -1, ($B108*README!$B$2)+($C108*README!$B$3)+($D108*README!$B$4)+($E108*README!$B$5)+($F108*README!$B$6))</f>
        <v>10800100</v>
      </c>
      <c r="N108" s="13">
        <f>IF($A108="", -1, ($B108*README!$B$2)+($C108*README!$B$3)+($D108*README!$B$4)+($E108*README!$B$5)+($F108*README!$B$6)-1)</f>
        <v>10800099</v>
      </c>
      <c r="O108" s="13">
        <f>IF($A108="", -1, ($B108*README!$B$2)+($C108*README!$B$3)+($D108*README!$B$4)+($E108*README!$B$5)+($F108*README!$B$6)+1)</f>
        <v>10800101</v>
      </c>
      <c r="P108" s="13">
        <f>README!$B$35</f>
        <v>1</v>
      </c>
      <c r="Q108" s="13" t="str">
        <f>JOIN(", ", README!$B$11, 0.1)</f>
        <v>1, 0.1</v>
      </c>
      <c r="R108" s="13" t="str">
        <f>JOIN(", ", README!$L$21, README!$B$27, -1, README!$B$9, 0)</f>
        <v>300000000, -1, -1, -1, 0</v>
      </c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</row>
    <row r="109" ht="15.75" customHeight="1">
      <c r="A109" s="35" t="s">
        <v>165</v>
      </c>
      <c r="B109" s="14">
        <v>0.0</v>
      </c>
      <c r="C109" s="14">
        <v>2.0</v>
      </c>
      <c r="D109" s="14">
        <v>8.0</v>
      </c>
      <c r="E109" s="14">
        <v>1.0</v>
      </c>
      <c r="F109" s="14">
        <v>0.0</v>
      </c>
      <c r="G109" s="13">
        <v>0.0</v>
      </c>
      <c r="H109" s="13">
        <v>0.0</v>
      </c>
      <c r="I109" s="13">
        <v>0.0</v>
      </c>
      <c r="J109" s="13">
        <v>0.0</v>
      </c>
      <c r="K109" s="35"/>
      <c r="L109" s="35"/>
      <c r="M109" s="13">
        <f>IF($A109="", -1, ($B109*README!$B$2)+($C109*README!$B$3)+($D109*README!$B$4)+($E109*README!$B$5)+($F109*README!$B$6))</f>
        <v>20800100</v>
      </c>
      <c r="N109" s="13">
        <f>IF($A109="", -1, ($B109*README!$B$2)+($C109*README!$B$3)+($D109*README!$B$4)+($E109*README!$B$5)+($F109*README!$B$6)-1)</f>
        <v>20800099</v>
      </c>
      <c r="O109" s="13">
        <f>IF($A109="", -1, ($B109*README!$B$2)+($C109*README!$B$3)+($D109*README!$B$4)+($E109*README!$B$5)+($F109*README!$B$6)+1)</f>
        <v>20800101</v>
      </c>
      <c r="P109" s="13">
        <f>README!$B$36</f>
        <v>2</v>
      </c>
      <c r="Q109" s="13" t="str">
        <f>JOIN(", ", README!$B$11, 0.1)</f>
        <v>1, 0.1</v>
      </c>
      <c r="R109" s="13" t="str">
        <f>JOIN(", ", README!$L$21, README!$B$27, -1, README!$B$9, 0)</f>
        <v>300000000, -1, -1, -1, 0</v>
      </c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</row>
    <row r="110" ht="15.75" customHeight="1">
      <c r="A110" s="35" t="s">
        <v>166</v>
      </c>
      <c r="B110" s="14">
        <v>0.0</v>
      </c>
      <c r="C110" s="14">
        <v>0.0</v>
      </c>
      <c r="D110" s="14">
        <v>8.0</v>
      </c>
      <c r="E110" s="14">
        <v>2.0</v>
      </c>
      <c r="F110" s="14">
        <v>0.0</v>
      </c>
      <c r="G110" s="13">
        <v>0.0</v>
      </c>
      <c r="H110" s="13">
        <v>0.0</v>
      </c>
      <c r="I110" s="13">
        <v>0.0</v>
      </c>
      <c r="J110" s="13">
        <v>0.0</v>
      </c>
      <c r="K110" s="35"/>
      <c r="L110" s="35"/>
      <c r="M110" s="13">
        <f>IF($A110="", -1, ($B110*README!$B$2)+($C110*README!$B$3)+($D110*README!$B$4)+($E110*README!$B$5)+($F110*README!$B$6))</f>
        <v>800200</v>
      </c>
      <c r="N110" s="13">
        <f>IF($A110="", -1, ($B110*README!$B$2)+($C110*README!$B$3)+($D110*README!$B$4)+($E110*README!$B$5)+($F110*README!$B$6)-1)</f>
        <v>800199</v>
      </c>
      <c r="O110" s="13">
        <f>IF($A110="", -1, ($B110*README!$B$2)+($C110*README!$B$3)+($D110*README!$B$4)+($E110*README!$B$5)+($F110*README!$B$6)+1)</f>
        <v>800201</v>
      </c>
      <c r="P110" s="13">
        <f>README!$B$34</f>
        <v>0</v>
      </c>
      <c r="Q110" s="13" t="str">
        <f>JOIN(", ", README!$B$10, 1)</f>
        <v>0, 1</v>
      </c>
      <c r="R110" s="13" t="str">
        <f>JOIN(", ", README!$L$21, README!$B$27, -1, README!$B$9, 0)</f>
        <v>300000000, -1, -1, -1, 0</v>
      </c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</row>
    <row r="111" ht="15.75" customHeight="1">
      <c r="A111" s="35" t="s">
        <v>167</v>
      </c>
      <c r="B111" s="14">
        <v>0.0</v>
      </c>
      <c r="C111" s="14">
        <v>0.0</v>
      </c>
      <c r="D111" s="14">
        <v>8.0</v>
      </c>
      <c r="E111" s="14">
        <v>2.0</v>
      </c>
      <c r="F111" s="14">
        <v>1.0</v>
      </c>
      <c r="G111" s="13">
        <v>0.0</v>
      </c>
      <c r="H111" s="13">
        <v>0.0</v>
      </c>
      <c r="I111" s="13">
        <v>0.0</v>
      </c>
      <c r="J111" s="13">
        <v>0.0</v>
      </c>
      <c r="K111" s="35"/>
      <c r="L111" s="35"/>
      <c r="M111" s="13">
        <f>IF($A111="", -1, ($B111*README!$B$2)+($C111*README!$B$3)+($D111*README!$B$4)+($E111*README!$B$5)+($F111*README!$B$6))</f>
        <v>800201</v>
      </c>
      <c r="N111" s="13">
        <f>IF($A111="", -1, ($B111*README!$B$2)+($C111*README!$B$3)+($D111*README!$B$4)+($E111*README!$B$5)+($F111*README!$B$6)-1)</f>
        <v>800200</v>
      </c>
      <c r="O111" s="13">
        <f>IF($A111="", -1, ($B111*README!$B$2)+($C111*README!$B$3)+($D111*README!$B$4)+($E111*README!$B$5)+($F111*README!$B$6)+1)</f>
        <v>800202</v>
      </c>
      <c r="P111" s="13">
        <f>README!$B$34</f>
        <v>0</v>
      </c>
      <c r="Q111" s="13" t="str">
        <f>JOIN(", ", README!$B$11, 0.1)</f>
        <v>1, 0.1</v>
      </c>
      <c r="R111" s="13" t="str">
        <f>JOIN(", ", README!$L$21, README!$B$27, -1, README!$B$9, 0)</f>
        <v>300000000, -1, -1, -1, 0</v>
      </c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</row>
    <row r="112" ht="15.75" customHeight="1">
      <c r="A112" s="35" t="s">
        <v>168</v>
      </c>
      <c r="B112" s="14">
        <v>0.0</v>
      </c>
      <c r="C112" s="14">
        <v>1.0</v>
      </c>
      <c r="D112" s="14">
        <v>8.0</v>
      </c>
      <c r="E112" s="14">
        <v>2.0</v>
      </c>
      <c r="F112" s="14">
        <v>0.0</v>
      </c>
      <c r="G112" s="13">
        <v>0.0</v>
      </c>
      <c r="H112" s="13">
        <v>0.0</v>
      </c>
      <c r="I112" s="13">
        <v>0.0</v>
      </c>
      <c r="J112" s="13">
        <v>0.0</v>
      </c>
      <c r="K112" s="35"/>
      <c r="L112" s="35"/>
      <c r="M112" s="13">
        <f>IF($A112="", -1, ($B112*README!$B$2)+($C112*README!$B$3)+($D112*README!$B$4)+($E112*README!$B$5)+($F112*README!$B$6))</f>
        <v>10800200</v>
      </c>
      <c r="N112" s="13">
        <f>IF($A112="", -1, ($B112*README!$B$2)+($C112*README!$B$3)+($D112*README!$B$4)+($E112*README!$B$5)+($F112*README!$B$6)-1)</f>
        <v>10800199</v>
      </c>
      <c r="O112" s="13">
        <f>IF($A112="", -1, ($B112*README!$B$2)+($C112*README!$B$3)+($D112*README!$B$4)+($E112*README!$B$5)+($F112*README!$B$6)+1)</f>
        <v>10800201</v>
      </c>
      <c r="P112" s="13">
        <f>README!$B$35</f>
        <v>1</v>
      </c>
      <c r="Q112" s="13" t="str">
        <f>JOIN(", ", README!$B$11, 0.1)</f>
        <v>1, 0.1</v>
      </c>
      <c r="R112" s="13" t="str">
        <f>JOIN(", ", README!$L$21, README!$B$27, -1, README!$B$9, 0)</f>
        <v>300000000, -1, -1, -1, 0</v>
      </c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</row>
    <row r="113" ht="15.75" customHeight="1">
      <c r="A113" s="35" t="s">
        <v>169</v>
      </c>
      <c r="B113" s="14">
        <v>0.0</v>
      </c>
      <c r="C113" s="14">
        <v>2.0</v>
      </c>
      <c r="D113" s="14">
        <v>8.0</v>
      </c>
      <c r="E113" s="14">
        <v>2.0</v>
      </c>
      <c r="F113" s="14">
        <v>0.0</v>
      </c>
      <c r="G113" s="13">
        <v>0.0</v>
      </c>
      <c r="H113" s="13">
        <v>0.0</v>
      </c>
      <c r="I113" s="13">
        <v>0.0</v>
      </c>
      <c r="J113" s="13">
        <v>0.0</v>
      </c>
      <c r="K113" s="35"/>
      <c r="L113" s="35"/>
      <c r="M113" s="13">
        <f>IF($A113="", -1, ($B113*README!$B$2)+($C113*README!$B$3)+($D113*README!$B$4)+($E113*README!$B$5)+($F113*README!$B$6))</f>
        <v>20800200</v>
      </c>
      <c r="N113" s="13">
        <f>IF($A113="", -1, ($B113*README!$B$2)+($C113*README!$B$3)+($D113*README!$B$4)+($E113*README!$B$5)+($F113*README!$B$6)-1)</f>
        <v>20800199</v>
      </c>
      <c r="O113" s="13">
        <f>IF($A113="", -1, ($B113*README!$B$2)+($C113*README!$B$3)+($D113*README!$B$4)+($E113*README!$B$5)+($F113*README!$B$6)+1)</f>
        <v>20800201</v>
      </c>
      <c r="P113" s="13">
        <f>README!$B$36</f>
        <v>2</v>
      </c>
      <c r="Q113" s="13" t="str">
        <f>JOIN(", ", README!$B$11, 0.1)</f>
        <v>1, 0.1</v>
      </c>
      <c r="R113" s="13" t="str">
        <f>JOIN(", ", README!$L$21, README!$B$27, -1, README!$B$9, 0)</f>
        <v>300000000, -1, -1, -1, 0</v>
      </c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</row>
    <row r="114" ht="15.75" customHeight="1">
      <c r="A114" s="35" t="s">
        <v>170</v>
      </c>
      <c r="B114" s="14">
        <v>0.0</v>
      </c>
      <c r="C114" s="14">
        <v>0.0</v>
      </c>
      <c r="D114" s="14">
        <v>8.0</v>
      </c>
      <c r="E114" s="14">
        <v>3.0</v>
      </c>
      <c r="F114" s="14">
        <v>0.0</v>
      </c>
      <c r="G114" s="13">
        <v>0.0</v>
      </c>
      <c r="H114" s="13">
        <v>0.0</v>
      </c>
      <c r="I114" s="13">
        <v>0.0</v>
      </c>
      <c r="J114" s="13">
        <v>0.0</v>
      </c>
      <c r="K114" s="35"/>
      <c r="L114" s="35"/>
      <c r="M114" s="13">
        <f>IF($A114="", -1, ($B114*README!$B$2)+($C114*README!$B$3)+($D114*README!$B$4)+($E114*README!$B$5)+($F114*README!$B$6))</f>
        <v>800300</v>
      </c>
      <c r="N114" s="13">
        <f>IF($A114="", -1, ($B114*README!$B$2)+($C114*README!$B$3)+($D114*README!$B$4)+($E114*README!$B$5)+($F114*README!$B$6)-1)</f>
        <v>800299</v>
      </c>
      <c r="O114" s="13">
        <f>IF($A114="", -1, ($B114*README!$B$2)+($C114*README!$B$3)+($D114*README!$B$4)+($E114*README!$B$5)+($F114*README!$B$6)+1)</f>
        <v>800301</v>
      </c>
      <c r="P114" s="13">
        <f>README!$B$34</f>
        <v>0</v>
      </c>
      <c r="Q114" s="13" t="str">
        <f>JOIN(", ", README!$B$10, 1)</f>
        <v>0, 1</v>
      </c>
      <c r="R114" s="13" t="str">
        <f>JOIN(", ", README!$L$21, README!$B$27, -1, README!$B$9, 0)</f>
        <v>300000000, -1, -1, -1, 0</v>
      </c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</row>
    <row r="115" ht="15.75" customHeight="1">
      <c r="A115" s="35" t="s">
        <v>171</v>
      </c>
      <c r="B115" s="14">
        <v>0.0</v>
      </c>
      <c r="C115" s="14">
        <v>0.0</v>
      </c>
      <c r="D115" s="14">
        <v>8.0</v>
      </c>
      <c r="E115" s="14">
        <v>3.0</v>
      </c>
      <c r="F115" s="14">
        <v>1.0</v>
      </c>
      <c r="G115" s="13">
        <v>0.0</v>
      </c>
      <c r="H115" s="13">
        <v>0.0</v>
      </c>
      <c r="I115" s="13">
        <v>0.0</v>
      </c>
      <c r="J115" s="13">
        <v>0.0</v>
      </c>
      <c r="K115" s="35"/>
      <c r="L115" s="35"/>
      <c r="M115" s="13">
        <f>IF($A115="", -1, ($B115*README!$B$2)+($C115*README!$B$3)+($D115*README!$B$4)+($E115*README!$B$5)+($F115*README!$B$6))</f>
        <v>800301</v>
      </c>
      <c r="N115" s="13">
        <f>IF($A115="", -1, ($B115*README!$B$2)+($C115*README!$B$3)+($D115*README!$B$4)+($E115*README!$B$5)+($F115*README!$B$6)-1)</f>
        <v>800300</v>
      </c>
      <c r="O115" s="13">
        <f>IF($A115="", -1, ($B115*README!$B$2)+($C115*README!$B$3)+($D115*README!$B$4)+($E115*README!$B$5)+($F115*README!$B$6)+1)</f>
        <v>800302</v>
      </c>
      <c r="P115" s="13">
        <f>README!$B$34</f>
        <v>0</v>
      </c>
      <c r="Q115" s="13" t="str">
        <f>JOIN(", ", README!$B$11, 0.1)</f>
        <v>1, 0.1</v>
      </c>
      <c r="R115" s="13" t="str">
        <f>JOIN(", ", README!$L$21, README!$B$27, -1, README!$B$9, 0)</f>
        <v>300000000, -1, -1, -1, 0</v>
      </c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</row>
    <row r="116" ht="15.75" customHeight="1">
      <c r="A116" s="35" t="s">
        <v>172</v>
      </c>
      <c r="B116" s="14">
        <v>0.0</v>
      </c>
      <c r="C116" s="14">
        <v>1.0</v>
      </c>
      <c r="D116" s="14">
        <v>8.0</v>
      </c>
      <c r="E116" s="14">
        <v>3.0</v>
      </c>
      <c r="F116" s="14">
        <v>0.0</v>
      </c>
      <c r="G116" s="13">
        <v>0.0</v>
      </c>
      <c r="H116" s="13">
        <v>0.0</v>
      </c>
      <c r="I116" s="13">
        <v>0.0</v>
      </c>
      <c r="J116" s="13">
        <v>0.0</v>
      </c>
      <c r="K116" s="35"/>
      <c r="L116" s="35"/>
      <c r="M116" s="13">
        <f>IF($A116="", -1, ($B116*README!$B$2)+($C116*README!$B$3)+($D116*README!$B$4)+($E116*README!$B$5)+($F116*README!$B$6))</f>
        <v>10800300</v>
      </c>
      <c r="N116" s="13">
        <f>IF($A116="", -1, ($B116*README!$B$2)+($C116*README!$B$3)+($D116*README!$B$4)+($E116*README!$B$5)+($F116*README!$B$6)-1)</f>
        <v>10800299</v>
      </c>
      <c r="O116" s="13">
        <f>IF($A116="", -1, ($B116*README!$B$2)+($C116*README!$B$3)+($D116*README!$B$4)+($E116*README!$B$5)+($F116*README!$B$6)+1)</f>
        <v>10800301</v>
      </c>
      <c r="P116" s="13">
        <f>README!$B$35</f>
        <v>1</v>
      </c>
      <c r="Q116" s="13" t="str">
        <f>JOIN(", ", README!$B$11, 0.1)</f>
        <v>1, 0.1</v>
      </c>
      <c r="R116" s="13" t="str">
        <f>JOIN(", ", README!$L$21, README!$B$27, -1, README!$B$9, 0)</f>
        <v>300000000, -1, -1, -1, 0</v>
      </c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</row>
    <row r="117" ht="15.75" customHeight="1">
      <c r="A117" s="35" t="s">
        <v>173</v>
      </c>
      <c r="B117" s="14">
        <v>0.0</v>
      </c>
      <c r="C117" s="14">
        <v>2.0</v>
      </c>
      <c r="D117" s="14">
        <v>8.0</v>
      </c>
      <c r="E117" s="14">
        <v>3.0</v>
      </c>
      <c r="F117" s="14">
        <v>0.0</v>
      </c>
      <c r="G117" s="13">
        <v>0.0</v>
      </c>
      <c r="H117" s="13">
        <v>0.0</v>
      </c>
      <c r="I117" s="13">
        <v>0.0</v>
      </c>
      <c r="J117" s="13">
        <v>0.0</v>
      </c>
      <c r="K117" s="35"/>
      <c r="L117" s="35"/>
      <c r="M117" s="13">
        <f>IF($A117="", -1, ($B117*README!$B$2)+($C117*README!$B$3)+($D117*README!$B$4)+($E117*README!$B$5)+($F117*README!$B$6))</f>
        <v>20800300</v>
      </c>
      <c r="N117" s="13">
        <f>IF($A117="", -1, ($B117*README!$B$2)+($C117*README!$B$3)+($D117*README!$B$4)+($E117*README!$B$5)+($F117*README!$B$6)-1)</f>
        <v>20800299</v>
      </c>
      <c r="O117" s="13">
        <f>IF($A117="", -1, ($B117*README!$B$2)+($C117*README!$B$3)+($D117*README!$B$4)+($E117*README!$B$5)+($F117*README!$B$6)+1)</f>
        <v>20800301</v>
      </c>
      <c r="P117" s="13">
        <f>README!$B$36</f>
        <v>2</v>
      </c>
      <c r="Q117" s="13" t="str">
        <f>JOIN(", ", README!$B$11, 0.1)</f>
        <v>1, 0.1</v>
      </c>
      <c r="R117" s="13" t="str">
        <f>JOIN(", ", README!$L$21, README!$B$27, -1, README!$B$9, 0)</f>
        <v>300000000, -1, -1, -1, 0</v>
      </c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</row>
    <row r="118">
      <c r="A118" s="25" t="s">
        <v>192</v>
      </c>
      <c r="B118" s="14">
        <v>1.0</v>
      </c>
      <c r="C118" s="14">
        <v>0.0</v>
      </c>
      <c r="D118" s="14">
        <v>0.0</v>
      </c>
      <c r="E118" s="14">
        <v>0.0</v>
      </c>
      <c r="F118" s="14">
        <v>0.0</v>
      </c>
      <c r="G118" s="26">
        <v>0.0</v>
      </c>
      <c r="H118" s="13">
        <v>0.0</v>
      </c>
      <c r="I118" s="13">
        <v>0.0</v>
      </c>
      <c r="J118" s="13">
        <v>0.0</v>
      </c>
      <c r="K118" s="25"/>
      <c r="L118" s="25"/>
      <c r="M118" s="13">
        <f>IF($A118="", -1, ($B118*README!$B$2)+($C118*README!$B$3)+($D118*README!$B$4)+($E118*README!$B$5)+($F118*README!$B$6))</f>
        <v>100000000</v>
      </c>
      <c r="N118" s="13">
        <f>IF($A118="", -1, ($B118*README!$B$2)+($C118*README!$B$3)+($D118*README!$B$4)+($E118*README!$B$5)+($F118*README!$B$6)-1)</f>
        <v>99999999</v>
      </c>
      <c r="O118" s="13">
        <f>IF($A118="", -1, ($B118*README!$B$2)+($C118*README!$B$3)+($D118*README!$B$4)+($E118*README!$B$5)+($F118*README!$B$6)+1)</f>
        <v>100000001</v>
      </c>
      <c r="P118" s="13">
        <f>README!$B$33</f>
        <v>-1</v>
      </c>
      <c r="Q118" s="13" t="str">
        <f>JOIN(", ", README!$B$14, 0)</f>
        <v>-1, 0</v>
      </c>
      <c r="R118" s="13" t="str">
        <f>JOIN(", ", README!$L$21, README!$B$27, -1, README!$B$10, 0)</f>
        <v>300000000, -1, -1, 0, 0</v>
      </c>
      <c r="S118" s="26"/>
      <c r="T118" s="13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35"/>
      <c r="AK118" s="35"/>
    </row>
    <row r="119">
      <c r="A119" s="25" t="s">
        <v>193</v>
      </c>
      <c r="B119" s="14">
        <v>2.0</v>
      </c>
      <c r="C119" s="14">
        <v>0.0</v>
      </c>
      <c r="D119" s="14">
        <v>0.0</v>
      </c>
      <c r="E119" s="14">
        <v>0.0</v>
      </c>
      <c r="F119" s="14">
        <v>0.0</v>
      </c>
      <c r="G119" s="26">
        <v>0.0</v>
      </c>
      <c r="H119" s="13">
        <v>0.0</v>
      </c>
      <c r="I119" s="13">
        <v>0.0</v>
      </c>
      <c r="J119" s="13">
        <v>0.0</v>
      </c>
      <c r="K119" s="25"/>
      <c r="L119" s="25"/>
      <c r="M119" s="13">
        <f>IF($A119="", -1, ($B119*README!$B$2)+($C119*README!$B$3)+($D119*README!$B$4)+($E119*README!$B$5)+($F119*README!$B$6))</f>
        <v>200000000</v>
      </c>
      <c r="N119" s="13">
        <f>IF($A119="", -1, ($B119*README!$B$2)+($C119*README!$B$3)+($D119*README!$B$4)+($E119*README!$B$5)+($F119*README!$B$6)-1)</f>
        <v>199999999</v>
      </c>
      <c r="O119" s="13">
        <f>IF($A119="", -1, ($B119*README!$B$2)+($C119*README!$B$3)+($D119*README!$B$4)+($E119*README!$B$5)+($F119*README!$B$6)+1)</f>
        <v>200000001</v>
      </c>
      <c r="P119" s="13">
        <f>README!$B$33</f>
        <v>-1</v>
      </c>
      <c r="Q119" s="13" t="str">
        <f>JOIN(", ", README!$B$14, 0)</f>
        <v>-1, 0</v>
      </c>
      <c r="R119" s="13" t="str">
        <f>JOIN(", ", README!$L$21, README!$B$27, -1, README!$B$10, 0)</f>
        <v>300000000, -1, -1, 0, 0</v>
      </c>
      <c r="S119" s="26"/>
      <c r="T119" s="13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35"/>
      <c r="AK119" s="35"/>
    </row>
    <row r="120">
      <c r="A120" s="25" t="s">
        <v>194</v>
      </c>
      <c r="B120" s="14">
        <v>3.0</v>
      </c>
      <c r="C120" s="14">
        <v>0.0</v>
      </c>
      <c r="D120" s="14">
        <v>0.0</v>
      </c>
      <c r="E120" s="14">
        <v>0.0</v>
      </c>
      <c r="F120" s="14">
        <v>0.0</v>
      </c>
      <c r="G120" s="26">
        <v>0.0</v>
      </c>
      <c r="H120" s="13">
        <v>0.0</v>
      </c>
      <c r="I120" s="13">
        <v>0.0</v>
      </c>
      <c r="J120" s="13">
        <v>0.0</v>
      </c>
      <c r="K120" s="25"/>
      <c r="L120" s="25"/>
      <c r="M120" s="13">
        <f>IF($A120="", -1, ($B120*README!$B$2)+($C120*README!$B$3)+($D120*README!$B$4)+($E120*README!$B$5)+($F120*README!$B$6))</f>
        <v>300000000</v>
      </c>
      <c r="N120" s="13">
        <f>IF($A120="", -1, ($B120*README!$B$2)+($C120*README!$B$3)+($D120*README!$B$4)+($E120*README!$B$5)+($F120*README!$B$6)-1)</f>
        <v>299999999</v>
      </c>
      <c r="O120" s="13">
        <f>IF($A120="", -1, ($B120*README!$B$2)+($C120*README!$B$3)+($D120*README!$B$4)+($E120*README!$B$5)+($F120*README!$B$6)+1)</f>
        <v>300000001</v>
      </c>
      <c r="P120" s="13">
        <f>README!$B$33</f>
        <v>-1</v>
      </c>
      <c r="Q120" s="13" t="str">
        <f>JOIN(", ", README!$B$14, 0)</f>
        <v>-1, 0</v>
      </c>
      <c r="R120" s="13" t="str">
        <f>JOIN(", ", README!$L$21, README!$B$27, -1, README!$B$10, 0)</f>
        <v>300000000, -1, -1, 0, 0</v>
      </c>
      <c r="S120" s="26"/>
      <c r="T120" s="13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35"/>
      <c r="AK120" s="35"/>
    </row>
    <row r="121">
      <c r="B121" s="14"/>
      <c r="C121" s="14"/>
      <c r="D121" s="14"/>
      <c r="E121" s="14"/>
      <c r="F121" s="14"/>
      <c r="G121" s="26"/>
      <c r="H121" s="13"/>
      <c r="I121" s="13"/>
      <c r="J121" s="13"/>
      <c r="K121" s="25"/>
      <c r="L121" s="25"/>
      <c r="M121" s="37"/>
      <c r="N121" s="13"/>
      <c r="O121" s="13"/>
      <c r="P121" s="13"/>
      <c r="Q121" s="13"/>
      <c r="R121" s="13"/>
    </row>
    <row r="122" ht="15.75" customHeight="1">
      <c r="A122" s="35"/>
      <c r="B122" s="14"/>
      <c r="C122" s="14"/>
      <c r="D122" s="14"/>
      <c r="E122" s="14"/>
      <c r="F122" s="14"/>
      <c r="G122" s="13"/>
      <c r="H122" s="13"/>
      <c r="I122" s="13"/>
      <c r="J122" s="13"/>
      <c r="K122" s="35"/>
      <c r="L122" s="35"/>
      <c r="M122" s="13"/>
      <c r="N122" s="13"/>
      <c r="O122" s="13"/>
      <c r="P122" s="13"/>
      <c r="Q122" s="13"/>
      <c r="R122" s="13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>
      <c r="B123" s="38"/>
      <c r="C123" s="38"/>
      <c r="D123" s="38"/>
      <c r="E123" s="38"/>
      <c r="F123" s="38"/>
    </row>
    <row r="124">
      <c r="B124" s="38"/>
      <c r="C124" s="38"/>
      <c r="D124" s="38"/>
      <c r="E124" s="38"/>
      <c r="F124" s="38"/>
    </row>
    <row r="125">
      <c r="B125" s="38"/>
      <c r="C125" s="38"/>
      <c r="D125" s="38"/>
      <c r="E125" s="38"/>
      <c r="F125" s="38"/>
    </row>
    <row r="126">
      <c r="B126" s="38"/>
      <c r="C126" s="38"/>
      <c r="D126" s="38"/>
      <c r="E126" s="38"/>
      <c r="F126" s="38"/>
    </row>
    <row r="127" ht="15.75" customHeight="1">
      <c r="A127" s="35"/>
      <c r="B127" s="2"/>
      <c r="C127" s="2"/>
      <c r="D127" s="2"/>
      <c r="E127" s="2"/>
      <c r="F127" s="2"/>
      <c r="G127" s="35"/>
      <c r="H127" s="13"/>
      <c r="I127" s="13"/>
      <c r="J127" s="13"/>
      <c r="K127" s="35"/>
      <c r="L127" s="35"/>
      <c r="M127" s="35"/>
      <c r="N127" s="35"/>
      <c r="O127" s="35"/>
      <c r="P127" s="35"/>
      <c r="Q127" s="13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>
      <c r="B128" s="38"/>
      <c r="C128" s="38"/>
      <c r="D128" s="38"/>
      <c r="E128" s="38"/>
      <c r="F128" s="38"/>
    </row>
    <row r="129">
      <c r="B129" s="38"/>
      <c r="C129" s="38"/>
      <c r="D129" s="38"/>
      <c r="E129" s="38"/>
      <c r="F129" s="38"/>
    </row>
    <row r="130">
      <c r="B130" s="38"/>
      <c r="C130" s="38"/>
      <c r="D130" s="38"/>
      <c r="E130" s="38"/>
      <c r="F130" s="38"/>
    </row>
    <row r="131">
      <c r="B131" s="38"/>
      <c r="C131" s="38"/>
      <c r="D131" s="38"/>
      <c r="E131" s="38"/>
      <c r="F131" s="38"/>
    </row>
    <row r="132" ht="15.75" customHeight="1">
      <c r="A132" s="35"/>
      <c r="B132" s="14"/>
      <c r="C132" s="14"/>
      <c r="D132" s="14"/>
      <c r="E132" s="14"/>
      <c r="F132" s="14"/>
      <c r="G132" s="13"/>
      <c r="H132" s="13"/>
      <c r="I132" s="13"/>
      <c r="J132" s="13"/>
      <c r="K132" s="35"/>
      <c r="L132" s="35"/>
      <c r="M132" s="13"/>
      <c r="N132" s="13"/>
      <c r="O132" s="13"/>
      <c r="P132" s="13"/>
      <c r="Q132" s="13"/>
      <c r="R132" s="13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>
      <c r="B133" s="38"/>
      <c r="C133" s="38"/>
      <c r="D133" s="38"/>
      <c r="E133" s="38"/>
      <c r="F133" s="38"/>
    </row>
    <row r="134">
      <c r="B134" s="38"/>
      <c r="C134" s="38"/>
      <c r="D134" s="38"/>
      <c r="E134" s="38"/>
      <c r="F134" s="38"/>
    </row>
    <row r="135">
      <c r="B135" s="38"/>
      <c r="C135" s="38"/>
      <c r="D135" s="38"/>
      <c r="E135" s="38"/>
      <c r="F135" s="38"/>
    </row>
    <row r="136">
      <c r="B136" s="38"/>
      <c r="C136" s="38"/>
      <c r="D136" s="38"/>
      <c r="E136" s="38"/>
      <c r="F136" s="38"/>
    </row>
    <row r="137" ht="15.75" customHeight="1">
      <c r="A137" s="35"/>
      <c r="B137" s="14"/>
      <c r="C137" s="14"/>
      <c r="D137" s="14"/>
      <c r="E137" s="14"/>
      <c r="F137" s="14"/>
      <c r="G137" s="13"/>
      <c r="H137" s="13"/>
      <c r="I137" s="13"/>
      <c r="J137" s="13"/>
      <c r="K137" s="35"/>
      <c r="L137" s="35"/>
      <c r="M137" s="13"/>
      <c r="N137" s="13"/>
      <c r="O137" s="13"/>
      <c r="P137" s="13"/>
      <c r="Q137" s="13"/>
      <c r="R137" s="13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>
      <c r="B138" s="38"/>
      <c r="C138" s="38"/>
      <c r="D138" s="38"/>
      <c r="E138" s="38"/>
      <c r="F138" s="38"/>
    </row>
    <row r="139">
      <c r="B139" s="38"/>
      <c r="C139" s="38"/>
      <c r="D139" s="38"/>
      <c r="E139" s="38"/>
      <c r="F139" s="38"/>
    </row>
    <row r="140">
      <c r="B140" s="38"/>
      <c r="C140" s="38"/>
      <c r="D140" s="38"/>
      <c r="E140" s="38"/>
      <c r="F140" s="38"/>
    </row>
    <row r="141">
      <c r="B141" s="38"/>
      <c r="C141" s="38"/>
      <c r="D141" s="38"/>
      <c r="E141" s="38"/>
      <c r="F141" s="38"/>
    </row>
    <row r="142" ht="15.75" customHeight="1">
      <c r="A142" s="35"/>
      <c r="B142" s="14"/>
      <c r="C142" s="14"/>
      <c r="D142" s="14"/>
      <c r="E142" s="14"/>
      <c r="F142" s="14"/>
      <c r="G142" s="13"/>
      <c r="H142" s="13"/>
      <c r="I142" s="13"/>
      <c r="J142" s="13"/>
      <c r="K142" s="35"/>
      <c r="L142" s="35"/>
      <c r="M142" s="13"/>
      <c r="N142" s="13"/>
      <c r="O142" s="13"/>
      <c r="P142" s="13"/>
      <c r="Q142" s="13"/>
      <c r="R142" s="13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>
      <c r="B143" s="38"/>
      <c r="C143" s="38"/>
      <c r="D143" s="38"/>
      <c r="E143" s="38"/>
      <c r="F143" s="38"/>
    </row>
    <row r="144">
      <c r="B144" s="38"/>
      <c r="C144" s="38"/>
      <c r="D144" s="38"/>
      <c r="E144" s="38"/>
      <c r="F144" s="38"/>
    </row>
    <row r="145">
      <c r="B145" s="38"/>
      <c r="C145" s="38"/>
      <c r="D145" s="38"/>
      <c r="E145" s="38"/>
      <c r="F145" s="38"/>
    </row>
    <row r="146">
      <c r="B146" s="38"/>
      <c r="C146" s="38"/>
      <c r="D146" s="38"/>
      <c r="E146" s="38"/>
      <c r="F146" s="38"/>
    </row>
    <row r="147">
      <c r="A147" s="39"/>
      <c r="B147" s="38"/>
      <c r="C147" s="38"/>
      <c r="D147" s="38"/>
      <c r="E147" s="38"/>
      <c r="F147" s="38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40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</row>
    <row r="148">
      <c r="B148" s="38"/>
      <c r="C148" s="38"/>
      <c r="D148" s="38"/>
      <c r="E148" s="38"/>
      <c r="F148" s="38"/>
    </row>
    <row r="149">
      <c r="B149" s="38"/>
      <c r="C149" s="38"/>
      <c r="D149" s="38"/>
      <c r="E149" s="38"/>
      <c r="F149" s="38"/>
    </row>
    <row r="150">
      <c r="B150" s="38"/>
      <c r="C150" s="38"/>
      <c r="D150" s="38"/>
      <c r="E150" s="38"/>
      <c r="F150" s="38"/>
    </row>
    <row r="151">
      <c r="A151" s="25"/>
      <c r="B151" s="14"/>
      <c r="C151" s="14"/>
      <c r="D151" s="14"/>
      <c r="E151" s="14"/>
      <c r="F151" s="14"/>
      <c r="G151" s="26"/>
      <c r="H151" s="13"/>
      <c r="I151" s="13"/>
      <c r="J151" s="13"/>
      <c r="K151" s="25"/>
      <c r="L151" s="25"/>
      <c r="M151" s="13"/>
      <c r="N151" s="13"/>
      <c r="O151" s="13"/>
      <c r="P151" s="13"/>
      <c r="Q151" s="13"/>
      <c r="R151" s="13"/>
      <c r="S151" s="26"/>
      <c r="T151" s="13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35"/>
      <c r="AK151" s="35"/>
    </row>
    <row r="152">
      <c r="B152" s="38"/>
      <c r="C152" s="38"/>
      <c r="D152" s="38"/>
      <c r="E152" s="38"/>
      <c r="F152" s="38"/>
    </row>
    <row r="153">
      <c r="A153" s="39"/>
      <c r="B153" s="38"/>
      <c r="C153" s="38"/>
      <c r="D153" s="38"/>
      <c r="E153" s="38"/>
      <c r="F153" s="38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40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</row>
    <row r="154">
      <c r="A154" s="39"/>
      <c r="B154" s="38"/>
      <c r="C154" s="38"/>
      <c r="D154" s="38"/>
      <c r="E154" s="38"/>
      <c r="F154" s="38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40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</row>
    <row r="155">
      <c r="A155" s="39"/>
      <c r="B155" s="38"/>
      <c r="C155" s="38"/>
      <c r="D155" s="38"/>
      <c r="E155" s="38"/>
      <c r="F155" s="38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40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</row>
    <row r="156" ht="15.75" customHeight="1">
      <c r="A156" s="35"/>
      <c r="B156" s="14"/>
      <c r="C156" s="14"/>
      <c r="D156" s="14"/>
      <c r="E156" s="14"/>
      <c r="F156" s="14"/>
      <c r="G156" s="35"/>
      <c r="H156" s="13"/>
      <c r="I156" s="13"/>
      <c r="J156" s="13"/>
      <c r="K156" s="35"/>
      <c r="L156" s="35"/>
      <c r="M156" s="35"/>
      <c r="N156" s="35"/>
      <c r="O156" s="35"/>
      <c r="P156" s="35"/>
      <c r="Q156" s="13"/>
      <c r="R156" s="13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>
      <c r="A157" s="39"/>
      <c r="B157" s="38"/>
      <c r="C157" s="38"/>
      <c r="D157" s="38"/>
      <c r="E157" s="38"/>
      <c r="F157" s="38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40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  <c r="AK157" s="39"/>
    </row>
    <row r="158">
      <c r="A158" s="39"/>
      <c r="B158" s="38"/>
      <c r="C158" s="38"/>
      <c r="D158" s="38"/>
      <c r="E158" s="38"/>
      <c r="F158" s="38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40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</row>
    <row r="159">
      <c r="A159" s="39"/>
      <c r="B159" s="38"/>
      <c r="C159" s="38"/>
      <c r="D159" s="38"/>
      <c r="E159" s="38"/>
      <c r="F159" s="38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40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  <c r="AK159" s="39"/>
    </row>
    <row r="160">
      <c r="A160" s="39"/>
      <c r="B160" s="38"/>
      <c r="C160" s="38"/>
      <c r="D160" s="38"/>
      <c r="E160" s="38"/>
      <c r="F160" s="38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40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  <c r="AK160" s="39"/>
    </row>
    <row r="161" ht="15.75" customHeight="1">
      <c r="A161" s="35"/>
      <c r="B161" s="14"/>
      <c r="C161" s="14"/>
      <c r="D161" s="14"/>
      <c r="E161" s="14"/>
      <c r="F161" s="14"/>
      <c r="G161" s="35"/>
      <c r="H161" s="13"/>
      <c r="I161" s="13"/>
      <c r="J161" s="13"/>
      <c r="K161" s="35"/>
      <c r="L161" s="35"/>
      <c r="M161" s="35"/>
      <c r="N161" s="35"/>
      <c r="O161" s="35"/>
      <c r="P161" s="35"/>
      <c r="Q161" s="13"/>
      <c r="R161" s="13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>
      <c r="A162" s="39"/>
      <c r="B162" s="38"/>
      <c r="C162" s="38"/>
      <c r="D162" s="38"/>
      <c r="E162" s="38"/>
      <c r="F162" s="38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40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  <c r="AK162" s="39"/>
    </row>
    <row r="163">
      <c r="A163" s="39"/>
      <c r="B163" s="38"/>
      <c r="C163" s="38"/>
      <c r="D163" s="38"/>
      <c r="E163" s="38"/>
      <c r="F163" s="38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40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>
      <c r="A164" s="39"/>
      <c r="B164" s="38"/>
      <c r="C164" s="38"/>
      <c r="D164" s="38"/>
      <c r="E164" s="38"/>
      <c r="F164" s="38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40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</row>
    <row r="165" ht="15.75" customHeight="1">
      <c r="A165" s="35"/>
      <c r="B165" s="14"/>
      <c r="C165" s="14"/>
      <c r="D165" s="14"/>
      <c r="E165" s="14"/>
      <c r="F165" s="14"/>
      <c r="G165" s="35"/>
      <c r="H165" s="13"/>
      <c r="I165" s="13"/>
      <c r="J165" s="13"/>
      <c r="K165" s="35"/>
      <c r="L165" s="35"/>
      <c r="M165" s="35"/>
      <c r="N165" s="35"/>
      <c r="O165" s="35"/>
      <c r="P165" s="35"/>
      <c r="Q165" s="13"/>
      <c r="R165" s="13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>
      <c r="A166" s="39"/>
      <c r="B166" s="38"/>
      <c r="C166" s="38"/>
      <c r="D166" s="38"/>
      <c r="E166" s="38"/>
      <c r="F166" s="38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40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  <c r="AK166" s="39"/>
    </row>
    <row r="167">
      <c r="A167" s="39"/>
      <c r="B167" s="38"/>
      <c r="C167" s="38"/>
      <c r="D167" s="38"/>
      <c r="E167" s="38"/>
      <c r="F167" s="38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40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>
      <c r="A168" s="39"/>
      <c r="B168" s="38"/>
      <c r="C168" s="38"/>
      <c r="D168" s="38"/>
      <c r="E168" s="38"/>
      <c r="F168" s="38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40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</row>
    <row r="169" ht="15.75" customHeight="1">
      <c r="A169" s="35"/>
      <c r="B169" s="14"/>
      <c r="C169" s="14"/>
      <c r="D169" s="14"/>
      <c r="E169" s="14"/>
      <c r="F169" s="14"/>
      <c r="G169" s="35"/>
      <c r="H169" s="13"/>
      <c r="I169" s="13"/>
      <c r="J169" s="13"/>
      <c r="K169" s="35"/>
      <c r="L169" s="35"/>
      <c r="M169" s="35"/>
      <c r="N169" s="35"/>
      <c r="O169" s="35"/>
      <c r="P169" s="35"/>
      <c r="Q169" s="13"/>
      <c r="R169" s="13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>
      <c r="A170" s="39"/>
      <c r="B170" s="38"/>
      <c r="C170" s="38"/>
      <c r="D170" s="38"/>
      <c r="E170" s="38"/>
      <c r="F170" s="38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40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</row>
    <row r="171">
      <c r="A171" s="39"/>
      <c r="B171" s="38"/>
      <c r="C171" s="38"/>
      <c r="D171" s="38"/>
      <c r="E171" s="38"/>
      <c r="F171" s="38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40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  <c r="AK171" s="39"/>
    </row>
    <row r="172">
      <c r="A172" s="39"/>
      <c r="B172" s="38"/>
      <c r="C172" s="38"/>
      <c r="D172" s="38"/>
      <c r="E172" s="38"/>
      <c r="F172" s="38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40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  <c r="AK172" s="39"/>
    </row>
    <row r="173" ht="15.75" customHeight="1">
      <c r="A173" s="35"/>
      <c r="B173" s="14"/>
      <c r="C173" s="14"/>
      <c r="D173" s="14"/>
      <c r="E173" s="14"/>
      <c r="F173" s="14"/>
      <c r="G173" s="35"/>
      <c r="H173" s="13"/>
      <c r="I173" s="13"/>
      <c r="J173" s="13"/>
      <c r="K173" s="35"/>
      <c r="L173" s="35"/>
      <c r="M173" s="35"/>
      <c r="N173" s="35"/>
      <c r="O173" s="35"/>
      <c r="P173" s="35"/>
      <c r="Q173" s="13"/>
      <c r="R173" s="13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>
      <c r="A174" s="39"/>
      <c r="B174" s="38"/>
      <c r="C174" s="38"/>
      <c r="D174" s="38"/>
      <c r="E174" s="38"/>
      <c r="F174" s="38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40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39"/>
    </row>
    <row r="175">
      <c r="A175" s="39"/>
      <c r="B175" s="38"/>
      <c r="C175" s="38"/>
      <c r="D175" s="38"/>
      <c r="E175" s="38"/>
      <c r="F175" s="38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40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  <c r="AK175" s="39"/>
    </row>
    <row r="176">
      <c r="A176" s="39"/>
      <c r="B176" s="38"/>
      <c r="C176" s="38"/>
      <c r="D176" s="38"/>
      <c r="E176" s="38"/>
      <c r="F176" s="38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40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</row>
    <row r="177" ht="15.75" customHeight="1">
      <c r="A177" s="35"/>
      <c r="B177" s="14"/>
      <c r="C177" s="14"/>
      <c r="D177" s="14"/>
      <c r="E177" s="14"/>
      <c r="F177" s="14"/>
      <c r="G177" s="35"/>
      <c r="H177" s="13"/>
      <c r="I177" s="13"/>
      <c r="J177" s="13"/>
      <c r="K177" s="35"/>
      <c r="L177" s="35"/>
      <c r="M177" s="35"/>
      <c r="N177" s="35"/>
      <c r="O177" s="35"/>
      <c r="P177" s="35"/>
      <c r="Q177" s="13"/>
      <c r="R177" s="13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>
      <c r="A178" s="39"/>
      <c r="B178" s="38"/>
      <c r="C178" s="38"/>
      <c r="D178" s="38"/>
      <c r="E178" s="38"/>
      <c r="F178" s="38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40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  <c r="AK178" s="39"/>
    </row>
    <row r="179">
      <c r="A179" s="39"/>
      <c r="B179" s="38"/>
      <c r="C179" s="38"/>
      <c r="D179" s="38"/>
      <c r="E179" s="38"/>
      <c r="F179" s="38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40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</row>
    <row r="180">
      <c r="A180" s="39"/>
      <c r="B180" s="38"/>
      <c r="C180" s="38"/>
      <c r="D180" s="38"/>
      <c r="E180" s="38"/>
      <c r="F180" s="38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40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</row>
    <row r="181" ht="15.75" customHeight="1">
      <c r="A181" s="35"/>
      <c r="B181" s="2"/>
      <c r="C181" s="14"/>
      <c r="D181" s="2"/>
      <c r="E181" s="2"/>
      <c r="F181" s="2"/>
      <c r="G181" s="35"/>
      <c r="H181" s="13"/>
      <c r="I181" s="13"/>
      <c r="J181" s="13"/>
      <c r="K181" s="35"/>
      <c r="L181" s="35"/>
      <c r="M181" s="35"/>
      <c r="N181" s="35"/>
      <c r="O181" s="35"/>
      <c r="P181" s="35"/>
      <c r="Q181" s="13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>
      <c r="A182" s="39"/>
      <c r="B182" s="38"/>
      <c r="C182" s="38"/>
      <c r="D182" s="38"/>
      <c r="E182" s="38"/>
      <c r="F182" s="38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40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39"/>
    </row>
    <row r="183">
      <c r="A183" s="39"/>
      <c r="B183" s="38"/>
      <c r="C183" s="38"/>
      <c r="D183" s="38"/>
      <c r="E183" s="38"/>
      <c r="F183" s="38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40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  <c r="AK183" s="39"/>
    </row>
    <row r="184">
      <c r="A184" s="39"/>
      <c r="B184" s="38"/>
      <c r="C184" s="38"/>
      <c r="D184" s="38"/>
      <c r="E184" s="38"/>
      <c r="F184" s="38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40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  <c r="AK184" s="39"/>
    </row>
    <row r="185">
      <c r="A185" s="39"/>
      <c r="B185" s="38"/>
      <c r="C185" s="38"/>
      <c r="D185" s="38"/>
      <c r="E185" s="38"/>
      <c r="F185" s="38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40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  <c r="AK185" s="39"/>
    </row>
    <row r="186" ht="15.75" customHeight="1">
      <c r="A186" s="35"/>
      <c r="B186" s="2"/>
      <c r="C186" s="2"/>
      <c r="D186" s="2"/>
      <c r="E186" s="2"/>
      <c r="F186" s="2"/>
      <c r="G186" s="35"/>
      <c r="H186" s="13"/>
      <c r="I186" s="13"/>
      <c r="J186" s="13"/>
      <c r="K186" s="35"/>
      <c r="L186" s="35"/>
      <c r="M186" s="35"/>
      <c r="N186" s="35"/>
      <c r="O186" s="35"/>
      <c r="P186" s="35"/>
      <c r="Q186" s="13"/>
      <c r="R186" s="13"/>
      <c r="S186" s="35"/>
      <c r="T186" s="13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>
      <c r="A187" s="39"/>
      <c r="B187" s="38"/>
      <c r="C187" s="38"/>
      <c r="D187" s="38"/>
      <c r="E187" s="38"/>
      <c r="F187" s="38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40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  <c r="AK187" s="39"/>
    </row>
    <row r="188">
      <c r="A188" s="39"/>
      <c r="B188" s="38"/>
      <c r="C188" s="38"/>
      <c r="D188" s="38"/>
      <c r="E188" s="38"/>
      <c r="F188" s="38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40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  <c r="AK188" s="39"/>
    </row>
    <row r="189">
      <c r="A189" s="39"/>
      <c r="B189" s="38"/>
      <c r="C189" s="38"/>
      <c r="D189" s="38"/>
      <c r="E189" s="38"/>
      <c r="F189" s="38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40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>
      <c r="A190" s="39"/>
      <c r="B190" s="38"/>
      <c r="C190" s="38"/>
      <c r="D190" s="38"/>
      <c r="E190" s="38"/>
      <c r="F190" s="38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40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  <c r="AK190" s="39"/>
    </row>
    <row r="191" ht="15.75" customHeight="1">
      <c r="A191" s="35"/>
      <c r="B191" s="14"/>
      <c r="C191" s="14"/>
      <c r="D191" s="14"/>
      <c r="E191" s="14"/>
      <c r="F191" s="14"/>
      <c r="G191" s="35"/>
      <c r="H191" s="13"/>
      <c r="I191" s="13"/>
      <c r="J191" s="13"/>
      <c r="K191" s="35"/>
      <c r="L191" s="35"/>
      <c r="M191" s="35"/>
      <c r="N191" s="35"/>
      <c r="O191" s="35"/>
      <c r="P191" s="35"/>
      <c r="Q191" s="13"/>
      <c r="R191" s="13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>
      <c r="A192" s="39"/>
      <c r="B192" s="38"/>
      <c r="C192" s="38"/>
      <c r="D192" s="38"/>
      <c r="E192" s="38"/>
      <c r="F192" s="38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40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  <c r="AK192" s="39"/>
    </row>
    <row r="193">
      <c r="A193" s="39"/>
      <c r="B193" s="38"/>
      <c r="C193" s="38"/>
      <c r="D193" s="38"/>
      <c r="E193" s="38"/>
      <c r="F193" s="38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40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  <c r="AK193" s="39"/>
    </row>
    <row r="194">
      <c r="A194" s="39"/>
      <c r="B194" s="38"/>
      <c r="C194" s="38"/>
      <c r="D194" s="38"/>
      <c r="E194" s="38"/>
      <c r="F194" s="38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40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  <c r="AK194" s="39"/>
    </row>
    <row r="195" ht="15.75" customHeight="1">
      <c r="A195" s="35"/>
      <c r="B195" s="14"/>
      <c r="C195" s="14"/>
      <c r="D195" s="14"/>
      <c r="E195" s="14"/>
      <c r="F195" s="14"/>
      <c r="G195" s="35"/>
      <c r="H195" s="13"/>
      <c r="I195" s="13"/>
      <c r="J195" s="13"/>
      <c r="K195" s="35"/>
      <c r="L195" s="35"/>
      <c r="M195" s="35"/>
      <c r="N195" s="35"/>
      <c r="O195" s="35"/>
      <c r="P195" s="35"/>
      <c r="Q195" s="13"/>
      <c r="R195" s="13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</row>
    <row r="196">
      <c r="A196" s="39"/>
      <c r="B196" s="38"/>
      <c r="C196" s="38"/>
      <c r="D196" s="38"/>
      <c r="E196" s="38"/>
      <c r="F196" s="38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40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  <c r="AK196" s="39"/>
    </row>
    <row r="197">
      <c r="A197" s="39"/>
      <c r="B197" s="38"/>
      <c r="C197" s="38"/>
      <c r="D197" s="38"/>
      <c r="E197" s="38"/>
      <c r="F197" s="38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40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  <c r="AK197" s="39"/>
    </row>
    <row r="198">
      <c r="A198" s="39"/>
      <c r="B198" s="38"/>
      <c r="C198" s="38"/>
      <c r="D198" s="38"/>
      <c r="E198" s="38"/>
      <c r="F198" s="38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40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  <c r="AK198" s="39"/>
    </row>
    <row r="199">
      <c r="A199" s="39"/>
      <c r="B199" s="38"/>
      <c r="C199" s="38"/>
      <c r="D199" s="38"/>
      <c r="E199" s="38"/>
      <c r="F199" s="38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40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  <c r="AK199" s="39"/>
    </row>
    <row r="200" ht="15.75" customHeight="1">
      <c r="A200" s="35"/>
      <c r="B200" s="14"/>
      <c r="C200" s="14"/>
      <c r="D200" s="14"/>
      <c r="E200" s="14"/>
      <c r="F200" s="14"/>
      <c r="G200" s="35"/>
      <c r="H200" s="13"/>
      <c r="I200" s="13"/>
      <c r="J200" s="13"/>
      <c r="K200" s="35"/>
      <c r="L200" s="35"/>
      <c r="M200" s="35"/>
      <c r="N200" s="35"/>
      <c r="O200" s="35"/>
      <c r="P200" s="35"/>
      <c r="Q200" s="13"/>
      <c r="R200" s="13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</row>
    <row r="201">
      <c r="A201" s="39"/>
      <c r="B201" s="38"/>
      <c r="C201" s="38"/>
      <c r="D201" s="38"/>
      <c r="E201" s="38"/>
      <c r="F201" s="38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40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  <c r="AK201" s="39"/>
    </row>
    <row r="202">
      <c r="A202" s="39"/>
      <c r="B202" s="38"/>
      <c r="C202" s="38"/>
      <c r="D202" s="38"/>
      <c r="E202" s="38"/>
      <c r="F202" s="38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40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  <c r="AK202" s="39"/>
    </row>
    <row r="203">
      <c r="A203" s="39"/>
      <c r="B203" s="38"/>
      <c r="C203" s="38"/>
      <c r="D203" s="38"/>
      <c r="E203" s="38"/>
      <c r="F203" s="38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40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  <c r="AK203" s="39"/>
    </row>
    <row r="204" ht="15.75" customHeight="1">
      <c r="A204" s="35"/>
      <c r="B204" s="14"/>
      <c r="C204" s="14"/>
      <c r="D204" s="14"/>
      <c r="E204" s="14"/>
      <c r="F204" s="14"/>
      <c r="G204" s="35"/>
      <c r="H204" s="13"/>
      <c r="I204" s="13"/>
      <c r="J204" s="13"/>
      <c r="K204" s="35"/>
      <c r="L204" s="35"/>
      <c r="M204" s="35"/>
      <c r="N204" s="35"/>
      <c r="O204" s="35"/>
      <c r="P204" s="35"/>
      <c r="Q204" s="13"/>
      <c r="R204" s="13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</row>
    <row r="205">
      <c r="A205" s="39"/>
      <c r="B205" s="38"/>
      <c r="C205" s="38"/>
      <c r="D205" s="38"/>
      <c r="E205" s="38"/>
      <c r="F205" s="38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40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</row>
    <row r="206">
      <c r="A206" s="39"/>
      <c r="B206" s="38"/>
      <c r="C206" s="38"/>
      <c r="D206" s="38"/>
      <c r="E206" s="38"/>
      <c r="F206" s="38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40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  <c r="AK206" s="39"/>
    </row>
    <row r="207">
      <c r="A207" s="39"/>
      <c r="B207" s="38"/>
      <c r="C207" s="38"/>
      <c r="D207" s="38"/>
      <c r="E207" s="38"/>
      <c r="F207" s="38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40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  <c r="AK207" s="39"/>
    </row>
    <row r="208" ht="15.75" customHeight="1">
      <c r="A208" s="35"/>
      <c r="B208" s="14"/>
      <c r="C208" s="14"/>
      <c r="D208" s="14"/>
      <c r="E208" s="14"/>
      <c r="F208" s="14"/>
      <c r="G208" s="35"/>
      <c r="H208" s="13"/>
      <c r="I208" s="13"/>
      <c r="J208" s="13"/>
      <c r="K208" s="35"/>
      <c r="L208" s="35"/>
      <c r="M208" s="35"/>
      <c r="N208" s="35"/>
      <c r="O208" s="35"/>
      <c r="P208" s="35"/>
      <c r="Q208" s="13"/>
      <c r="R208" s="13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</row>
    <row r="209">
      <c r="A209" s="39"/>
      <c r="B209" s="38"/>
      <c r="C209" s="38"/>
      <c r="D209" s="38"/>
      <c r="E209" s="38"/>
      <c r="F209" s="38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40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  <c r="AK209" s="39"/>
    </row>
    <row r="210">
      <c r="A210" s="39"/>
      <c r="B210" s="38"/>
      <c r="C210" s="38"/>
      <c r="D210" s="38"/>
      <c r="E210" s="38"/>
      <c r="F210" s="38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40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  <c r="AK210" s="39"/>
    </row>
    <row r="211">
      <c r="A211" s="39"/>
      <c r="B211" s="38"/>
      <c r="C211" s="38"/>
      <c r="D211" s="38"/>
      <c r="E211" s="38"/>
      <c r="F211" s="38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40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  <c r="AK211" s="39"/>
    </row>
    <row r="212" ht="15.75" customHeight="1">
      <c r="A212" s="35"/>
      <c r="B212" s="14"/>
      <c r="C212" s="14"/>
      <c r="D212" s="14"/>
      <c r="E212" s="14"/>
      <c r="F212" s="14"/>
      <c r="G212" s="35"/>
      <c r="H212" s="13"/>
      <c r="I212" s="13"/>
      <c r="J212" s="13"/>
      <c r="K212" s="35"/>
      <c r="L212" s="35"/>
      <c r="M212" s="35"/>
      <c r="N212" s="35"/>
      <c r="O212" s="35"/>
      <c r="P212" s="35"/>
      <c r="Q212" s="13"/>
      <c r="R212" s="13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</row>
    <row r="213">
      <c r="A213" s="39"/>
      <c r="B213" s="38"/>
      <c r="C213" s="38"/>
      <c r="D213" s="38"/>
      <c r="E213" s="38"/>
      <c r="F213" s="38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40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  <c r="AK213" s="39"/>
    </row>
    <row r="214">
      <c r="A214" s="39"/>
      <c r="B214" s="38"/>
      <c r="C214" s="38"/>
      <c r="D214" s="38"/>
      <c r="E214" s="38"/>
      <c r="F214" s="38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40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  <c r="AK214" s="39"/>
    </row>
    <row r="215">
      <c r="A215" s="39"/>
      <c r="B215" s="38"/>
      <c r="C215" s="38"/>
      <c r="D215" s="38"/>
      <c r="E215" s="38"/>
      <c r="F215" s="38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40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  <c r="AK215" s="39"/>
    </row>
    <row r="216" ht="15.75" customHeight="1">
      <c r="A216" s="35"/>
      <c r="B216" s="14"/>
      <c r="C216" s="14"/>
      <c r="D216" s="14"/>
      <c r="E216" s="14"/>
      <c r="F216" s="14"/>
      <c r="G216" s="35"/>
      <c r="H216" s="13"/>
      <c r="I216" s="13"/>
      <c r="J216" s="13"/>
      <c r="K216" s="35"/>
      <c r="L216" s="35"/>
      <c r="M216" s="35"/>
      <c r="N216" s="35"/>
      <c r="O216" s="35"/>
      <c r="P216" s="35"/>
      <c r="Q216" s="13"/>
      <c r="R216" s="13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</row>
    <row r="217">
      <c r="A217" s="39"/>
      <c r="B217" s="38"/>
      <c r="C217" s="38"/>
      <c r="D217" s="38"/>
      <c r="E217" s="38"/>
      <c r="F217" s="38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40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</row>
    <row r="218">
      <c r="A218" s="39"/>
      <c r="B218" s="38"/>
      <c r="C218" s="38"/>
      <c r="D218" s="38"/>
      <c r="E218" s="38"/>
      <c r="F218" s="38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40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  <c r="AK218" s="39"/>
    </row>
    <row r="219">
      <c r="A219" s="39"/>
      <c r="B219" s="38"/>
      <c r="C219" s="38"/>
      <c r="D219" s="38"/>
      <c r="E219" s="38"/>
      <c r="F219" s="38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40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  <c r="AK219" s="39"/>
    </row>
    <row r="220" ht="15.75" customHeight="1">
      <c r="A220" s="35"/>
      <c r="B220" s="2"/>
      <c r="C220" s="14"/>
      <c r="D220" s="2"/>
      <c r="E220" s="2"/>
      <c r="F220" s="2"/>
      <c r="G220" s="35"/>
      <c r="H220" s="13"/>
      <c r="I220" s="13"/>
      <c r="J220" s="13"/>
      <c r="K220" s="35"/>
      <c r="L220" s="35"/>
      <c r="M220" s="35"/>
      <c r="N220" s="35"/>
      <c r="O220" s="35"/>
      <c r="P220" s="35"/>
      <c r="Q220" s="13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</row>
    <row r="221">
      <c r="A221" s="39"/>
      <c r="B221" s="38"/>
      <c r="C221" s="38"/>
      <c r="D221" s="38"/>
      <c r="E221" s="38"/>
      <c r="F221" s="38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40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  <c r="AK221" s="39"/>
    </row>
    <row r="222">
      <c r="A222" s="39"/>
      <c r="B222" s="38"/>
      <c r="C222" s="38"/>
      <c r="D222" s="38"/>
      <c r="E222" s="38"/>
      <c r="F222" s="38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40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  <c r="AK222" s="39"/>
    </row>
    <row r="223">
      <c r="A223" s="39"/>
      <c r="B223" s="38"/>
      <c r="C223" s="38"/>
      <c r="D223" s="38"/>
      <c r="E223" s="38"/>
      <c r="F223" s="38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40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  <c r="AK223" s="39"/>
    </row>
    <row r="224">
      <c r="A224" s="39"/>
      <c r="B224" s="38"/>
      <c r="C224" s="38"/>
      <c r="D224" s="38"/>
      <c r="E224" s="38"/>
      <c r="F224" s="38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40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</row>
    <row r="225" ht="15.75" customHeight="1">
      <c r="A225" s="35"/>
      <c r="B225" s="2"/>
      <c r="C225" s="2"/>
      <c r="D225" s="2"/>
      <c r="E225" s="2"/>
      <c r="F225" s="2"/>
      <c r="G225" s="35"/>
      <c r="H225" s="13"/>
      <c r="I225" s="13"/>
      <c r="J225" s="13"/>
      <c r="K225" s="35"/>
      <c r="L225" s="35"/>
      <c r="M225" s="35"/>
      <c r="N225" s="35"/>
      <c r="O225" s="35"/>
      <c r="P225" s="35"/>
      <c r="Q225" s="13"/>
      <c r="R225" s="13"/>
      <c r="S225" s="35"/>
      <c r="T225" s="13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</row>
    <row r="226">
      <c r="A226" s="39"/>
      <c r="B226" s="38"/>
      <c r="C226" s="38"/>
      <c r="D226" s="38"/>
      <c r="E226" s="38"/>
      <c r="F226" s="38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40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  <c r="AK226" s="39"/>
    </row>
    <row r="227">
      <c r="A227" s="39"/>
      <c r="B227" s="38"/>
      <c r="C227" s="38"/>
      <c r="D227" s="38"/>
      <c r="E227" s="38"/>
      <c r="F227" s="38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40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  <c r="AK227" s="39"/>
    </row>
    <row r="228">
      <c r="A228" s="39"/>
      <c r="B228" s="38"/>
      <c r="C228" s="38"/>
      <c r="D228" s="38"/>
      <c r="E228" s="38"/>
      <c r="F228" s="38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40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</row>
    <row r="229" ht="15.75" customHeight="1">
      <c r="A229" s="35"/>
      <c r="B229" s="2"/>
      <c r="C229" s="2"/>
      <c r="D229" s="2"/>
      <c r="E229" s="2"/>
      <c r="F229" s="2"/>
      <c r="G229" s="35"/>
      <c r="H229" s="13"/>
      <c r="I229" s="13"/>
      <c r="J229" s="13"/>
      <c r="K229" s="35"/>
      <c r="L229" s="35"/>
      <c r="M229" s="35"/>
      <c r="N229" s="35"/>
      <c r="O229" s="35"/>
      <c r="P229" s="35"/>
      <c r="Q229" s="13"/>
      <c r="R229" s="13"/>
      <c r="S229" s="35"/>
      <c r="T229" s="13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</row>
    <row r="230" ht="15.75" customHeight="1">
      <c r="A230" s="35"/>
      <c r="B230" s="2"/>
      <c r="C230" s="2"/>
      <c r="D230" s="2"/>
      <c r="E230" s="2"/>
      <c r="F230" s="2"/>
      <c r="G230" s="35"/>
      <c r="H230" s="13"/>
      <c r="I230" s="13"/>
      <c r="J230" s="13"/>
      <c r="K230" s="35"/>
      <c r="L230" s="35"/>
      <c r="M230" s="35"/>
      <c r="N230" s="35"/>
      <c r="O230" s="35"/>
      <c r="P230" s="35"/>
      <c r="Q230" s="13"/>
      <c r="R230" s="13"/>
      <c r="S230" s="35"/>
      <c r="T230" s="13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</row>
    <row r="231" ht="15.75" customHeight="1">
      <c r="A231" s="35"/>
      <c r="B231" s="2"/>
      <c r="C231" s="2"/>
      <c r="D231" s="2"/>
      <c r="E231" s="2"/>
      <c r="F231" s="2"/>
      <c r="G231" s="35"/>
      <c r="H231" s="13"/>
      <c r="I231" s="13"/>
      <c r="J231" s="13"/>
      <c r="K231" s="35"/>
      <c r="L231" s="35"/>
      <c r="M231" s="35"/>
      <c r="N231" s="35"/>
      <c r="O231" s="35"/>
      <c r="P231" s="35"/>
      <c r="Q231" s="13"/>
      <c r="R231" s="13"/>
      <c r="S231" s="35"/>
      <c r="T231" s="13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</row>
    <row r="232" ht="15.75" customHeight="1">
      <c r="A232" s="35"/>
      <c r="B232" s="2"/>
      <c r="C232" s="2"/>
      <c r="D232" s="2"/>
      <c r="E232" s="2"/>
      <c r="F232" s="2"/>
      <c r="G232" s="35"/>
      <c r="H232" s="13"/>
      <c r="I232" s="13"/>
      <c r="J232" s="13"/>
      <c r="K232" s="35"/>
      <c r="L232" s="35"/>
      <c r="M232" s="35"/>
      <c r="N232" s="35"/>
      <c r="O232" s="35"/>
      <c r="P232" s="35"/>
      <c r="Q232" s="13"/>
      <c r="R232" s="13"/>
      <c r="S232" s="35"/>
      <c r="T232" s="13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</row>
    <row r="233" ht="15.75" customHeight="1">
      <c r="A233" s="35"/>
      <c r="B233" s="2"/>
      <c r="C233" s="2"/>
      <c r="D233" s="2"/>
      <c r="E233" s="2"/>
      <c r="F233" s="2"/>
      <c r="G233" s="35"/>
      <c r="H233" s="13"/>
      <c r="I233" s="13"/>
      <c r="J233" s="13"/>
      <c r="K233" s="35"/>
      <c r="L233" s="35"/>
      <c r="M233" s="35"/>
      <c r="N233" s="35"/>
      <c r="O233" s="35"/>
      <c r="P233" s="35"/>
      <c r="Q233" s="13"/>
      <c r="R233" s="13"/>
      <c r="S233" s="35"/>
      <c r="T233" s="13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</row>
    <row r="234" ht="15.75" customHeight="1">
      <c r="A234" s="35"/>
      <c r="B234" s="2"/>
      <c r="C234" s="2"/>
      <c r="D234" s="2"/>
      <c r="E234" s="2"/>
      <c r="F234" s="2"/>
      <c r="G234" s="35"/>
      <c r="H234" s="13"/>
      <c r="I234" s="13"/>
      <c r="J234" s="13"/>
      <c r="K234" s="35"/>
      <c r="L234" s="35"/>
      <c r="M234" s="35"/>
      <c r="N234" s="35"/>
      <c r="O234" s="35"/>
      <c r="P234" s="35"/>
      <c r="Q234" s="13"/>
      <c r="R234" s="13"/>
      <c r="S234" s="35"/>
      <c r="T234" s="13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</row>
    <row r="235" ht="15.75" customHeight="1">
      <c r="A235" s="35"/>
      <c r="B235" s="2"/>
      <c r="C235" s="2"/>
      <c r="D235" s="2"/>
      <c r="E235" s="2"/>
      <c r="F235" s="2"/>
      <c r="G235" s="35"/>
      <c r="H235" s="13"/>
      <c r="I235" s="13"/>
      <c r="J235" s="13"/>
      <c r="K235" s="35"/>
      <c r="L235" s="35"/>
      <c r="M235" s="35"/>
      <c r="N235" s="35"/>
      <c r="O235" s="35"/>
      <c r="P235" s="35"/>
      <c r="Q235" s="13"/>
      <c r="R235" s="13"/>
      <c r="S235" s="35"/>
      <c r="T235" s="13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</row>
    <row r="236" ht="15.75" customHeight="1">
      <c r="A236" s="35"/>
      <c r="B236" s="2"/>
      <c r="C236" s="2"/>
      <c r="D236" s="2"/>
      <c r="E236" s="2"/>
      <c r="F236" s="2"/>
      <c r="G236" s="35"/>
      <c r="H236" s="13"/>
      <c r="I236" s="13"/>
      <c r="J236" s="13"/>
      <c r="K236" s="35"/>
      <c r="L236" s="35"/>
      <c r="M236" s="35"/>
      <c r="N236" s="35"/>
      <c r="O236" s="35"/>
      <c r="P236" s="35"/>
      <c r="Q236" s="13"/>
      <c r="R236" s="13"/>
      <c r="S236" s="35"/>
      <c r="T236" s="13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</row>
    <row r="237" ht="15.75" customHeight="1">
      <c r="A237" s="35"/>
      <c r="B237" s="2"/>
      <c r="C237" s="2"/>
      <c r="D237" s="2"/>
      <c r="E237" s="2"/>
      <c r="F237" s="2"/>
      <c r="G237" s="35"/>
      <c r="H237" s="13"/>
      <c r="I237" s="13"/>
      <c r="J237" s="13"/>
      <c r="K237" s="35"/>
      <c r="L237" s="35"/>
      <c r="M237" s="35"/>
      <c r="N237" s="35"/>
      <c r="O237" s="35"/>
      <c r="P237" s="35"/>
      <c r="Q237" s="13"/>
      <c r="R237" s="13"/>
      <c r="S237" s="35"/>
      <c r="T237" s="13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</row>
    <row r="238" ht="15.75" customHeight="1">
      <c r="A238" s="35"/>
      <c r="B238" s="2"/>
      <c r="C238" s="2"/>
      <c r="D238" s="2"/>
      <c r="E238" s="2"/>
      <c r="F238" s="2"/>
      <c r="G238" s="35"/>
      <c r="H238" s="13"/>
      <c r="I238" s="13"/>
      <c r="J238" s="13"/>
      <c r="K238" s="35"/>
      <c r="L238" s="35"/>
      <c r="M238" s="35"/>
      <c r="N238" s="35"/>
      <c r="O238" s="35"/>
      <c r="P238" s="35"/>
      <c r="Q238" s="13"/>
      <c r="R238" s="13"/>
      <c r="S238" s="35"/>
      <c r="T238" s="13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</row>
    <row r="239" ht="15.75" customHeight="1">
      <c r="A239" s="35"/>
      <c r="B239" s="2"/>
      <c r="C239" s="2"/>
      <c r="D239" s="2"/>
      <c r="E239" s="2"/>
      <c r="F239" s="2"/>
      <c r="G239" s="35"/>
      <c r="H239" s="13"/>
      <c r="I239" s="13"/>
      <c r="J239" s="13"/>
      <c r="K239" s="35"/>
      <c r="L239" s="35"/>
      <c r="M239" s="35"/>
      <c r="N239" s="35"/>
      <c r="O239" s="35"/>
      <c r="P239" s="35"/>
      <c r="Q239" s="13"/>
      <c r="R239" s="13"/>
      <c r="S239" s="35"/>
      <c r="T239" s="13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</row>
    <row r="240" ht="15.75" customHeight="1">
      <c r="A240" s="35"/>
      <c r="B240" s="2"/>
      <c r="C240" s="2"/>
      <c r="D240" s="2"/>
      <c r="E240" s="2"/>
      <c r="F240" s="2"/>
      <c r="G240" s="35"/>
      <c r="H240" s="13"/>
      <c r="I240" s="13"/>
      <c r="J240" s="13"/>
      <c r="K240" s="35"/>
      <c r="L240" s="35"/>
      <c r="M240" s="35"/>
      <c r="N240" s="35"/>
      <c r="O240" s="35"/>
      <c r="P240" s="35"/>
      <c r="Q240" s="13"/>
      <c r="R240" s="13"/>
      <c r="S240" s="35"/>
      <c r="T240" s="13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</row>
    <row r="241" ht="15.75" customHeight="1">
      <c r="A241" s="35"/>
      <c r="B241" s="2"/>
      <c r="C241" s="2"/>
      <c r="D241" s="2"/>
      <c r="E241" s="2"/>
      <c r="F241" s="2"/>
      <c r="G241" s="35"/>
      <c r="H241" s="13"/>
      <c r="I241" s="13"/>
      <c r="J241" s="13"/>
      <c r="K241" s="35"/>
      <c r="L241" s="35"/>
      <c r="M241" s="35"/>
      <c r="N241" s="35"/>
      <c r="O241" s="35"/>
      <c r="P241" s="35"/>
      <c r="Q241" s="13"/>
      <c r="R241" s="13"/>
      <c r="S241" s="35"/>
      <c r="T241" s="13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</row>
    <row r="242" ht="15.75" customHeight="1">
      <c r="A242" s="35"/>
      <c r="B242" s="2"/>
      <c r="C242" s="2"/>
      <c r="D242" s="2"/>
      <c r="E242" s="2"/>
      <c r="F242" s="2"/>
      <c r="G242" s="35"/>
      <c r="H242" s="13"/>
      <c r="I242" s="13"/>
      <c r="J242" s="13"/>
      <c r="K242" s="35"/>
      <c r="L242" s="35"/>
      <c r="M242" s="35"/>
      <c r="N242" s="35"/>
      <c r="O242" s="35"/>
      <c r="P242" s="35"/>
      <c r="Q242" s="13"/>
      <c r="R242" s="13"/>
      <c r="S242" s="35"/>
      <c r="T242" s="13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</row>
    <row r="243" ht="15.75" customHeight="1">
      <c r="A243" s="35"/>
      <c r="B243" s="2"/>
      <c r="C243" s="2"/>
      <c r="D243" s="2"/>
      <c r="E243" s="2"/>
      <c r="F243" s="2"/>
      <c r="G243" s="35"/>
      <c r="H243" s="13"/>
      <c r="I243" s="13"/>
      <c r="J243" s="13"/>
      <c r="K243" s="35"/>
      <c r="L243" s="35"/>
      <c r="M243" s="35"/>
      <c r="N243" s="35"/>
      <c r="O243" s="35"/>
      <c r="P243" s="35"/>
      <c r="Q243" s="13"/>
      <c r="R243" s="13"/>
      <c r="S243" s="35"/>
      <c r="T243" s="13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</row>
    <row r="244" ht="15.75" customHeight="1">
      <c r="A244" s="35"/>
      <c r="B244" s="2"/>
      <c r="C244" s="2"/>
      <c r="D244" s="2"/>
      <c r="E244" s="2"/>
      <c r="F244" s="2"/>
      <c r="G244" s="35"/>
      <c r="H244" s="13"/>
      <c r="I244" s="13"/>
      <c r="J244" s="13"/>
      <c r="K244" s="35"/>
      <c r="L244" s="35"/>
      <c r="M244" s="35"/>
      <c r="N244" s="35"/>
      <c r="O244" s="35"/>
      <c r="P244" s="35"/>
      <c r="Q244" s="13"/>
      <c r="R244" s="13"/>
      <c r="S244" s="35"/>
      <c r="T244" s="13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</row>
    <row r="245" ht="15.75" customHeight="1">
      <c r="A245" s="35"/>
      <c r="B245" s="2"/>
      <c r="C245" s="2"/>
      <c r="D245" s="2"/>
      <c r="E245" s="2"/>
      <c r="F245" s="2"/>
      <c r="G245" s="35"/>
      <c r="H245" s="13"/>
      <c r="I245" s="13"/>
      <c r="J245" s="13"/>
      <c r="K245" s="35"/>
      <c r="L245" s="35"/>
      <c r="M245" s="35"/>
      <c r="N245" s="35"/>
      <c r="O245" s="35"/>
      <c r="P245" s="35"/>
      <c r="Q245" s="13"/>
      <c r="R245" s="13"/>
      <c r="S245" s="35"/>
      <c r="T245" s="13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</row>
    <row r="246" ht="15.75" customHeight="1">
      <c r="A246" s="35"/>
      <c r="B246" s="2"/>
      <c r="C246" s="2"/>
      <c r="D246" s="2"/>
      <c r="E246" s="2"/>
      <c r="F246" s="2"/>
      <c r="G246" s="35"/>
      <c r="H246" s="13"/>
      <c r="I246" s="13"/>
      <c r="J246" s="13"/>
      <c r="K246" s="35"/>
      <c r="L246" s="35"/>
      <c r="M246" s="35"/>
      <c r="N246" s="35"/>
      <c r="O246" s="35"/>
      <c r="P246" s="35"/>
      <c r="Q246" s="13"/>
      <c r="R246" s="13"/>
      <c r="S246" s="35"/>
      <c r="T246" s="13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</row>
    <row r="247" ht="15.75" customHeight="1">
      <c r="A247" s="35"/>
      <c r="B247" s="2"/>
      <c r="C247" s="2"/>
      <c r="D247" s="2"/>
      <c r="E247" s="2"/>
      <c r="F247" s="2"/>
      <c r="G247" s="35"/>
      <c r="H247" s="13"/>
      <c r="I247" s="13"/>
      <c r="J247" s="13"/>
      <c r="K247" s="35"/>
      <c r="L247" s="35"/>
      <c r="M247" s="35"/>
      <c r="N247" s="35"/>
      <c r="O247" s="35"/>
      <c r="P247" s="35"/>
      <c r="Q247" s="13"/>
      <c r="R247" s="13"/>
      <c r="S247" s="35"/>
      <c r="T247" s="13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</row>
    <row r="248" ht="15.75" customHeight="1">
      <c r="A248" s="35"/>
      <c r="B248" s="2"/>
      <c r="C248" s="2"/>
      <c r="D248" s="2"/>
      <c r="E248" s="2"/>
      <c r="F248" s="2"/>
      <c r="G248" s="35"/>
      <c r="H248" s="13"/>
      <c r="I248" s="13"/>
      <c r="J248" s="13"/>
      <c r="K248" s="35"/>
      <c r="L248" s="35"/>
      <c r="M248" s="35"/>
      <c r="N248" s="35"/>
      <c r="O248" s="35"/>
      <c r="P248" s="35"/>
      <c r="Q248" s="13"/>
      <c r="R248" s="13"/>
      <c r="S248" s="35"/>
      <c r="T248" s="13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</row>
    <row r="249" ht="15.75" customHeight="1">
      <c r="A249" s="35"/>
      <c r="B249" s="2"/>
      <c r="C249" s="2"/>
      <c r="D249" s="2"/>
      <c r="E249" s="2"/>
      <c r="F249" s="2"/>
      <c r="G249" s="35"/>
      <c r="H249" s="13"/>
      <c r="I249" s="13"/>
      <c r="J249" s="13"/>
      <c r="K249" s="35"/>
      <c r="L249" s="35"/>
      <c r="M249" s="35"/>
      <c r="N249" s="35"/>
      <c r="O249" s="35"/>
      <c r="P249" s="35"/>
      <c r="Q249" s="13"/>
      <c r="R249" s="13"/>
      <c r="S249" s="35"/>
      <c r="T249" s="13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</row>
    <row r="250" ht="15.75" customHeight="1">
      <c r="A250" s="35"/>
      <c r="B250" s="2"/>
      <c r="C250" s="2"/>
      <c r="D250" s="2"/>
      <c r="E250" s="2"/>
      <c r="F250" s="2"/>
      <c r="G250" s="35"/>
      <c r="H250" s="13"/>
      <c r="I250" s="13"/>
      <c r="J250" s="13"/>
      <c r="K250" s="35"/>
      <c r="L250" s="35"/>
      <c r="M250" s="35"/>
      <c r="N250" s="35"/>
      <c r="O250" s="35"/>
      <c r="P250" s="35"/>
      <c r="Q250" s="13"/>
      <c r="R250" s="13"/>
      <c r="S250" s="35"/>
      <c r="T250" s="13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</row>
    <row r="251" ht="15.75" customHeight="1">
      <c r="A251" s="35"/>
      <c r="B251" s="2"/>
      <c r="C251" s="2"/>
      <c r="D251" s="2"/>
      <c r="E251" s="2"/>
      <c r="F251" s="2"/>
      <c r="G251" s="35"/>
      <c r="H251" s="13"/>
      <c r="I251" s="13"/>
      <c r="J251" s="13"/>
      <c r="K251" s="35"/>
      <c r="L251" s="35"/>
      <c r="M251" s="35"/>
      <c r="N251" s="35"/>
      <c r="O251" s="35"/>
      <c r="P251" s="35"/>
      <c r="Q251" s="13"/>
      <c r="R251" s="13"/>
      <c r="S251" s="35"/>
      <c r="T251" s="13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</row>
    <row r="252" ht="15.75" customHeight="1">
      <c r="A252" s="35"/>
      <c r="B252" s="2"/>
      <c r="C252" s="2"/>
      <c r="D252" s="2"/>
      <c r="E252" s="2"/>
      <c r="F252" s="2"/>
      <c r="G252" s="35"/>
      <c r="H252" s="13"/>
      <c r="I252" s="13"/>
      <c r="J252" s="13"/>
      <c r="K252" s="35"/>
      <c r="L252" s="35"/>
      <c r="M252" s="35"/>
      <c r="N252" s="35"/>
      <c r="O252" s="35"/>
      <c r="P252" s="35"/>
      <c r="Q252" s="13"/>
      <c r="R252" s="13"/>
      <c r="S252" s="35"/>
      <c r="T252" s="13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</row>
    <row r="253" ht="15.75" customHeight="1">
      <c r="A253" s="35"/>
      <c r="B253" s="2"/>
      <c r="C253" s="2"/>
      <c r="D253" s="2"/>
      <c r="E253" s="2"/>
      <c r="F253" s="2"/>
      <c r="G253" s="35"/>
      <c r="H253" s="13"/>
      <c r="I253" s="13"/>
      <c r="J253" s="13"/>
      <c r="K253" s="35"/>
      <c r="L253" s="35"/>
      <c r="M253" s="35"/>
      <c r="N253" s="35"/>
      <c r="O253" s="35"/>
      <c r="P253" s="35"/>
      <c r="Q253" s="13"/>
      <c r="R253" s="13"/>
      <c r="S253" s="35"/>
      <c r="T253" s="13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</row>
    <row r="254" ht="15.75" customHeight="1">
      <c r="A254" s="35"/>
      <c r="B254" s="2"/>
      <c r="C254" s="2"/>
      <c r="D254" s="2"/>
      <c r="E254" s="2"/>
      <c r="F254" s="2"/>
      <c r="G254" s="35"/>
      <c r="H254" s="13"/>
      <c r="I254" s="13"/>
      <c r="J254" s="13"/>
      <c r="K254" s="35"/>
      <c r="L254" s="35"/>
      <c r="M254" s="35"/>
      <c r="N254" s="35"/>
      <c r="O254" s="35"/>
      <c r="P254" s="35"/>
      <c r="Q254" s="13"/>
      <c r="R254" s="13"/>
      <c r="S254" s="35"/>
      <c r="T254" s="13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</row>
    <row r="255" ht="15.75" customHeight="1">
      <c r="A255" s="35"/>
      <c r="B255" s="2"/>
      <c r="C255" s="2"/>
      <c r="D255" s="2"/>
      <c r="E255" s="2"/>
      <c r="F255" s="2"/>
      <c r="G255" s="35"/>
      <c r="H255" s="13"/>
      <c r="I255" s="13"/>
      <c r="J255" s="13"/>
      <c r="K255" s="35"/>
      <c r="L255" s="35"/>
      <c r="M255" s="35"/>
      <c r="N255" s="35"/>
      <c r="O255" s="35"/>
      <c r="P255" s="35"/>
      <c r="Q255" s="13"/>
      <c r="R255" s="13"/>
      <c r="S255" s="35"/>
      <c r="T255" s="13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</row>
    <row r="256" ht="15.75" customHeight="1">
      <c r="A256" s="35"/>
      <c r="B256" s="2"/>
      <c r="C256" s="2"/>
      <c r="D256" s="2"/>
      <c r="E256" s="2"/>
      <c r="F256" s="2"/>
      <c r="G256" s="35"/>
      <c r="H256" s="13"/>
      <c r="I256" s="13"/>
      <c r="J256" s="13"/>
      <c r="K256" s="35"/>
      <c r="L256" s="35"/>
      <c r="M256" s="35"/>
      <c r="N256" s="35"/>
      <c r="O256" s="35"/>
      <c r="P256" s="35"/>
      <c r="Q256" s="13"/>
      <c r="R256" s="13"/>
      <c r="S256" s="35"/>
      <c r="T256" s="13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</row>
    <row r="257" ht="15.75" customHeight="1">
      <c r="A257" s="35"/>
      <c r="B257" s="2"/>
      <c r="C257" s="2"/>
      <c r="D257" s="2"/>
      <c r="E257" s="2"/>
      <c r="F257" s="2"/>
      <c r="G257" s="35"/>
      <c r="H257" s="13"/>
      <c r="I257" s="13"/>
      <c r="J257" s="13"/>
      <c r="K257" s="35"/>
      <c r="L257" s="35"/>
      <c r="M257" s="35"/>
      <c r="N257" s="35"/>
      <c r="O257" s="35"/>
      <c r="P257" s="35"/>
      <c r="Q257" s="13"/>
      <c r="R257" s="13"/>
      <c r="S257" s="35"/>
      <c r="T257" s="13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</row>
    <row r="258" ht="15.75" customHeight="1">
      <c r="A258" s="35"/>
      <c r="B258" s="2"/>
      <c r="C258" s="2"/>
      <c r="D258" s="2"/>
      <c r="E258" s="2"/>
      <c r="F258" s="2"/>
      <c r="G258" s="35"/>
      <c r="H258" s="13"/>
      <c r="I258" s="13"/>
      <c r="J258" s="13"/>
      <c r="K258" s="35"/>
      <c r="L258" s="35"/>
      <c r="M258" s="35"/>
      <c r="N258" s="35"/>
      <c r="O258" s="35"/>
      <c r="P258" s="35"/>
      <c r="Q258" s="13"/>
      <c r="R258" s="13"/>
      <c r="S258" s="35"/>
      <c r="T258" s="13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</row>
    <row r="259" ht="15.75" customHeight="1">
      <c r="A259" s="35"/>
      <c r="B259" s="2"/>
      <c r="C259" s="2"/>
      <c r="D259" s="2"/>
      <c r="E259" s="2"/>
      <c r="F259" s="2"/>
      <c r="G259" s="35"/>
      <c r="H259" s="13"/>
      <c r="I259" s="13"/>
      <c r="J259" s="13"/>
      <c r="K259" s="35"/>
      <c r="L259" s="35"/>
      <c r="M259" s="35"/>
      <c r="N259" s="35"/>
      <c r="O259" s="35"/>
      <c r="P259" s="35"/>
      <c r="Q259" s="13"/>
      <c r="R259" s="13"/>
      <c r="S259" s="35"/>
      <c r="T259" s="13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</row>
    <row r="260" ht="15.75" customHeight="1">
      <c r="A260" s="35"/>
      <c r="B260" s="2"/>
      <c r="C260" s="2"/>
      <c r="D260" s="2"/>
      <c r="E260" s="2"/>
      <c r="F260" s="2"/>
      <c r="G260" s="35"/>
      <c r="H260" s="13"/>
      <c r="I260" s="13"/>
      <c r="J260" s="13"/>
      <c r="K260" s="35"/>
      <c r="L260" s="35"/>
      <c r="M260" s="35"/>
      <c r="N260" s="35"/>
      <c r="O260" s="35"/>
      <c r="P260" s="35"/>
      <c r="Q260" s="13"/>
      <c r="R260" s="13"/>
      <c r="S260" s="35"/>
      <c r="T260" s="13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</row>
    <row r="261" ht="15.75" customHeight="1">
      <c r="A261" s="35"/>
      <c r="B261" s="2"/>
      <c r="C261" s="2"/>
      <c r="D261" s="2"/>
      <c r="E261" s="2"/>
      <c r="F261" s="2"/>
      <c r="G261" s="35"/>
      <c r="H261" s="13"/>
      <c r="I261" s="13"/>
      <c r="J261" s="13"/>
      <c r="K261" s="35"/>
      <c r="L261" s="35"/>
      <c r="M261" s="35"/>
      <c r="N261" s="35"/>
      <c r="O261" s="35"/>
      <c r="P261" s="35"/>
      <c r="Q261" s="13"/>
      <c r="R261" s="13"/>
      <c r="S261" s="35"/>
      <c r="T261" s="13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</row>
    <row r="262" ht="15.75" customHeight="1">
      <c r="A262" s="35"/>
      <c r="B262" s="2"/>
      <c r="C262" s="2"/>
      <c r="D262" s="2"/>
      <c r="E262" s="2"/>
      <c r="F262" s="2"/>
      <c r="G262" s="35"/>
      <c r="H262" s="13"/>
      <c r="I262" s="13"/>
      <c r="J262" s="13"/>
      <c r="K262" s="35"/>
      <c r="L262" s="35"/>
      <c r="M262" s="35"/>
      <c r="N262" s="35"/>
      <c r="O262" s="35"/>
      <c r="P262" s="35"/>
      <c r="Q262" s="13"/>
      <c r="R262" s="13"/>
      <c r="S262" s="35"/>
      <c r="T262" s="13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</row>
    <row r="263" ht="15.75" customHeight="1">
      <c r="A263" s="35"/>
      <c r="B263" s="2"/>
      <c r="C263" s="2"/>
      <c r="D263" s="2"/>
      <c r="E263" s="2"/>
      <c r="F263" s="2"/>
      <c r="G263" s="35"/>
      <c r="H263" s="13"/>
      <c r="I263" s="13"/>
      <c r="J263" s="13"/>
      <c r="K263" s="35"/>
      <c r="L263" s="35"/>
      <c r="M263" s="35"/>
      <c r="N263" s="35"/>
      <c r="O263" s="35"/>
      <c r="P263" s="35"/>
      <c r="Q263" s="13"/>
      <c r="R263" s="13"/>
      <c r="S263" s="35"/>
      <c r="T263" s="13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</row>
    <row r="264" ht="15.75" customHeight="1">
      <c r="A264" s="35"/>
      <c r="B264" s="2"/>
      <c r="C264" s="2"/>
      <c r="D264" s="2"/>
      <c r="E264" s="2"/>
      <c r="F264" s="2"/>
      <c r="G264" s="35"/>
      <c r="H264" s="13"/>
      <c r="I264" s="13"/>
      <c r="J264" s="13"/>
      <c r="K264" s="35"/>
      <c r="L264" s="35"/>
      <c r="M264" s="35"/>
      <c r="N264" s="35"/>
      <c r="O264" s="35"/>
      <c r="P264" s="35"/>
      <c r="Q264" s="13"/>
      <c r="R264" s="13"/>
      <c r="S264" s="35"/>
      <c r="T264" s="13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</row>
    <row r="265" ht="15.75" customHeight="1">
      <c r="A265" s="35"/>
      <c r="B265" s="2"/>
      <c r="C265" s="2"/>
      <c r="D265" s="2"/>
      <c r="E265" s="2"/>
      <c r="F265" s="2"/>
      <c r="G265" s="35"/>
      <c r="H265" s="13"/>
      <c r="I265" s="13"/>
      <c r="J265" s="13"/>
      <c r="K265" s="35"/>
      <c r="L265" s="35"/>
      <c r="M265" s="35"/>
      <c r="N265" s="35"/>
      <c r="O265" s="35"/>
      <c r="P265" s="35"/>
      <c r="Q265" s="13"/>
      <c r="R265" s="13"/>
      <c r="S265" s="35"/>
      <c r="T265" s="13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</row>
    <row r="266" ht="15.75" customHeight="1">
      <c r="A266" s="35"/>
      <c r="B266" s="2"/>
      <c r="C266" s="2"/>
      <c r="D266" s="2"/>
      <c r="E266" s="2"/>
      <c r="F266" s="2"/>
      <c r="G266" s="35"/>
      <c r="H266" s="13"/>
      <c r="I266" s="13"/>
      <c r="J266" s="13"/>
      <c r="K266" s="35"/>
      <c r="L266" s="35"/>
      <c r="M266" s="35"/>
      <c r="N266" s="35"/>
      <c r="O266" s="35"/>
      <c r="P266" s="35"/>
      <c r="Q266" s="13"/>
      <c r="R266" s="13"/>
      <c r="S266" s="35"/>
      <c r="T266" s="13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</row>
    <row r="267" ht="15.75" customHeight="1">
      <c r="A267" s="35"/>
      <c r="B267" s="2"/>
      <c r="C267" s="2"/>
      <c r="D267" s="2"/>
      <c r="E267" s="2"/>
      <c r="F267" s="2"/>
      <c r="G267" s="35"/>
      <c r="H267" s="13"/>
      <c r="I267" s="13"/>
      <c r="J267" s="13"/>
      <c r="K267" s="35"/>
      <c r="L267" s="35"/>
      <c r="M267" s="35"/>
      <c r="N267" s="35"/>
      <c r="O267" s="35"/>
      <c r="P267" s="35"/>
      <c r="Q267" s="13"/>
      <c r="R267" s="13"/>
      <c r="S267" s="35"/>
      <c r="T267" s="13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</row>
    <row r="268" ht="15.75" customHeight="1">
      <c r="A268" s="35"/>
      <c r="B268" s="2"/>
      <c r="C268" s="2"/>
      <c r="D268" s="2"/>
      <c r="E268" s="2"/>
      <c r="F268" s="2"/>
      <c r="G268" s="35"/>
      <c r="H268" s="13"/>
      <c r="I268" s="13"/>
      <c r="J268" s="13"/>
      <c r="K268" s="35"/>
      <c r="L268" s="35"/>
      <c r="M268" s="35"/>
      <c r="N268" s="35"/>
      <c r="O268" s="35"/>
      <c r="P268" s="35"/>
      <c r="Q268" s="13"/>
      <c r="R268" s="13"/>
      <c r="S268" s="35"/>
      <c r="T268" s="13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</row>
    <row r="269" ht="15.75" customHeight="1">
      <c r="A269" s="35"/>
      <c r="B269" s="2"/>
      <c r="C269" s="2"/>
      <c r="D269" s="2"/>
      <c r="E269" s="2"/>
      <c r="F269" s="2"/>
      <c r="G269" s="35"/>
      <c r="H269" s="13"/>
      <c r="I269" s="13"/>
      <c r="J269" s="13"/>
      <c r="K269" s="35"/>
      <c r="L269" s="35"/>
      <c r="M269" s="35"/>
      <c r="N269" s="35"/>
      <c r="O269" s="35"/>
      <c r="P269" s="35"/>
      <c r="Q269" s="13"/>
      <c r="R269" s="13"/>
      <c r="S269" s="35"/>
      <c r="T269" s="13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</row>
    <row r="270" ht="15.75" customHeight="1">
      <c r="A270" s="35"/>
      <c r="B270" s="2"/>
      <c r="C270" s="2"/>
      <c r="D270" s="2"/>
      <c r="E270" s="2"/>
      <c r="F270" s="2"/>
      <c r="G270" s="35"/>
      <c r="H270" s="13"/>
      <c r="I270" s="13"/>
      <c r="J270" s="13"/>
      <c r="K270" s="35"/>
      <c r="L270" s="35"/>
      <c r="M270" s="35"/>
      <c r="N270" s="35"/>
      <c r="O270" s="35"/>
      <c r="P270" s="35"/>
      <c r="Q270" s="13"/>
      <c r="R270" s="13"/>
      <c r="S270" s="35"/>
      <c r="T270" s="13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</row>
    <row r="271" ht="15.75" customHeight="1">
      <c r="A271" s="35"/>
      <c r="B271" s="2"/>
      <c r="C271" s="2"/>
      <c r="D271" s="2"/>
      <c r="E271" s="2"/>
      <c r="F271" s="2"/>
      <c r="G271" s="35"/>
      <c r="H271" s="13"/>
      <c r="I271" s="13"/>
      <c r="J271" s="13"/>
      <c r="K271" s="35"/>
      <c r="L271" s="35"/>
      <c r="M271" s="35"/>
      <c r="N271" s="35"/>
      <c r="O271" s="35"/>
      <c r="P271" s="35"/>
      <c r="Q271" s="13"/>
      <c r="R271" s="13"/>
      <c r="S271" s="35"/>
      <c r="T271" s="13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</row>
    <row r="272" ht="15.75" customHeight="1">
      <c r="A272" s="35"/>
      <c r="B272" s="2"/>
      <c r="C272" s="2"/>
      <c r="D272" s="2"/>
      <c r="E272" s="2"/>
      <c r="F272" s="2"/>
      <c r="G272" s="35"/>
      <c r="H272" s="13"/>
      <c r="I272" s="13"/>
      <c r="J272" s="13"/>
      <c r="K272" s="35"/>
      <c r="L272" s="35"/>
      <c r="M272" s="35"/>
      <c r="N272" s="35"/>
      <c r="O272" s="35"/>
      <c r="P272" s="35"/>
      <c r="Q272" s="13"/>
      <c r="R272" s="13"/>
      <c r="S272" s="35"/>
      <c r="T272" s="13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</row>
    <row r="273" ht="15.75" customHeight="1">
      <c r="A273" s="35"/>
      <c r="B273" s="2"/>
      <c r="C273" s="2"/>
      <c r="D273" s="2"/>
      <c r="E273" s="2"/>
      <c r="F273" s="2"/>
      <c r="G273" s="35"/>
      <c r="H273" s="13"/>
      <c r="I273" s="13"/>
      <c r="J273" s="13"/>
      <c r="K273" s="35"/>
      <c r="L273" s="35"/>
      <c r="M273" s="35"/>
      <c r="N273" s="35"/>
      <c r="O273" s="35"/>
      <c r="P273" s="35"/>
      <c r="Q273" s="13"/>
      <c r="R273" s="13"/>
      <c r="S273" s="35"/>
      <c r="T273" s="13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</row>
    <row r="274" ht="15.75" customHeight="1">
      <c r="A274" s="35"/>
      <c r="B274" s="2"/>
      <c r="C274" s="2"/>
      <c r="D274" s="2"/>
      <c r="E274" s="2"/>
      <c r="F274" s="2"/>
      <c r="G274" s="35"/>
      <c r="H274" s="13"/>
      <c r="I274" s="13"/>
      <c r="J274" s="13"/>
      <c r="K274" s="35"/>
      <c r="L274" s="35"/>
      <c r="M274" s="35"/>
      <c r="N274" s="35"/>
      <c r="O274" s="35"/>
      <c r="P274" s="35"/>
      <c r="Q274" s="13"/>
      <c r="R274" s="13"/>
      <c r="S274" s="35"/>
      <c r="T274" s="13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</row>
    <row r="275" ht="15.75" customHeight="1">
      <c r="A275" s="35"/>
      <c r="B275" s="2"/>
      <c r="C275" s="2"/>
      <c r="D275" s="2"/>
      <c r="E275" s="2"/>
      <c r="F275" s="2"/>
      <c r="G275" s="35"/>
      <c r="H275" s="13"/>
      <c r="I275" s="13"/>
      <c r="J275" s="13"/>
      <c r="K275" s="35"/>
      <c r="L275" s="35"/>
      <c r="M275" s="35"/>
      <c r="N275" s="35"/>
      <c r="O275" s="35"/>
      <c r="P275" s="35"/>
      <c r="Q275" s="13"/>
      <c r="R275" s="13"/>
      <c r="S275" s="35"/>
      <c r="T275" s="13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</row>
    <row r="276" ht="15.75" customHeight="1">
      <c r="A276" s="35"/>
      <c r="B276" s="2"/>
      <c r="C276" s="2"/>
      <c r="D276" s="2"/>
      <c r="E276" s="2"/>
      <c r="F276" s="2"/>
      <c r="G276" s="35"/>
      <c r="H276" s="13"/>
      <c r="I276" s="13"/>
      <c r="J276" s="13"/>
      <c r="K276" s="35"/>
      <c r="L276" s="35"/>
      <c r="M276" s="35"/>
      <c r="N276" s="35"/>
      <c r="O276" s="35"/>
      <c r="P276" s="35"/>
      <c r="Q276" s="13"/>
      <c r="R276" s="13"/>
      <c r="S276" s="35"/>
      <c r="T276" s="13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</row>
    <row r="277" ht="15.75" customHeight="1">
      <c r="A277" s="35"/>
      <c r="B277" s="2"/>
      <c r="C277" s="2"/>
      <c r="D277" s="2"/>
      <c r="E277" s="2"/>
      <c r="F277" s="2"/>
      <c r="G277" s="35"/>
      <c r="H277" s="13"/>
      <c r="I277" s="13"/>
      <c r="J277" s="13"/>
      <c r="K277" s="35"/>
      <c r="L277" s="35"/>
      <c r="M277" s="35"/>
      <c r="N277" s="35"/>
      <c r="O277" s="35"/>
      <c r="P277" s="35"/>
      <c r="Q277" s="13"/>
      <c r="R277" s="13"/>
      <c r="S277" s="35"/>
      <c r="T277" s="13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</row>
    <row r="278" ht="15.75" customHeight="1">
      <c r="A278" s="35"/>
      <c r="B278" s="2"/>
      <c r="C278" s="2"/>
      <c r="D278" s="2"/>
      <c r="E278" s="2"/>
      <c r="F278" s="2"/>
      <c r="G278" s="35"/>
      <c r="H278" s="13"/>
      <c r="I278" s="13"/>
      <c r="J278" s="13"/>
      <c r="K278" s="35"/>
      <c r="L278" s="35"/>
      <c r="M278" s="35"/>
      <c r="N278" s="35"/>
      <c r="O278" s="35"/>
      <c r="P278" s="35"/>
      <c r="Q278" s="13"/>
      <c r="R278" s="13"/>
      <c r="S278" s="35"/>
      <c r="T278" s="13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</row>
    <row r="279" ht="15.75" customHeight="1">
      <c r="A279" s="35"/>
      <c r="B279" s="2"/>
      <c r="C279" s="2"/>
      <c r="D279" s="2"/>
      <c r="E279" s="2"/>
      <c r="F279" s="2"/>
      <c r="G279" s="35"/>
      <c r="H279" s="13"/>
      <c r="I279" s="13"/>
      <c r="J279" s="13"/>
      <c r="K279" s="35"/>
      <c r="L279" s="35"/>
      <c r="M279" s="35"/>
      <c r="N279" s="35"/>
      <c r="O279" s="35"/>
      <c r="P279" s="35"/>
      <c r="Q279" s="13"/>
      <c r="R279" s="13"/>
      <c r="S279" s="35"/>
      <c r="T279" s="13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</row>
    <row r="280" ht="15.75" customHeight="1">
      <c r="A280" s="35"/>
      <c r="B280" s="2"/>
      <c r="C280" s="2"/>
      <c r="D280" s="2"/>
      <c r="E280" s="2"/>
      <c r="F280" s="2"/>
      <c r="G280" s="35"/>
      <c r="H280" s="13"/>
      <c r="I280" s="13"/>
      <c r="J280" s="13"/>
      <c r="K280" s="35"/>
      <c r="L280" s="35"/>
      <c r="M280" s="35"/>
      <c r="N280" s="35"/>
      <c r="O280" s="35"/>
      <c r="P280" s="35"/>
      <c r="Q280" s="13"/>
      <c r="R280" s="13"/>
      <c r="S280" s="35"/>
      <c r="T280" s="13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</row>
    <row r="281" ht="15.75" customHeight="1">
      <c r="A281" s="35"/>
      <c r="B281" s="2"/>
      <c r="C281" s="2"/>
      <c r="D281" s="2"/>
      <c r="E281" s="2"/>
      <c r="F281" s="2"/>
      <c r="G281" s="35"/>
      <c r="H281" s="13"/>
      <c r="I281" s="13"/>
      <c r="J281" s="13"/>
      <c r="K281" s="35"/>
      <c r="L281" s="35"/>
      <c r="M281" s="35"/>
      <c r="N281" s="35"/>
      <c r="O281" s="35"/>
      <c r="P281" s="35"/>
      <c r="Q281" s="13"/>
      <c r="R281" s="13"/>
      <c r="S281" s="35"/>
      <c r="T281" s="13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</row>
    <row r="282" ht="15.75" customHeight="1">
      <c r="A282" s="35"/>
      <c r="B282" s="2"/>
      <c r="C282" s="2"/>
      <c r="D282" s="2"/>
      <c r="E282" s="2"/>
      <c r="F282" s="2"/>
      <c r="G282" s="35"/>
      <c r="H282" s="13"/>
      <c r="I282" s="13"/>
      <c r="J282" s="13"/>
      <c r="K282" s="35"/>
      <c r="L282" s="35"/>
      <c r="M282" s="35"/>
      <c r="N282" s="35"/>
      <c r="O282" s="35"/>
      <c r="P282" s="35"/>
      <c r="Q282" s="13"/>
      <c r="R282" s="13"/>
      <c r="S282" s="35"/>
      <c r="T282" s="13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</row>
    <row r="283" ht="15.75" customHeight="1">
      <c r="A283" s="35"/>
      <c r="B283" s="2"/>
      <c r="C283" s="2"/>
      <c r="D283" s="2"/>
      <c r="E283" s="2"/>
      <c r="F283" s="2"/>
      <c r="G283" s="35"/>
      <c r="H283" s="13"/>
      <c r="I283" s="13"/>
      <c r="J283" s="13"/>
      <c r="K283" s="35"/>
      <c r="L283" s="35"/>
      <c r="M283" s="35"/>
      <c r="N283" s="35"/>
      <c r="O283" s="35"/>
      <c r="P283" s="35"/>
      <c r="Q283" s="13"/>
      <c r="R283" s="13"/>
      <c r="S283" s="35"/>
      <c r="T283" s="13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</row>
    <row r="284" ht="15.75" customHeight="1">
      <c r="A284" s="35"/>
      <c r="B284" s="2"/>
      <c r="C284" s="2"/>
      <c r="D284" s="2"/>
      <c r="E284" s="2"/>
      <c r="F284" s="2"/>
      <c r="G284" s="35"/>
      <c r="H284" s="13"/>
      <c r="I284" s="13"/>
      <c r="J284" s="13"/>
      <c r="K284" s="35"/>
      <c r="L284" s="35"/>
      <c r="M284" s="35"/>
      <c r="N284" s="35"/>
      <c r="O284" s="35"/>
      <c r="P284" s="35"/>
      <c r="Q284" s="13"/>
      <c r="R284" s="13"/>
      <c r="S284" s="35"/>
      <c r="T284" s="13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</row>
    <row r="285" ht="15.75" customHeight="1">
      <c r="A285" s="35"/>
      <c r="B285" s="2"/>
      <c r="C285" s="2"/>
      <c r="D285" s="2"/>
      <c r="E285" s="2"/>
      <c r="F285" s="2"/>
      <c r="G285" s="35"/>
      <c r="H285" s="13"/>
      <c r="I285" s="13"/>
      <c r="J285" s="13"/>
      <c r="K285" s="35"/>
      <c r="L285" s="35"/>
      <c r="M285" s="35"/>
      <c r="N285" s="35"/>
      <c r="O285" s="35"/>
      <c r="P285" s="35"/>
      <c r="Q285" s="13"/>
      <c r="R285" s="13"/>
      <c r="S285" s="35"/>
      <c r="T285" s="13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</row>
    <row r="286" ht="15.75" customHeight="1">
      <c r="A286" s="35"/>
      <c r="B286" s="2"/>
      <c r="C286" s="2"/>
      <c r="D286" s="2"/>
      <c r="E286" s="2"/>
      <c r="F286" s="2"/>
      <c r="G286" s="35"/>
      <c r="H286" s="13"/>
      <c r="I286" s="13"/>
      <c r="J286" s="13"/>
      <c r="K286" s="35"/>
      <c r="L286" s="35"/>
      <c r="M286" s="35"/>
      <c r="N286" s="35"/>
      <c r="O286" s="35"/>
      <c r="P286" s="35"/>
      <c r="Q286" s="13"/>
      <c r="R286" s="13"/>
      <c r="S286" s="35"/>
      <c r="T286" s="13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</row>
    <row r="287" ht="15.75" customHeight="1">
      <c r="A287" s="35"/>
      <c r="B287" s="2"/>
      <c r="C287" s="2"/>
      <c r="D287" s="2"/>
      <c r="E287" s="2"/>
      <c r="F287" s="2"/>
      <c r="G287" s="35"/>
      <c r="H287" s="13"/>
      <c r="I287" s="13"/>
      <c r="J287" s="13"/>
      <c r="K287" s="35"/>
      <c r="L287" s="35"/>
      <c r="M287" s="35"/>
      <c r="N287" s="35"/>
      <c r="O287" s="35"/>
      <c r="P287" s="35"/>
      <c r="Q287" s="13"/>
      <c r="R287" s="13"/>
      <c r="S287" s="35"/>
      <c r="T287" s="13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</row>
    <row r="288" ht="15.75" customHeight="1">
      <c r="A288" s="35"/>
      <c r="B288" s="2"/>
      <c r="C288" s="2"/>
      <c r="D288" s="2"/>
      <c r="E288" s="2"/>
      <c r="F288" s="2"/>
      <c r="G288" s="35"/>
      <c r="H288" s="13"/>
      <c r="I288" s="13"/>
      <c r="J288" s="13"/>
      <c r="K288" s="35"/>
      <c r="L288" s="35"/>
      <c r="M288" s="35"/>
      <c r="N288" s="35"/>
      <c r="O288" s="35"/>
      <c r="P288" s="35"/>
      <c r="Q288" s="13"/>
      <c r="R288" s="13"/>
      <c r="S288" s="35"/>
      <c r="T288" s="13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</row>
    <row r="289" ht="15.75" customHeight="1">
      <c r="A289" s="35"/>
      <c r="B289" s="2"/>
      <c r="C289" s="2"/>
      <c r="D289" s="2"/>
      <c r="E289" s="2"/>
      <c r="F289" s="2"/>
      <c r="G289" s="35"/>
      <c r="H289" s="13"/>
      <c r="I289" s="13"/>
      <c r="J289" s="13"/>
      <c r="K289" s="35"/>
      <c r="L289" s="35"/>
      <c r="M289" s="35"/>
      <c r="N289" s="35"/>
      <c r="O289" s="35"/>
      <c r="P289" s="35"/>
      <c r="Q289" s="13"/>
      <c r="R289" s="13"/>
      <c r="S289" s="35"/>
      <c r="T289" s="13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</row>
    <row r="290" ht="15.75" customHeight="1">
      <c r="A290" s="35"/>
      <c r="B290" s="2"/>
      <c r="C290" s="2"/>
      <c r="D290" s="2"/>
      <c r="E290" s="2"/>
      <c r="F290" s="2"/>
      <c r="G290" s="35"/>
      <c r="H290" s="13"/>
      <c r="I290" s="13"/>
      <c r="J290" s="13"/>
      <c r="K290" s="35"/>
      <c r="L290" s="35"/>
      <c r="M290" s="35"/>
      <c r="N290" s="35"/>
      <c r="O290" s="35"/>
      <c r="P290" s="35"/>
      <c r="Q290" s="13"/>
      <c r="R290" s="13"/>
      <c r="S290" s="35"/>
      <c r="T290" s="13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</row>
    <row r="291" ht="15.75" customHeight="1">
      <c r="A291" s="35"/>
      <c r="B291" s="2"/>
      <c r="C291" s="2"/>
      <c r="D291" s="2"/>
      <c r="E291" s="2"/>
      <c r="F291" s="2"/>
      <c r="G291" s="35"/>
      <c r="H291" s="13"/>
      <c r="I291" s="13"/>
      <c r="J291" s="13"/>
      <c r="K291" s="35"/>
      <c r="L291" s="35"/>
      <c r="M291" s="35"/>
      <c r="N291" s="35"/>
      <c r="O291" s="35"/>
      <c r="P291" s="35"/>
      <c r="Q291" s="13"/>
      <c r="R291" s="13"/>
      <c r="S291" s="35"/>
      <c r="T291" s="13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</row>
    <row r="292" ht="15.75" customHeight="1">
      <c r="A292" s="35"/>
      <c r="B292" s="2"/>
      <c r="C292" s="2"/>
      <c r="D292" s="2"/>
      <c r="E292" s="2"/>
      <c r="F292" s="2"/>
      <c r="G292" s="35"/>
      <c r="H292" s="13"/>
      <c r="I292" s="13"/>
      <c r="J292" s="13"/>
      <c r="K292" s="35"/>
      <c r="L292" s="35"/>
      <c r="M292" s="35"/>
      <c r="N292" s="35"/>
      <c r="O292" s="35"/>
      <c r="P292" s="35"/>
      <c r="Q292" s="13"/>
      <c r="R292" s="13"/>
      <c r="S292" s="35"/>
      <c r="T292" s="13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</row>
    <row r="293" ht="15.75" customHeight="1">
      <c r="A293" s="35"/>
      <c r="B293" s="2"/>
      <c r="C293" s="2"/>
      <c r="D293" s="2"/>
      <c r="E293" s="2"/>
      <c r="F293" s="2"/>
      <c r="G293" s="35"/>
      <c r="H293" s="13"/>
      <c r="I293" s="13"/>
      <c r="J293" s="13"/>
      <c r="K293" s="35"/>
      <c r="L293" s="35"/>
      <c r="M293" s="35"/>
      <c r="N293" s="35"/>
      <c r="O293" s="35"/>
      <c r="P293" s="35"/>
      <c r="Q293" s="13"/>
      <c r="R293" s="13"/>
      <c r="S293" s="35"/>
      <c r="T293" s="13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</row>
    <row r="294" ht="15.75" customHeight="1">
      <c r="A294" s="35"/>
      <c r="B294" s="2"/>
      <c r="C294" s="2"/>
      <c r="D294" s="2"/>
      <c r="E294" s="2"/>
      <c r="F294" s="2"/>
      <c r="G294" s="35"/>
      <c r="H294" s="13"/>
      <c r="I294" s="13"/>
      <c r="J294" s="13"/>
      <c r="K294" s="35"/>
      <c r="L294" s="35"/>
      <c r="M294" s="35"/>
      <c r="N294" s="35"/>
      <c r="O294" s="35"/>
      <c r="P294" s="35"/>
      <c r="Q294" s="13"/>
      <c r="R294" s="13"/>
      <c r="S294" s="35"/>
      <c r="T294" s="13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</row>
    <row r="295" ht="15.75" customHeight="1">
      <c r="A295" s="35"/>
      <c r="B295" s="2"/>
      <c r="C295" s="2"/>
      <c r="D295" s="2"/>
      <c r="E295" s="2"/>
      <c r="F295" s="2"/>
      <c r="G295" s="35"/>
      <c r="H295" s="13"/>
      <c r="I295" s="13"/>
      <c r="J295" s="13"/>
      <c r="K295" s="35"/>
      <c r="L295" s="35"/>
      <c r="M295" s="35"/>
      <c r="N295" s="35"/>
      <c r="O295" s="35"/>
      <c r="P295" s="35"/>
      <c r="Q295" s="13"/>
      <c r="R295" s="13"/>
      <c r="S295" s="35"/>
      <c r="T295" s="13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</row>
    <row r="296" ht="15.75" customHeight="1">
      <c r="A296" s="35"/>
      <c r="B296" s="2"/>
      <c r="C296" s="2"/>
      <c r="D296" s="2"/>
      <c r="E296" s="2"/>
      <c r="F296" s="2"/>
      <c r="G296" s="35"/>
      <c r="H296" s="13"/>
      <c r="I296" s="13"/>
      <c r="J296" s="13"/>
      <c r="K296" s="35"/>
      <c r="L296" s="35"/>
      <c r="M296" s="35"/>
      <c r="N296" s="35"/>
      <c r="O296" s="35"/>
      <c r="P296" s="35"/>
      <c r="Q296" s="13"/>
      <c r="R296" s="13"/>
      <c r="S296" s="35"/>
      <c r="T296" s="13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</row>
    <row r="297" ht="15.75" customHeight="1">
      <c r="A297" s="35"/>
      <c r="B297" s="2"/>
      <c r="C297" s="2"/>
      <c r="D297" s="2"/>
      <c r="E297" s="2"/>
      <c r="F297" s="2"/>
      <c r="G297" s="35"/>
      <c r="H297" s="13"/>
      <c r="I297" s="13"/>
      <c r="J297" s="13"/>
      <c r="K297" s="35"/>
      <c r="L297" s="35"/>
      <c r="M297" s="35"/>
      <c r="N297" s="35"/>
      <c r="O297" s="35"/>
      <c r="P297" s="35"/>
      <c r="Q297" s="13"/>
      <c r="R297" s="13"/>
      <c r="S297" s="35"/>
      <c r="T297" s="13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</row>
    <row r="298" ht="15.75" customHeight="1">
      <c r="A298" s="35"/>
      <c r="B298" s="2"/>
      <c r="C298" s="2"/>
      <c r="D298" s="2"/>
      <c r="E298" s="2"/>
      <c r="F298" s="2"/>
      <c r="G298" s="35"/>
      <c r="H298" s="13"/>
      <c r="I298" s="13"/>
      <c r="J298" s="13"/>
      <c r="K298" s="35"/>
      <c r="L298" s="35"/>
      <c r="M298" s="35"/>
      <c r="N298" s="35"/>
      <c r="O298" s="35"/>
      <c r="P298" s="35"/>
      <c r="Q298" s="13"/>
      <c r="R298" s="13"/>
      <c r="S298" s="35"/>
      <c r="T298" s="13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</row>
    <row r="299" ht="15.75" customHeight="1">
      <c r="A299" s="35"/>
      <c r="B299" s="2"/>
      <c r="C299" s="2"/>
      <c r="D299" s="2"/>
      <c r="E299" s="2"/>
      <c r="F299" s="2"/>
      <c r="G299" s="35"/>
      <c r="H299" s="13"/>
      <c r="I299" s="13"/>
      <c r="J299" s="13"/>
      <c r="K299" s="35"/>
      <c r="L299" s="35"/>
      <c r="M299" s="35"/>
      <c r="N299" s="35"/>
      <c r="O299" s="35"/>
      <c r="P299" s="35"/>
      <c r="Q299" s="13"/>
      <c r="R299" s="13"/>
      <c r="S299" s="35"/>
      <c r="T299" s="13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</row>
    <row r="300" ht="15.75" customHeight="1">
      <c r="A300" s="35"/>
      <c r="B300" s="2"/>
      <c r="C300" s="2"/>
      <c r="D300" s="2"/>
      <c r="E300" s="2"/>
      <c r="F300" s="2"/>
      <c r="G300" s="35"/>
      <c r="H300" s="13"/>
      <c r="I300" s="13"/>
      <c r="J300" s="13"/>
      <c r="K300" s="35"/>
      <c r="L300" s="35"/>
      <c r="M300" s="35"/>
      <c r="N300" s="35"/>
      <c r="O300" s="35"/>
      <c r="P300" s="35"/>
      <c r="Q300" s="13"/>
      <c r="R300" s="13"/>
      <c r="S300" s="35"/>
      <c r="T300" s="13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</row>
    <row r="301" ht="15.75" customHeight="1">
      <c r="A301" s="35"/>
      <c r="B301" s="2"/>
      <c r="C301" s="2"/>
      <c r="D301" s="2"/>
      <c r="E301" s="2"/>
      <c r="F301" s="2"/>
      <c r="G301" s="35"/>
      <c r="H301" s="13"/>
      <c r="I301" s="13"/>
      <c r="J301" s="13"/>
      <c r="K301" s="35"/>
      <c r="L301" s="35"/>
      <c r="M301" s="35"/>
      <c r="N301" s="35"/>
      <c r="O301" s="35"/>
      <c r="P301" s="35"/>
      <c r="Q301" s="13"/>
      <c r="R301" s="13"/>
      <c r="S301" s="35"/>
      <c r="T301" s="13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</row>
    <row r="302" ht="15.75" customHeight="1">
      <c r="A302" s="35"/>
      <c r="B302" s="2"/>
      <c r="C302" s="2"/>
      <c r="D302" s="2"/>
      <c r="E302" s="2"/>
      <c r="F302" s="2"/>
      <c r="G302" s="35"/>
      <c r="H302" s="13"/>
      <c r="I302" s="13"/>
      <c r="J302" s="13"/>
      <c r="K302" s="35"/>
      <c r="L302" s="35"/>
      <c r="M302" s="35"/>
      <c r="N302" s="35"/>
      <c r="O302" s="35"/>
      <c r="P302" s="35"/>
      <c r="Q302" s="13"/>
      <c r="R302" s="13"/>
      <c r="S302" s="35"/>
      <c r="T302" s="13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</row>
    <row r="303" ht="15.75" customHeight="1">
      <c r="A303" s="35"/>
      <c r="B303" s="2"/>
      <c r="C303" s="2"/>
      <c r="D303" s="2"/>
      <c r="E303" s="2"/>
      <c r="F303" s="2"/>
      <c r="G303" s="35"/>
      <c r="H303" s="13"/>
      <c r="I303" s="13"/>
      <c r="J303" s="13"/>
      <c r="K303" s="35"/>
      <c r="L303" s="35"/>
      <c r="M303" s="35"/>
      <c r="N303" s="35"/>
      <c r="O303" s="35"/>
      <c r="P303" s="35"/>
      <c r="Q303" s="13"/>
      <c r="R303" s="13"/>
      <c r="S303" s="35"/>
      <c r="T303" s="13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</row>
    <row r="304" ht="15.75" customHeight="1">
      <c r="A304" s="35"/>
      <c r="B304" s="2"/>
      <c r="C304" s="2"/>
      <c r="D304" s="2"/>
      <c r="E304" s="2"/>
      <c r="F304" s="2"/>
      <c r="G304" s="35"/>
      <c r="H304" s="13"/>
      <c r="I304" s="13"/>
      <c r="J304" s="13"/>
      <c r="K304" s="35"/>
      <c r="L304" s="35"/>
      <c r="M304" s="35"/>
      <c r="N304" s="35"/>
      <c r="O304" s="35"/>
      <c r="P304" s="35"/>
      <c r="Q304" s="13"/>
      <c r="R304" s="13"/>
      <c r="S304" s="35"/>
      <c r="T304" s="13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</row>
    <row r="305" ht="15.75" customHeight="1">
      <c r="A305" s="35"/>
      <c r="B305" s="2"/>
      <c r="C305" s="2"/>
      <c r="D305" s="2"/>
      <c r="E305" s="2"/>
      <c r="F305" s="2"/>
      <c r="G305" s="35"/>
      <c r="H305" s="35"/>
      <c r="I305" s="13"/>
      <c r="J305" s="13"/>
      <c r="K305" s="35"/>
      <c r="L305" s="35"/>
      <c r="M305" s="35"/>
      <c r="N305" s="35"/>
      <c r="O305" s="35"/>
      <c r="P305" s="35"/>
      <c r="Q305" s="13"/>
      <c r="R305" s="13"/>
      <c r="S305" s="35"/>
      <c r="T305" s="13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</row>
    <row r="306" ht="15.75" customHeight="1">
      <c r="A306" s="35"/>
      <c r="B306" s="2"/>
      <c r="C306" s="2"/>
      <c r="D306" s="2"/>
      <c r="E306" s="2"/>
      <c r="F306" s="2"/>
      <c r="G306" s="35"/>
      <c r="H306" s="35"/>
      <c r="I306" s="13"/>
      <c r="J306" s="13"/>
      <c r="K306" s="35"/>
      <c r="L306" s="35"/>
      <c r="M306" s="35"/>
      <c r="N306" s="35"/>
      <c r="O306" s="35"/>
      <c r="P306" s="35"/>
      <c r="Q306" s="13"/>
      <c r="R306" s="13"/>
      <c r="S306" s="35"/>
      <c r="T306" s="13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</row>
    <row r="307" ht="15.75" customHeight="1">
      <c r="A307" s="35"/>
      <c r="B307" s="2"/>
      <c r="C307" s="2"/>
      <c r="D307" s="2"/>
      <c r="E307" s="2"/>
      <c r="F307" s="2"/>
      <c r="G307" s="35"/>
      <c r="H307" s="35"/>
      <c r="I307" s="13"/>
      <c r="J307" s="13"/>
      <c r="K307" s="35"/>
      <c r="L307" s="35"/>
      <c r="M307" s="35"/>
      <c r="N307" s="35"/>
      <c r="O307" s="35"/>
      <c r="P307" s="35"/>
      <c r="Q307" s="13"/>
      <c r="R307" s="13"/>
      <c r="S307" s="35"/>
      <c r="T307" s="13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</row>
    <row r="308" ht="15.75" customHeight="1">
      <c r="A308" s="35"/>
      <c r="B308" s="2"/>
      <c r="C308" s="2"/>
      <c r="D308" s="2"/>
      <c r="E308" s="2"/>
      <c r="F308" s="2"/>
      <c r="G308" s="35"/>
      <c r="H308" s="35"/>
      <c r="I308" s="13"/>
      <c r="J308" s="13"/>
      <c r="K308" s="35"/>
      <c r="L308" s="35"/>
      <c r="M308" s="35"/>
      <c r="N308" s="35"/>
      <c r="O308" s="35"/>
      <c r="P308" s="35"/>
      <c r="Q308" s="13"/>
      <c r="R308" s="13"/>
      <c r="S308" s="35"/>
      <c r="T308" s="13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</row>
    <row r="309" ht="15.75" customHeight="1">
      <c r="A309" s="35"/>
      <c r="B309" s="2"/>
      <c r="C309" s="2"/>
      <c r="D309" s="2"/>
      <c r="E309" s="2"/>
      <c r="F309" s="2"/>
      <c r="G309" s="35"/>
      <c r="H309" s="35"/>
      <c r="I309" s="13"/>
      <c r="J309" s="13"/>
      <c r="K309" s="35"/>
      <c r="L309" s="35"/>
      <c r="M309" s="35"/>
      <c r="N309" s="35"/>
      <c r="O309" s="35"/>
      <c r="P309" s="35"/>
      <c r="Q309" s="13"/>
      <c r="R309" s="13"/>
      <c r="S309" s="35"/>
      <c r="T309" s="13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</row>
    <row r="310" ht="15.75" customHeight="1">
      <c r="A310" s="35"/>
      <c r="B310" s="2"/>
      <c r="C310" s="2"/>
      <c r="D310" s="2"/>
      <c r="E310" s="2"/>
      <c r="F310" s="2"/>
      <c r="G310" s="35"/>
      <c r="H310" s="35"/>
      <c r="I310" s="13"/>
      <c r="J310" s="13"/>
      <c r="K310" s="35"/>
      <c r="L310" s="35"/>
      <c r="M310" s="35"/>
      <c r="N310" s="35"/>
      <c r="O310" s="35"/>
      <c r="P310" s="35"/>
      <c r="Q310" s="13"/>
      <c r="R310" s="13"/>
      <c r="S310" s="35"/>
      <c r="T310" s="13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</row>
    <row r="311" ht="15.75" customHeight="1">
      <c r="A311" s="35"/>
      <c r="B311" s="2"/>
      <c r="C311" s="2"/>
      <c r="D311" s="2"/>
      <c r="E311" s="2"/>
      <c r="F311" s="2"/>
      <c r="G311" s="35"/>
      <c r="H311" s="35"/>
      <c r="I311" s="13"/>
      <c r="J311" s="13"/>
      <c r="K311" s="35"/>
      <c r="L311" s="35"/>
      <c r="M311" s="35"/>
      <c r="N311" s="35"/>
      <c r="O311" s="35"/>
      <c r="P311" s="35"/>
      <c r="Q311" s="13"/>
      <c r="R311" s="13"/>
      <c r="S311" s="35"/>
      <c r="T311" s="13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</row>
    <row r="312" ht="15.75" customHeight="1">
      <c r="A312" s="35"/>
      <c r="B312" s="2"/>
      <c r="C312" s="2"/>
      <c r="D312" s="2"/>
      <c r="E312" s="2"/>
      <c r="F312" s="2"/>
      <c r="G312" s="35"/>
      <c r="H312" s="35"/>
      <c r="I312" s="13"/>
      <c r="J312" s="13"/>
      <c r="K312" s="35"/>
      <c r="L312" s="35"/>
      <c r="M312" s="35"/>
      <c r="N312" s="35"/>
      <c r="O312" s="35"/>
      <c r="P312" s="35"/>
      <c r="Q312" s="13"/>
      <c r="R312" s="13"/>
      <c r="S312" s="35"/>
      <c r="T312" s="13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</row>
    <row r="313" ht="15.75" customHeight="1">
      <c r="A313" s="35"/>
      <c r="B313" s="2"/>
      <c r="C313" s="2"/>
      <c r="D313" s="2"/>
      <c r="E313" s="2"/>
      <c r="F313" s="2"/>
      <c r="G313" s="35"/>
      <c r="H313" s="35"/>
      <c r="I313" s="13"/>
      <c r="J313" s="13"/>
      <c r="K313" s="35"/>
      <c r="L313" s="35"/>
      <c r="M313" s="35"/>
      <c r="N313" s="35"/>
      <c r="O313" s="35"/>
      <c r="P313" s="35"/>
      <c r="Q313" s="13"/>
      <c r="R313" s="13"/>
      <c r="S313" s="35"/>
      <c r="T313" s="13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</row>
    <row r="314" ht="15.75" customHeight="1">
      <c r="A314" s="35"/>
      <c r="B314" s="2"/>
      <c r="C314" s="2"/>
      <c r="D314" s="2"/>
      <c r="E314" s="2"/>
      <c r="F314" s="2"/>
      <c r="G314" s="35"/>
      <c r="H314" s="35"/>
      <c r="I314" s="13"/>
      <c r="J314" s="13"/>
      <c r="K314" s="35"/>
      <c r="L314" s="35"/>
      <c r="M314" s="35"/>
      <c r="N314" s="35"/>
      <c r="O314" s="35"/>
      <c r="P314" s="35"/>
      <c r="Q314" s="13"/>
      <c r="R314" s="13"/>
      <c r="S314" s="35"/>
      <c r="T314" s="13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</row>
    <row r="315" ht="15.75" customHeight="1">
      <c r="A315" s="35"/>
      <c r="B315" s="2"/>
      <c r="C315" s="2"/>
      <c r="D315" s="2"/>
      <c r="E315" s="2"/>
      <c r="F315" s="2"/>
      <c r="G315" s="35"/>
      <c r="H315" s="35"/>
      <c r="I315" s="13"/>
      <c r="J315" s="13"/>
      <c r="K315" s="35"/>
      <c r="L315" s="35"/>
      <c r="M315" s="35"/>
      <c r="N315" s="35"/>
      <c r="O315" s="35"/>
      <c r="P315" s="35"/>
      <c r="Q315" s="13"/>
      <c r="R315" s="13"/>
      <c r="S315" s="35"/>
      <c r="T315" s="13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</row>
    <row r="316" ht="15.75" customHeight="1">
      <c r="A316" s="35"/>
      <c r="B316" s="2"/>
      <c r="C316" s="2"/>
      <c r="D316" s="2"/>
      <c r="E316" s="2"/>
      <c r="F316" s="2"/>
      <c r="G316" s="35"/>
      <c r="H316" s="35"/>
      <c r="I316" s="13"/>
      <c r="J316" s="13"/>
      <c r="K316" s="35"/>
      <c r="L316" s="35"/>
      <c r="M316" s="35"/>
      <c r="N316" s="35"/>
      <c r="O316" s="35"/>
      <c r="P316" s="35"/>
      <c r="Q316" s="13"/>
      <c r="R316" s="13"/>
      <c r="S316" s="35"/>
      <c r="T316" s="13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</row>
    <row r="317" ht="15.75" customHeight="1">
      <c r="A317" s="35"/>
      <c r="B317" s="2"/>
      <c r="C317" s="2"/>
      <c r="D317" s="2"/>
      <c r="E317" s="2"/>
      <c r="F317" s="2"/>
      <c r="G317" s="35"/>
      <c r="H317" s="35"/>
      <c r="I317" s="13"/>
      <c r="J317" s="13"/>
      <c r="K317" s="35"/>
      <c r="L317" s="35"/>
      <c r="M317" s="35"/>
      <c r="N317" s="35"/>
      <c r="O317" s="35"/>
      <c r="P317" s="35"/>
      <c r="Q317" s="13"/>
      <c r="R317" s="13"/>
      <c r="S317" s="35"/>
      <c r="T317" s="13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</row>
    <row r="318" ht="15.75" customHeight="1">
      <c r="A318" s="35"/>
      <c r="B318" s="2"/>
      <c r="C318" s="2"/>
      <c r="D318" s="2"/>
      <c r="E318" s="2"/>
      <c r="F318" s="2"/>
      <c r="G318" s="35"/>
      <c r="H318" s="35"/>
      <c r="I318" s="13"/>
      <c r="J318" s="13"/>
      <c r="K318" s="35"/>
      <c r="L318" s="35"/>
      <c r="M318" s="35"/>
      <c r="N318" s="35"/>
      <c r="O318" s="35"/>
      <c r="P318" s="35"/>
      <c r="Q318" s="13"/>
      <c r="R318" s="13"/>
      <c r="S318" s="35"/>
      <c r="T318" s="13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</row>
    <row r="319" ht="15.75" customHeight="1">
      <c r="A319" s="35"/>
      <c r="B319" s="2"/>
      <c r="C319" s="2"/>
      <c r="D319" s="2"/>
      <c r="E319" s="2"/>
      <c r="F319" s="2"/>
      <c r="G319" s="35"/>
      <c r="H319" s="35"/>
      <c r="I319" s="13"/>
      <c r="J319" s="13"/>
      <c r="K319" s="35"/>
      <c r="L319" s="35"/>
      <c r="M319" s="35"/>
      <c r="N319" s="35"/>
      <c r="O319" s="35"/>
      <c r="P319" s="35"/>
      <c r="Q319" s="13"/>
      <c r="R319" s="13"/>
      <c r="S319" s="35"/>
      <c r="T319" s="13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</row>
    <row r="320" ht="15.75" customHeight="1">
      <c r="A320" s="35"/>
      <c r="B320" s="2"/>
      <c r="C320" s="2"/>
      <c r="D320" s="2"/>
      <c r="E320" s="2"/>
      <c r="F320" s="2"/>
      <c r="G320" s="35"/>
      <c r="H320" s="35"/>
      <c r="I320" s="13"/>
      <c r="J320" s="13"/>
      <c r="K320" s="35"/>
      <c r="L320" s="35"/>
      <c r="M320" s="35"/>
      <c r="N320" s="35"/>
      <c r="O320" s="35"/>
      <c r="P320" s="35"/>
      <c r="Q320" s="13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</row>
    <row r="321" ht="15.75" customHeight="1">
      <c r="A321" s="35"/>
      <c r="B321" s="2"/>
      <c r="C321" s="2"/>
      <c r="D321" s="2"/>
      <c r="E321" s="2"/>
      <c r="F321" s="2"/>
      <c r="G321" s="35"/>
      <c r="H321" s="35"/>
      <c r="I321" s="13"/>
      <c r="J321" s="13"/>
      <c r="K321" s="35"/>
      <c r="L321" s="35"/>
      <c r="M321" s="35"/>
      <c r="N321" s="35"/>
      <c r="O321" s="35"/>
      <c r="P321" s="35"/>
      <c r="Q321" s="13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</row>
    <row r="322" ht="15.75" customHeight="1">
      <c r="A322" s="35"/>
      <c r="B322" s="2"/>
      <c r="C322" s="2"/>
      <c r="D322" s="2"/>
      <c r="E322" s="2"/>
      <c r="F322" s="2"/>
      <c r="G322" s="35"/>
      <c r="H322" s="35"/>
      <c r="I322" s="13"/>
      <c r="J322" s="13"/>
      <c r="K322" s="35"/>
      <c r="L322" s="35"/>
      <c r="M322" s="35"/>
      <c r="N322" s="35"/>
      <c r="O322" s="35"/>
      <c r="P322" s="35"/>
      <c r="Q322" s="13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</row>
    <row r="323" ht="15.75" customHeight="1">
      <c r="A323" s="35"/>
      <c r="B323" s="2"/>
      <c r="C323" s="2"/>
      <c r="D323" s="2"/>
      <c r="E323" s="2"/>
      <c r="F323" s="2"/>
      <c r="G323" s="35"/>
      <c r="H323" s="35"/>
      <c r="I323" s="13"/>
      <c r="J323" s="13"/>
      <c r="K323" s="35"/>
      <c r="L323" s="35"/>
      <c r="M323" s="35"/>
      <c r="N323" s="35"/>
      <c r="O323" s="35"/>
      <c r="P323" s="35"/>
      <c r="Q323" s="13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</row>
    <row r="324" ht="15.75" customHeight="1">
      <c r="A324" s="35"/>
      <c r="B324" s="2"/>
      <c r="C324" s="2"/>
      <c r="D324" s="2"/>
      <c r="E324" s="2"/>
      <c r="F324" s="2"/>
      <c r="G324" s="35"/>
      <c r="H324" s="35"/>
      <c r="I324" s="13"/>
      <c r="J324" s="13"/>
      <c r="K324" s="35"/>
      <c r="L324" s="35"/>
      <c r="M324" s="35"/>
      <c r="N324" s="35"/>
      <c r="O324" s="35"/>
      <c r="P324" s="35"/>
      <c r="Q324" s="13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</row>
    <row r="325" ht="15.75" customHeight="1">
      <c r="A325" s="35"/>
      <c r="B325" s="2"/>
      <c r="C325" s="2"/>
      <c r="D325" s="2"/>
      <c r="E325" s="2"/>
      <c r="F325" s="2"/>
      <c r="G325" s="35"/>
      <c r="H325" s="35"/>
      <c r="I325" s="13"/>
      <c r="J325" s="13"/>
      <c r="K325" s="35"/>
      <c r="L325" s="35"/>
      <c r="M325" s="35"/>
      <c r="N325" s="35"/>
      <c r="O325" s="35"/>
      <c r="P325" s="35"/>
      <c r="Q325" s="13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</row>
    <row r="326" ht="15.75" customHeight="1">
      <c r="A326" s="35"/>
      <c r="B326" s="2"/>
      <c r="C326" s="2"/>
      <c r="D326" s="2"/>
      <c r="E326" s="2"/>
      <c r="F326" s="2"/>
      <c r="G326" s="35"/>
      <c r="H326" s="35"/>
      <c r="I326" s="13"/>
      <c r="J326" s="13"/>
      <c r="K326" s="35"/>
      <c r="L326" s="35"/>
      <c r="M326" s="35"/>
      <c r="N326" s="35"/>
      <c r="O326" s="35"/>
      <c r="P326" s="35"/>
      <c r="Q326" s="13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</row>
    <row r="327" ht="15.75" customHeight="1">
      <c r="A327" s="35"/>
      <c r="B327" s="2"/>
      <c r="C327" s="2"/>
      <c r="D327" s="2"/>
      <c r="E327" s="2"/>
      <c r="F327" s="2"/>
      <c r="G327" s="35"/>
      <c r="H327" s="35"/>
      <c r="I327" s="13"/>
      <c r="J327" s="13"/>
      <c r="K327" s="35"/>
      <c r="L327" s="35"/>
      <c r="M327" s="35"/>
      <c r="N327" s="35"/>
      <c r="O327" s="35"/>
      <c r="P327" s="35"/>
      <c r="Q327" s="13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</row>
    <row r="328" ht="15.75" customHeight="1">
      <c r="A328" s="35"/>
      <c r="B328" s="2"/>
      <c r="C328" s="2"/>
      <c r="D328" s="2"/>
      <c r="E328" s="2"/>
      <c r="F328" s="2"/>
      <c r="G328" s="35"/>
      <c r="H328" s="35"/>
      <c r="I328" s="13"/>
      <c r="J328" s="13"/>
      <c r="K328" s="35"/>
      <c r="L328" s="35"/>
      <c r="M328" s="35"/>
      <c r="N328" s="35"/>
      <c r="O328" s="35"/>
      <c r="P328" s="35"/>
      <c r="Q328" s="13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</row>
    <row r="329" ht="15.75" customHeight="1">
      <c r="A329" s="35"/>
      <c r="B329" s="2"/>
      <c r="C329" s="2"/>
      <c r="D329" s="2"/>
      <c r="E329" s="2"/>
      <c r="F329" s="2"/>
      <c r="G329" s="35"/>
      <c r="H329" s="35"/>
      <c r="I329" s="13"/>
      <c r="J329" s="13"/>
      <c r="K329" s="35"/>
      <c r="L329" s="35"/>
      <c r="M329" s="35"/>
      <c r="N329" s="35"/>
      <c r="O329" s="35"/>
      <c r="P329" s="35"/>
      <c r="Q329" s="13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</row>
    <row r="330" ht="15.75" customHeight="1">
      <c r="A330" s="35"/>
      <c r="B330" s="2"/>
      <c r="C330" s="2"/>
      <c r="D330" s="2"/>
      <c r="E330" s="2"/>
      <c r="F330" s="2"/>
      <c r="G330" s="35"/>
      <c r="H330" s="35"/>
      <c r="I330" s="13"/>
      <c r="J330" s="13"/>
      <c r="K330" s="35"/>
      <c r="L330" s="35"/>
      <c r="M330" s="35"/>
      <c r="N330" s="35"/>
      <c r="O330" s="35"/>
      <c r="P330" s="35"/>
      <c r="Q330" s="13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</row>
    <row r="331" ht="15.75" customHeight="1">
      <c r="A331" s="35"/>
      <c r="B331" s="2"/>
      <c r="C331" s="2"/>
      <c r="D331" s="2"/>
      <c r="E331" s="2"/>
      <c r="F331" s="2"/>
      <c r="G331" s="35"/>
      <c r="H331" s="35"/>
      <c r="I331" s="13"/>
      <c r="J331" s="13"/>
      <c r="K331" s="35"/>
      <c r="L331" s="35"/>
      <c r="M331" s="35"/>
      <c r="N331" s="35"/>
      <c r="O331" s="35"/>
      <c r="P331" s="35"/>
      <c r="Q331" s="13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</row>
    <row r="332" ht="15.75" customHeight="1">
      <c r="A332" s="35"/>
      <c r="B332" s="2"/>
      <c r="C332" s="2"/>
      <c r="D332" s="2"/>
      <c r="E332" s="2"/>
      <c r="F332" s="2"/>
      <c r="G332" s="35"/>
      <c r="H332" s="35"/>
      <c r="I332" s="13"/>
      <c r="J332" s="13"/>
      <c r="K332" s="35"/>
      <c r="L332" s="35"/>
      <c r="M332" s="35"/>
      <c r="N332" s="35"/>
      <c r="O332" s="35"/>
      <c r="P332" s="35"/>
      <c r="Q332" s="13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</row>
    <row r="333" ht="15.75" customHeight="1">
      <c r="A333" s="35"/>
      <c r="B333" s="2"/>
      <c r="C333" s="2"/>
      <c r="D333" s="2"/>
      <c r="E333" s="2"/>
      <c r="F333" s="2"/>
      <c r="G333" s="35"/>
      <c r="H333" s="35"/>
      <c r="I333" s="13"/>
      <c r="J333" s="13"/>
      <c r="K333" s="35"/>
      <c r="L333" s="35"/>
      <c r="M333" s="35"/>
      <c r="N333" s="35"/>
      <c r="O333" s="35"/>
      <c r="P333" s="35"/>
      <c r="Q333" s="13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</row>
    <row r="334" ht="15.75" customHeight="1">
      <c r="A334" s="35"/>
      <c r="B334" s="2"/>
      <c r="C334" s="2"/>
      <c r="D334" s="2"/>
      <c r="E334" s="2"/>
      <c r="F334" s="2"/>
      <c r="G334" s="35"/>
      <c r="H334" s="35"/>
      <c r="I334" s="13"/>
      <c r="J334" s="13"/>
      <c r="K334" s="35"/>
      <c r="L334" s="35"/>
      <c r="M334" s="35"/>
      <c r="N334" s="35"/>
      <c r="O334" s="35"/>
      <c r="P334" s="35"/>
      <c r="Q334" s="13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</row>
    <row r="335" ht="15.75" customHeight="1">
      <c r="A335" s="35"/>
      <c r="B335" s="2"/>
      <c r="C335" s="2"/>
      <c r="D335" s="2"/>
      <c r="E335" s="2"/>
      <c r="F335" s="2"/>
      <c r="G335" s="35"/>
      <c r="H335" s="35"/>
      <c r="I335" s="13"/>
      <c r="J335" s="13"/>
      <c r="K335" s="35"/>
      <c r="L335" s="35"/>
      <c r="M335" s="35"/>
      <c r="N335" s="35"/>
      <c r="O335" s="35"/>
      <c r="P335" s="35"/>
      <c r="Q335" s="13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</row>
    <row r="336" ht="15.75" customHeight="1">
      <c r="A336" s="35"/>
      <c r="B336" s="2"/>
      <c r="C336" s="2"/>
      <c r="D336" s="2"/>
      <c r="E336" s="2"/>
      <c r="F336" s="2"/>
      <c r="G336" s="35"/>
      <c r="H336" s="35"/>
      <c r="I336" s="13"/>
      <c r="J336" s="13"/>
      <c r="K336" s="35"/>
      <c r="L336" s="35"/>
      <c r="M336" s="35"/>
      <c r="N336" s="35"/>
      <c r="O336" s="35"/>
      <c r="P336" s="35"/>
      <c r="Q336" s="13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</row>
    <row r="337" ht="15.75" customHeight="1">
      <c r="A337" s="35"/>
      <c r="B337" s="2"/>
      <c r="C337" s="2"/>
      <c r="D337" s="2"/>
      <c r="E337" s="2"/>
      <c r="F337" s="2"/>
      <c r="G337" s="35"/>
      <c r="H337" s="35"/>
      <c r="I337" s="13"/>
      <c r="J337" s="13"/>
      <c r="K337" s="35"/>
      <c r="L337" s="35"/>
      <c r="M337" s="35"/>
      <c r="N337" s="35"/>
      <c r="O337" s="35"/>
      <c r="P337" s="35"/>
      <c r="Q337" s="13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</row>
    <row r="338" ht="15.75" customHeight="1">
      <c r="A338" s="35"/>
      <c r="B338" s="2"/>
      <c r="C338" s="2"/>
      <c r="D338" s="2"/>
      <c r="E338" s="2"/>
      <c r="F338" s="2"/>
      <c r="G338" s="35"/>
      <c r="H338" s="35"/>
      <c r="I338" s="13"/>
      <c r="J338" s="13"/>
      <c r="K338" s="35"/>
      <c r="L338" s="35"/>
      <c r="M338" s="35"/>
      <c r="N338" s="35"/>
      <c r="O338" s="35"/>
      <c r="P338" s="35"/>
      <c r="Q338" s="13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</row>
    <row r="339" ht="15.75" customHeight="1">
      <c r="A339" s="35"/>
      <c r="B339" s="2"/>
      <c r="C339" s="2"/>
      <c r="D339" s="2"/>
      <c r="E339" s="2"/>
      <c r="F339" s="2"/>
      <c r="G339" s="35"/>
      <c r="H339" s="35"/>
      <c r="I339" s="13"/>
      <c r="J339" s="13"/>
      <c r="K339" s="35"/>
      <c r="L339" s="35"/>
      <c r="M339" s="35"/>
      <c r="N339" s="35"/>
      <c r="O339" s="35"/>
      <c r="P339" s="35"/>
      <c r="Q339" s="13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</row>
    <row r="340" ht="15.75" customHeight="1">
      <c r="A340" s="35"/>
      <c r="B340" s="2"/>
      <c r="C340" s="2"/>
      <c r="D340" s="2"/>
      <c r="E340" s="2"/>
      <c r="F340" s="2"/>
      <c r="G340" s="35"/>
      <c r="H340" s="35"/>
      <c r="I340" s="13"/>
      <c r="J340" s="13"/>
      <c r="K340" s="35"/>
      <c r="L340" s="35"/>
      <c r="M340" s="35"/>
      <c r="N340" s="35"/>
      <c r="O340" s="35"/>
      <c r="P340" s="35"/>
      <c r="Q340" s="13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</row>
    <row r="341" ht="15.75" customHeight="1">
      <c r="A341" s="35"/>
      <c r="B341" s="2"/>
      <c r="C341" s="2"/>
      <c r="D341" s="2"/>
      <c r="E341" s="2"/>
      <c r="F341" s="2"/>
      <c r="G341" s="35"/>
      <c r="H341" s="35"/>
      <c r="I341" s="13"/>
      <c r="J341" s="13"/>
      <c r="K341" s="35"/>
      <c r="L341" s="35"/>
      <c r="M341" s="35"/>
      <c r="N341" s="35"/>
      <c r="O341" s="35"/>
      <c r="P341" s="35"/>
      <c r="Q341" s="13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</row>
    <row r="342" ht="15.75" customHeight="1">
      <c r="A342" s="35"/>
      <c r="B342" s="2"/>
      <c r="C342" s="2"/>
      <c r="D342" s="2"/>
      <c r="E342" s="2"/>
      <c r="F342" s="2"/>
      <c r="G342" s="35"/>
      <c r="H342" s="35"/>
      <c r="I342" s="13"/>
      <c r="J342" s="13"/>
      <c r="K342" s="35"/>
      <c r="L342" s="35"/>
      <c r="M342" s="35"/>
      <c r="N342" s="35"/>
      <c r="O342" s="35"/>
      <c r="P342" s="35"/>
      <c r="Q342" s="13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</row>
    <row r="343" ht="15.75" customHeight="1">
      <c r="A343" s="35"/>
      <c r="B343" s="2"/>
      <c r="C343" s="2"/>
      <c r="D343" s="2"/>
      <c r="E343" s="2"/>
      <c r="F343" s="2"/>
      <c r="G343" s="35"/>
      <c r="H343" s="35"/>
      <c r="I343" s="13"/>
      <c r="J343" s="13"/>
      <c r="K343" s="35"/>
      <c r="L343" s="35"/>
      <c r="M343" s="35"/>
      <c r="N343" s="35"/>
      <c r="O343" s="35"/>
      <c r="P343" s="35"/>
      <c r="Q343" s="13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</row>
    <row r="344" ht="15.75" customHeight="1">
      <c r="A344" s="35"/>
      <c r="B344" s="2"/>
      <c r="C344" s="2"/>
      <c r="D344" s="2"/>
      <c r="E344" s="2"/>
      <c r="F344" s="2"/>
      <c r="G344" s="35"/>
      <c r="H344" s="35"/>
      <c r="I344" s="13"/>
      <c r="J344" s="13"/>
      <c r="K344" s="35"/>
      <c r="L344" s="35"/>
      <c r="M344" s="35"/>
      <c r="N344" s="35"/>
      <c r="O344" s="35"/>
      <c r="P344" s="35"/>
      <c r="Q344" s="13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</row>
    <row r="345" ht="15.75" customHeight="1">
      <c r="A345" s="41"/>
      <c r="B345" s="42"/>
      <c r="C345" s="42"/>
      <c r="D345" s="42"/>
      <c r="E345" s="42"/>
      <c r="F345" s="42"/>
      <c r="G345" s="41"/>
      <c r="H345" s="41"/>
      <c r="I345" s="13"/>
      <c r="J345" s="13"/>
      <c r="K345" s="41"/>
      <c r="L345" s="41"/>
      <c r="M345" s="41"/>
      <c r="N345" s="41"/>
      <c r="O345" s="41"/>
      <c r="P345" s="41"/>
      <c r="Q345" s="43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</row>
    <row r="346" ht="15.75" customHeight="1">
      <c r="A346" s="41"/>
      <c r="B346" s="42"/>
      <c r="C346" s="42"/>
      <c r="D346" s="42"/>
      <c r="E346" s="42"/>
      <c r="F346" s="42"/>
      <c r="G346" s="41"/>
      <c r="H346" s="41"/>
      <c r="I346" s="13"/>
      <c r="J346" s="13"/>
      <c r="K346" s="41"/>
      <c r="L346" s="41"/>
      <c r="M346" s="41"/>
      <c r="N346" s="41"/>
      <c r="O346" s="41"/>
      <c r="P346" s="41"/>
      <c r="Q346" s="43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</row>
    <row r="347" ht="15.75" customHeight="1">
      <c r="A347" s="41"/>
      <c r="B347" s="42"/>
      <c r="C347" s="42"/>
      <c r="D347" s="42"/>
      <c r="E347" s="42"/>
      <c r="F347" s="42"/>
      <c r="G347" s="41"/>
      <c r="H347" s="41"/>
      <c r="I347" s="13"/>
      <c r="J347" s="13"/>
      <c r="K347" s="41"/>
      <c r="L347" s="41"/>
      <c r="M347" s="41"/>
      <c r="N347" s="41"/>
      <c r="O347" s="41"/>
      <c r="P347" s="41"/>
      <c r="Q347" s="43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</row>
    <row r="348" ht="15.75" customHeight="1">
      <c r="A348" s="41"/>
      <c r="B348" s="42"/>
      <c r="C348" s="42"/>
      <c r="D348" s="42"/>
      <c r="E348" s="42"/>
      <c r="F348" s="42"/>
      <c r="G348" s="41"/>
      <c r="H348" s="41"/>
      <c r="I348" s="13"/>
      <c r="J348" s="13"/>
      <c r="K348" s="41"/>
      <c r="L348" s="41"/>
      <c r="M348" s="41"/>
      <c r="N348" s="41"/>
      <c r="O348" s="41"/>
      <c r="P348" s="41"/>
      <c r="Q348" s="43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</row>
    <row r="349" ht="15.75" customHeight="1">
      <c r="A349" s="41"/>
      <c r="B349" s="42"/>
      <c r="C349" s="42"/>
      <c r="D349" s="42"/>
      <c r="E349" s="42"/>
      <c r="F349" s="42"/>
      <c r="G349" s="41"/>
      <c r="H349" s="41"/>
      <c r="I349" s="13"/>
      <c r="J349" s="13"/>
      <c r="K349" s="41"/>
      <c r="L349" s="41"/>
      <c r="M349" s="41"/>
      <c r="N349" s="41"/>
      <c r="O349" s="41"/>
      <c r="P349" s="41"/>
      <c r="Q349" s="43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</row>
    <row r="350" ht="15.75" customHeight="1">
      <c r="A350" s="41"/>
      <c r="B350" s="42"/>
      <c r="C350" s="42"/>
      <c r="D350" s="42"/>
      <c r="E350" s="42"/>
      <c r="F350" s="42"/>
      <c r="G350" s="41"/>
      <c r="H350" s="41"/>
      <c r="I350" s="13"/>
      <c r="J350" s="13"/>
      <c r="K350" s="41"/>
      <c r="L350" s="41"/>
      <c r="M350" s="41"/>
      <c r="N350" s="41"/>
      <c r="O350" s="41"/>
      <c r="P350" s="41"/>
      <c r="Q350" s="43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</row>
    <row r="351" ht="15.75" customHeight="1">
      <c r="A351" s="41"/>
      <c r="B351" s="42"/>
      <c r="C351" s="42"/>
      <c r="D351" s="42"/>
      <c r="E351" s="42"/>
      <c r="F351" s="42"/>
      <c r="G351" s="41"/>
      <c r="H351" s="41"/>
      <c r="I351" s="13"/>
      <c r="J351" s="13"/>
      <c r="K351" s="41"/>
      <c r="L351" s="41"/>
      <c r="M351" s="41"/>
      <c r="N351" s="41"/>
      <c r="O351" s="41"/>
      <c r="P351" s="41"/>
      <c r="Q351" s="43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</row>
    <row r="352" ht="15.75" customHeight="1">
      <c r="A352" s="41"/>
      <c r="B352" s="42"/>
      <c r="C352" s="42"/>
      <c r="D352" s="42"/>
      <c r="E352" s="42"/>
      <c r="F352" s="42"/>
      <c r="G352" s="41"/>
      <c r="H352" s="41"/>
      <c r="I352" s="13"/>
      <c r="J352" s="13"/>
      <c r="K352" s="41"/>
      <c r="L352" s="41"/>
      <c r="M352" s="41"/>
      <c r="N352" s="41"/>
      <c r="O352" s="41"/>
      <c r="P352" s="41"/>
      <c r="Q352" s="43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</row>
    <row r="353" ht="15.75" customHeight="1">
      <c r="A353" s="41"/>
      <c r="B353" s="42"/>
      <c r="C353" s="42"/>
      <c r="D353" s="42"/>
      <c r="E353" s="42"/>
      <c r="F353" s="42"/>
      <c r="G353" s="41"/>
      <c r="H353" s="41"/>
      <c r="I353" s="13"/>
      <c r="J353" s="13"/>
      <c r="K353" s="41"/>
      <c r="L353" s="41"/>
      <c r="M353" s="41"/>
      <c r="N353" s="41"/>
      <c r="O353" s="41"/>
      <c r="P353" s="41"/>
      <c r="Q353" s="43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</row>
    <row r="354" ht="15.75" customHeight="1">
      <c r="A354" s="41"/>
      <c r="B354" s="42"/>
      <c r="C354" s="42"/>
      <c r="D354" s="42"/>
      <c r="E354" s="42"/>
      <c r="F354" s="42"/>
      <c r="G354" s="41"/>
      <c r="H354" s="41"/>
      <c r="I354" s="13"/>
      <c r="J354" s="13"/>
      <c r="K354" s="41"/>
      <c r="L354" s="41"/>
      <c r="M354" s="41"/>
      <c r="N354" s="41"/>
      <c r="O354" s="41"/>
      <c r="P354" s="41"/>
      <c r="Q354" s="43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</row>
    <row r="355" ht="15.75" customHeight="1">
      <c r="A355" s="41"/>
      <c r="B355" s="42"/>
      <c r="C355" s="42"/>
      <c r="D355" s="42"/>
      <c r="E355" s="42"/>
      <c r="F355" s="42"/>
      <c r="G355" s="41"/>
      <c r="H355" s="41"/>
      <c r="I355" s="13"/>
      <c r="J355" s="13"/>
      <c r="K355" s="41"/>
      <c r="L355" s="41"/>
      <c r="M355" s="41"/>
      <c r="N355" s="41"/>
      <c r="O355" s="41"/>
      <c r="P355" s="41"/>
      <c r="Q355" s="43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</row>
    <row r="356" ht="15.75" customHeight="1">
      <c r="A356" s="41"/>
      <c r="B356" s="42"/>
      <c r="C356" s="42"/>
      <c r="D356" s="42"/>
      <c r="E356" s="42"/>
      <c r="F356" s="42"/>
      <c r="G356" s="41"/>
      <c r="H356" s="41"/>
      <c r="I356" s="13"/>
      <c r="J356" s="13"/>
      <c r="K356" s="41"/>
      <c r="L356" s="41"/>
      <c r="M356" s="41"/>
      <c r="N356" s="41"/>
      <c r="O356" s="41"/>
      <c r="P356" s="41"/>
      <c r="Q356" s="43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</row>
    <row r="357" ht="15.75" customHeight="1">
      <c r="A357" s="41"/>
      <c r="B357" s="42"/>
      <c r="C357" s="42"/>
      <c r="D357" s="42"/>
      <c r="E357" s="42"/>
      <c r="F357" s="42"/>
      <c r="G357" s="41"/>
      <c r="H357" s="41"/>
      <c r="I357" s="13"/>
      <c r="J357" s="13"/>
      <c r="K357" s="41"/>
      <c r="L357" s="41"/>
      <c r="M357" s="41"/>
      <c r="N357" s="41"/>
      <c r="O357" s="41"/>
      <c r="P357" s="41"/>
      <c r="Q357" s="43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</row>
    <row r="358" ht="15.75" customHeight="1">
      <c r="A358" s="41"/>
      <c r="B358" s="42"/>
      <c r="C358" s="42"/>
      <c r="D358" s="42"/>
      <c r="E358" s="42"/>
      <c r="F358" s="42"/>
      <c r="G358" s="41"/>
      <c r="H358" s="41"/>
      <c r="I358" s="13"/>
      <c r="J358" s="13"/>
      <c r="K358" s="41"/>
      <c r="L358" s="41"/>
      <c r="M358" s="41"/>
      <c r="N358" s="41"/>
      <c r="O358" s="41"/>
      <c r="P358" s="41"/>
      <c r="Q358" s="43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</row>
    <row r="359" ht="15.75" customHeight="1">
      <c r="A359" s="41"/>
      <c r="B359" s="42"/>
      <c r="C359" s="42"/>
      <c r="D359" s="42"/>
      <c r="E359" s="42"/>
      <c r="F359" s="42"/>
      <c r="G359" s="41"/>
      <c r="H359" s="41"/>
      <c r="I359" s="13"/>
      <c r="J359" s="13"/>
      <c r="K359" s="41"/>
      <c r="L359" s="41"/>
      <c r="M359" s="41"/>
      <c r="N359" s="41"/>
      <c r="O359" s="41"/>
      <c r="P359" s="41"/>
      <c r="Q359" s="43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</row>
    <row r="360" ht="15.75" customHeight="1">
      <c r="A360" s="41"/>
      <c r="B360" s="42"/>
      <c r="C360" s="42"/>
      <c r="D360" s="42"/>
      <c r="E360" s="42"/>
      <c r="F360" s="42"/>
      <c r="G360" s="41"/>
      <c r="H360" s="41"/>
      <c r="I360" s="13"/>
      <c r="J360" s="13"/>
      <c r="K360" s="41"/>
      <c r="L360" s="41"/>
      <c r="M360" s="41"/>
      <c r="N360" s="41"/>
      <c r="O360" s="41"/>
      <c r="P360" s="41"/>
      <c r="Q360" s="43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</row>
    <row r="361" ht="15.75" customHeight="1">
      <c r="A361" s="41"/>
      <c r="B361" s="42"/>
      <c r="C361" s="42"/>
      <c r="D361" s="42"/>
      <c r="E361" s="42"/>
      <c r="F361" s="42"/>
      <c r="G361" s="41"/>
      <c r="H361" s="41"/>
      <c r="I361" s="13"/>
      <c r="J361" s="13"/>
      <c r="K361" s="41"/>
      <c r="L361" s="41"/>
      <c r="M361" s="41"/>
      <c r="N361" s="41"/>
      <c r="O361" s="41"/>
      <c r="P361" s="41"/>
      <c r="Q361" s="43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</row>
    <row r="362" ht="15.75" customHeight="1">
      <c r="A362" s="41"/>
      <c r="B362" s="42"/>
      <c r="C362" s="42"/>
      <c r="D362" s="42"/>
      <c r="E362" s="42"/>
      <c r="F362" s="42"/>
      <c r="G362" s="41"/>
      <c r="H362" s="41"/>
      <c r="I362" s="13"/>
      <c r="J362" s="13"/>
      <c r="K362" s="41"/>
      <c r="L362" s="41"/>
      <c r="M362" s="41"/>
      <c r="N362" s="41"/>
      <c r="O362" s="41"/>
      <c r="P362" s="41"/>
      <c r="Q362" s="43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</row>
    <row r="363" ht="15.75" customHeight="1">
      <c r="A363" s="41"/>
      <c r="B363" s="42"/>
      <c r="C363" s="42"/>
      <c r="D363" s="42"/>
      <c r="E363" s="42"/>
      <c r="F363" s="42"/>
      <c r="G363" s="41"/>
      <c r="H363" s="41"/>
      <c r="I363" s="13"/>
      <c r="J363" s="13"/>
      <c r="K363" s="41"/>
      <c r="L363" s="41"/>
      <c r="M363" s="41"/>
      <c r="N363" s="41"/>
      <c r="O363" s="41"/>
      <c r="P363" s="41"/>
      <c r="Q363" s="43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</row>
    <row r="364" ht="15.75" customHeight="1">
      <c r="A364" s="41"/>
      <c r="B364" s="42"/>
      <c r="C364" s="42"/>
      <c r="D364" s="42"/>
      <c r="E364" s="42"/>
      <c r="F364" s="42"/>
      <c r="G364" s="41"/>
      <c r="H364" s="41"/>
      <c r="I364" s="13"/>
      <c r="J364" s="13"/>
      <c r="K364" s="41"/>
      <c r="L364" s="41"/>
      <c r="M364" s="41"/>
      <c r="N364" s="41"/>
      <c r="O364" s="41"/>
      <c r="P364" s="41"/>
      <c r="Q364" s="43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</row>
    <row r="365" ht="15.75" customHeight="1">
      <c r="A365" s="41"/>
      <c r="B365" s="42"/>
      <c r="C365" s="42"/>
      <c r="D365" s="42"/>
      <c r="E365" s="42"/>
      <c r="F365" s="42"/>
      <c r="G365" s="41"/>
      <c r="H365" s="41"/>
      <c r="I365" s="13"/>
      <c r="J365" s="13"/>
      <c r="K365" s="41"/>
      <c r="L365" s="41"/>
      <c r="M365" s="41"/>
      <c r="N365" s="41"/>
      <c r="O365" s="41"/>
      <c r="P365" s="41"/>
      <c r="Q365" s="43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</row>
    <row r="366" ht="15.75" customHeight="1">
      <c r="A366" s="41"/>
      <c r="B366" s="42"/>
      <c r="C366" s="42"/>
      <c r="D366" s="42"/>
      <c r="E366" s="42"/>
      <c r="F366" s="42"/>
      <c r="G366" s="41"/>
      <c r="H366" s="41"/>
      <c r="I366" s="13"/>
      <c r="J366" s="13"/>
      <c r="K366" s="41"/>
      <c r="L366" s="41"/>
      <c r="M366" s="41"/>
      <c r="N366" s="41"/>
      <c r="O366" s="41"/>
      <c r="P366" s="41"/>
      <c r="Q366" s="43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</row>
    <row r="367" ht="15.75" customHeight="1">
      <c r="A367" s="41"/>
      <c r="B367" s="42"/>
      <c r="C367" s="42"/>
      <c r="D367" s="42"/>
      <c r="E367" s="42"/>
      <c r="F367" s="42"/>
      <c r="G367" s="41"/>
      <c r="H367" s="41"/>
      <c r="I367" s="13"/>
      <c r="J367" s="13"/>
      <c r="K367" s="41"/>
      <c r="L367" s="41"/>
      <c r="M367" s="41"/>
      <c r="N367" s="41"/>
      <c r="O367" s="41"/>
      <c r="P367" s="41"/>
      <c r="Q367" s="43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</row>
    <row r="368" ht="15.75" customHeight="1">
      <c r="A368" s="41"/>
      <c r="B368" s="42"/>
      <c r="C368" s="42"/>
      <c r="D368" s="42"/>
      <c r="E368" s="42"/>
      <c r="F368" s="42"/>
      <c r="G368" s="41"/>
      <c r="H368" s="41"/>
      <c r="I368" s="13"/>
      <c r="J368" s="13"/>
      <c r="K368" s="41"/>
      <c r="L368" s="41"/>
      <c r="M368" s="41"/>
      <c r="N368" s="41"/>
      <c r="O368" s="41"/>
      <c r="P368" s="41"/>
      <c r="Q368" s="43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</row>
    <row r="369" ht="15.75" customHeight="1">
      <c r="A369" s="41"/>
      <c r="B369" s="42"/>
      <c r="C369" s="42"/>
      <c r="D369" s="42"/>
      <c r="E369" s="42"/>
      <c r="F369" s="42"/>
      <c r="G369" s="41"/>
      <c r="H369" s="41"/>
      <c r="I369" s="13"/>
      <c r="J369" s="13"/>
      <c r="K369" s="41"/>
      <c r="L369" s="41"/>
      <c r="M369" s="41"/>
      <c r="N369" s="41"/>
      <c r="O369" s="41"/>
      <c r="P369" s="41"/>
      <c r="Q369" s="43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</row>
    <row r="370" ht="15.75" customHeight="1">
      <c r="A370" s="41"/>
      <c r="B370" s="42"/>
      <c r="C370" s="42"/>
      <c r="D370" s="42"/>
      <c r="E370" s="42"/>
      <c r="F370" s="42"/>
      <c r="G370" s="41"/>
      <c r="H370" s="41"/>
      <c r="I370" s="13"/>
      <c r="J370" s="13"/>
      <c r="K370" s="41"/>
      <c r="L370" s="41"/>
      <c r="M370" s="41"/>
      <c r="N370" s="41"/>
      <c r="O370" s="41"/>
      <c r="P370" s="41"/>
      <c r="Q370" s="43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</row>
    <row r="371" ht="15.75" customHeight="1">
      <c r="A371" s="41"/>
      <c r="B371" s="42"/>
      <c r="C371" s="42"/>
      <c r="D371" s="42"/>
      <c r="E371" s="42"/>
      <c r="F371" s="42"/>
      <c r="G371" s="41"/>
      <c r="H371" s="41"/>
      <c r="I371" s="13"/>
      <c r="J371" s="13"/>
      <c r="K371" s="41"/>
      <c r="L371" s="41"/>
      <c r="M371" s="41"/>
      <c r="N371" s="41"/>
      <c r="O371" s="41"/>
      <c r="P371" s="41"/>
      <c r="Q371" s="43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</row>
    <row r="372" ht="15.75" customHeight="1">
      <c r="A372" s="41"/>
      <c r="B372" s="42"/>
      <c r="C372" s="42"/>
      <c r="D372" s="42"/>
      <c r="E372" s="42"/>
      <c r="F372" s="42"/>
      <c r="G372" s="41"/>
      <c r="H372" s="41"/>
      <c r="I372" s="13"/>
      <c r="J372" s="13"/>
      <c r="K372" s="41"/>
      <c r="L372" s="41"/>
      <c r="M372" s="41"/>
      <c r="N372" s="41"/>
      <c r="O372" s="41"/>
      <c r="P372" s="41"/>
      <c r="Q372" s="43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</row>
    <row r="373" ht="15.75" customHeight="1">
      <c r="A373" s="41"/>
      <c r="B373" s="42"/>
      <c r="C373" s="42"/>
      <c r="D373" s="42"/>
      <c r="E373" s="42"/>
      <c r="F373" s="42"/>
      <c r="G373" s="41"/>
      <c r="H373" s="41"/>
      <c r="I373" s="13"/>
      <c r="J373" s="13"/>
      <c r="K373" s="41"/>
      <c r="L373" s="41"/>
      <c r="M373" s="41"/>
      <c r="N373" s="41"/>
      <c r="O373" s="41"/>
      <c r="P373" s="41"/>
      <c r="Q373" s="43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</row>
    <row r="374" ht="15.75" customHeight="1">
      <c r="A374" s="41"/>
      <c r="B374" s="42"/>
      <c r="C374" s="42"/>
      <c r="D374" s="42"/>
      <c r="E374" s="42"/>
      <c r="F374" s="42"/>
      <c r="G374" s="41"/>
      <c r="H374" s="41"/>
      <c r="I374" s="13"/>
      <c r="J374" s="13"/>
      <c r="K374" s="41"/>
      <c r="L374" s="41"/>
      <c r="M374" s="41"/>
      <c r="N374" s="41"/>
      <c r="O374" s="41"/>
      <c r="P374" s="41"/>
      <c r="Q374" s="43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</row>
    <row r="375" ht="15.75" customHeight="1">
      <c r="A375" s="41"/>
      <c r="B375" s="42"/>
      <c r="C375" s="42"/>
      <c r="D375" s="42"/>
      <c r="E375" s="42"/>
      <c r="F375" s="42"/>
      <c r="G375" s="41"/>
      <c r="H375" s="41"/>
      <c r="I375" s="13"/>
      <c r="J375" s="13"/>
      <c r="K375" s="41"/>
      <c r="L375" s="41"/>
      <c r="M375" s="41"/>
      <c r="N375" s="41"/>
      <c r="O375" s="41"/>
      <c r="P375" s="41"/>
      <c r="Q375" s="43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</row>
    <row r="376" ht="15.75" customHeight="1">
      <c r="A376" s="41"/>
      <c r="B376" s="42"/>
      <c r="C376" s="42"/>
      <c r="D376" s="42"/>
      <c r="E376" s="42"/>
      <c r="F376" s="42"/>
      <c r="G376" s="41"/>
      <c r="H376" s="41"/>
      <c r="I376" s="13"/>
      <c r="J376" s="13"/>
      <c r="K376" s="41"/>
      <c r="L376" s="41"/>
      <c r="M376" s="41"/>
      <c r="N376" s="41"/>
      <c r="O376" s="41"/>
      <c r="P376" s="41"/>
      <c r="Q376" s="43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</row>
    <row r="377" ht="15.75" customHeight="1">
      <c r="A377" s="41"/>
      <c r="B377" s="42"/>
      <c r="C377" s="42"/>
      <c r="D377" s="42"/>
      <c r="E377" s="42"/>
      <c r="F377" s="42"/>
      <c r="G377" s="41"/>
      <c r="H377" s="41"/>
      <c r="I377" s="13"/>
      <c r="J377" s="13"/>
      <c r="K377" s="41"/>
      <c r="L377" s="41"/>
      <c r="M377" s="41"/>
      <c r="N377" s="41"/>
      <c r="O377" s="41"/>
      <c r="P377" s="41"/>
      <c r="Q377" s="43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</row>
    <row r="378" ht="15.75" customHeight="1">
      <c r="A378" s="41"/>
      <c r="B378" s="42"/>
      <c r="C378" s="42"/>
      <c r="D378" s="42"/>
      <c r="E378" s="42"/>
      <c r="F378" s="42"/>
      <c r="G378" s="41"/>
      <c r="H378" s="41"/>
      <c r="I378" s="13"/>
      <c r="J378" s="13"/>
      <c r="K378" s="41"/>
      <c r="L378" s="41"/>
      <c r="M378" s="41"/>
      <c r="N378" s="41"/>
      <c r="O378" s="41"/>
      <c r="P378" s="41"/>
      <c r="Q378" s="43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</row>
    <row r="379" ht="15.75" customHeight="1">
      <c r="A379" s="41"/>
      <c r="B379" s="42"/>
      <c r="C379" s="42"/>
      <c r="D379" s="42"/>
      <c r="E379" s="42"/>
      <c r="F379" s="42"/>
      <c r="G379" s="41"/>
      <c r="H379" s="41"/>
      <c r="I379" s="13"/>
      <c r="J379" s="13"/>
      <c r="K379" s="41"/>
      <c r="L379" s="41"/>
      <c r="M379" s="41"/>
      <c r="N379" s="41"/>
      <c r="O379" s="41"/>
      <c r="P379" s="41"/>
      <c r="Q379" s="43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</row>
    <row r="380" ht="15.75" customHeight="1">
      <c r="A380" s="41"/>
      <c r="B380" s="42"/>
      <c r="C380" s="42"/>
      <c r="D380" s="42"/>
      <c r="E380" s="42"/>
      <c r="F380" s="42"/>
      <c r="G380" s="41"/>
      <c r="H380" s="41"/>
      <c r="I380" s="13"/>
      <c r="J380" s="13"/>
      <c r="K380" s="41"/>
      <c r="L380" s="41"/>
      <c r="M380" s="41"/>
      <c r="N380" s="41"/>
      <c r="O380" s="41"/>
      <c r="P380" s="41"/>
      <c r="Q380" s="43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</row>
    <row r="381" ht="15.75" customHeight="1">
      <c r="A381" s="41"/>
      <c r="B381" s="42"/>
      <c r="C381" s="42"/>
      <c r="D381" s="42"/>
      <c r="E381" s="42"/>
      <c r="F381" s="42"/>
      <c r="G381" s="41"/>
      <c r="H381" s="41"/>
      <c r="I381" s="13"/>
      <c r="J381" s="13"/>
      <c r="K381" s="41"/>
      <c r="L381" s="41"/>
      <c r="M381" s="41"/>
      <c r="N381" s="41"/>
      <c r="O381" s="41"/>
      <c r="P381" s="41"/>
      <c r="Q381" s="43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</row>
    <row r="382" ht="15.75" customHeight="1">
      <c r="A382" s="41"/>
      <c r="B382" s="42"/>
      <c r="C382" s="42"/>
      <c r="D382" s="42"/>
      <c r="E382" s="42"/>
      <c r="F382" s="42"/>
      <c r="G382" s="41"/>
      <c r="H382" s="41"/>
      <c r="I382" s="13"/>
      <c r="J382" s="13"/>
      <c r="K382" s="41"/>
      <c r="L382" s="41"/>
      <c r="M382" s="41"/>
      <c r="N382" s="41"/>
      <c r="O382" s="41"/>
      <c r="P382" s="41"/>
      <c r="Q382" s="43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</row>
    <row r="383" ht="15.75" customHeight="1">
      <c r="A383" s="41"/>
      <c r="B383" s="42"/>
      <c r="C383" s="42"/>
      <c r="D383" s="42"/>
      <c r="E383" s="42"/>
      <c r="F383" s="42"/>
      <c r="G383" s="41"/>
      <c r="H383" s="41"/>
      <c r="I383" s="13"/>
      <c r="J383" s="13"/>
      <c r="K383" s="41"/>
      <c r="L383" s="41"/>
      <c r="M383" s="41"/>
      <c r="N383" s="41"/>
      <c r="O383" s="41"/>
      <c r="P383" s="41"/>
      <c r="Q383" s="43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</row>
    <row r="384" ht="15.75" customHeight="1">
      <c r="A384" s="41"/>
      <c r="B384" s="42"/>
      <c r="C384" s="42"/>
      <c r="D384" s="42"/>
      <c r="E384" s="42"/>
      <c r="F384" s="42"/>
      <c r="G384" s="41"/>
      <c r="H384" s="41"/>
      <c r="I384" s="13"/>
      <c r="J384" s="13"/>
      <c r="K384" s="41"/>
      <c r="L384" s="41"/>
      <c r="M384" s="41"/>
      <c r="N384" s="41"/>
      <c r="O384" s="41"/>
      <c r="P384" s="41"/>
      <c r="Q384" s="43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</row>
    <row r="385" ht="15.75" customHeight="1">
      <c r="A385" s="41"/>
      <c r="B385" s="42"/>
      <c r="C385" s="42"/>
      <c r="D385" s="42"/>
      <c r="E385" s="42"/>
      <c r="F385" s="42"/>
      <c r="G385" s="41"/>
      <c r="H385" s="41"/>
      <c r="I385" s="13"/>
      <c r="J385" s="13"/>
      <c r="K385" s="41"/>
      <c r="L385" s="41"/>
      <c r="M385" s="41"/>
      <c r="N385" s="41"/>
      <c r="O385" s="41"/>
      <c r="P385" s="41"/>
      <c r="Q385" s="43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</row>
    <row r="386" ht="15.75" customHeight="1">
      <c r="A386" s="41"/>
      <c r="B386" s="42"/>
      <c r="C386" s="42"/>
      <c r="D386" s="42"/>
      <c r="E386" s="42"/>
      <c r="F386" s="42"/>
      <c r="G386" s="41"/>
      <c r="H386" s="41"/>
      <c r="I386" s="13"/>
      <c r="J386" s="13"/>
      <c r="K386" s="41"/>
      <c r="L386" s="41"/>
      <c r="M386" s="41"/>
      <c r="N386" s="41"/>
      <c r="O386" s="41"/>
      <c r="P386" s="41"/>
      <c r="Q386" s="43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</row>
    <row r="387" ht="15.75" customHeight="1">
      <c r="A387" s="41"/>
      <c r="B387" s="42"/>
      <c r="C387" s="42"/>
      <c r="D387" s="42"/>
      <c r="E387" s="42"/>
      <c r="F387" s="42"/>
      <c r="G387" s="41"/>
      <c r="H387" s="41"/>
      <c r="I387" s="13"/>
      <c r="J387" s="13"/>
      <c r="K387" s="41"/>
      <c r="L387" s="41"/>
      <c r="M387" s="41"/>
      <c r="N387" s="41"/>
      <c r="O387" s="41"/>
      <c r="P387" s="41"/>
      <c r="Q387" s="43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</row>
    <row r="388" ht="15.75" customHeight="1">
      <c r="A388" s="41"/>
      <c r="B388" s="42"/>
      <c r="C388" s="42"/>
      <c r="D388" s="42"/>
      <c r="E388" s="42"/>
      <c r="F388" s="42"/>
      <c r="G388" s="41"/>
      <c r="H388" s="41"/>
      <c r="I388" s="13"/>
      <c r="J388" s="13"/>
      <c r="K388" s="41"/>
      <c r="L388" s="41"/>
      <c r="M388" s="41"/>
      <c r="N388" s="41"/>
      <c r="O388" s="41"/>
      <c r="P388" s="41"/>
      <c r="Q388" s="43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</row>
    <row r="389" ht="15.75" customHeight="1">
      <c r="A389" s="41"/>
      <c r="B389" s="42"/>
      <c r="C389" s="42"/>
      <c r="D389" s="42"/>
      <c r="E389" s="42"/>
      <c r="F389" s="42"/>
      <c r="G389" s="41"/>
      <c r="H389" s="41"/>
      <c r="I389" s="13"/>
      <c r="J389" s="13"/>
      <c r="K389" s="41"/>
      <c r="L389" s="41"/>
      <c r="M389" s="41"/>
      <c r="N389" s="41"/>
      <c r="O389" s="41"/>
      <c r="P389" s="41"/>
      <c r="Q389" s="43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</row>
    <row r="390" ht="15.75" customHeight="1">
      <c r="A390" s="41"/>
      <c r="B390" s="42"/>
      <c r="C390" s="42"/>
      <c r="D390" s="42"/>
      <c r="E390" s="42"/>
      <c r="F390" s="42"/>
      <c r="G390" s="41"/>
      <c r="H390" s="41"/>
      <c r="I390" s="13"/>
      <c r="J390" s="13"/>
      <c r="K390" s="41"/>
      <c r="L390" s="41"/>
      <c r="M390" s="41"/>
      <c r="N390" s="41"/>
      <c r="O390" s="41"/>
      <c r="P390" s="41"/>
      <c r="Q390" s="43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</row>
    <row r="391" ht="15.75" customHeight="1">
      <c r="A391" s="41"/>
      <c r="B391" s="42"/>
      <c r="C391" s="42"/>
      <c r="D391" s="42"/>
      <c r="E391" s="42"/>
      <c r="F391" s="42"/>
      <c r="G391" s="41"/>
      <c r="H391" s="41"/>
      <c r="I391" s="13"/>
      <c r="J391" s="13"/>
      <c r="K391" s="41"/>
      <c r="L391" s="41"/>
      <c r="M391" s="41"/>
      <c r="N391" s="41"/>
      <c r="O391" s="41"/>
      <c r="P391" s="41"/>
      <c r="Q391" s="43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</row>
    <row r="392" ht="15.75" customHeight="1">
      <c r="A392" s="41"/>
      <c r="B392" s="42"/>
      <c r="C392" s="42"/>
      <c r="D392" s="42"/>
      <c r="E392" s="42"/>
      <c r="F392" s="42"/>
      <c r="G392" s="41"/>
      <c r="H392" s="41"/>
      <c r="I392" s="13"/>
      <c r="J392" s="13"/>
      <c r="K392" s="41"/>
      <c r="L392" s="41"/>
      <c r="M392" s="41"/>
      <c r="N392" s="41"/>
      <c r="O392" s="41"/>
      <c r="P392" s="41"/>
      <c r="Q392" s="43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</row>
    <row r="393" ht="15.75" customHeight="1">
      <c r="A393" s="41"/>
      <c r="B393" s="42"/>
      <c r="C393" s="42"/>
      <c r="D393" s="42"/>
      <c r="E393" s="42"/>
      <c r="F393" s="42"/>
      <c r="G393" s="41"/>
      <c r="H393" s="41"/>
      <c r="I393" s="13"/>
      <c r="J393" s="13"/>
      <c r="K393" s="41"/>
      <c r="L393" s="41"/>
      <c r="M393" s="41"/>
      <c r="N393" s="41"/>
      <c r="O393" s="41"/>
      <c r="P393" s="41"/>
      <c r="Q393" s="43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</row>
    <row r="394" ht="15.75" customHeight="1">
      <c r="A394" s="41"/>
      <c r="B394" s="42"/>
      <c r="C394" s="42"/>
      <c r="D394" s="42"/>
      <c r="E394" s="42"/>
      <c r="F394" s="42"/>
      <c r="G394" s="41"/>
      <c r="H394" s="41"/>
      <c r="I394" s="13"/>
      <c r="J394" s="13"/>
      <c r="K394" s="41"/>
      <c r="L394" s="41"/>
      <c r="M394" s="41"/>
      <c r="N394" s="41"/>
      <c r="O394" s="41"/>
      <c r="P394" s="41"/>
      <c r="Q394" s="43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</row>
    <row r="395" ht="15.75" customHeight="1">
      <c r="A395" s="41"/>
      <c r="B395" s="42"/>
      <c r="C395" s="42"/>
      <c r="D395" s="42"/>
      <c r="E395" s="42"/>
      <c r="F395" s="42"/>
      <c r="G395" s="41"/>
      <c r="H395" s="41"/>
      <c r="I395" s="13"/>
      <c r="J395" s="13"/>
      <c r="K395" s="41"/>
      <c r="L395" s="41"/>
      <c r="M395" s="41"/>
      <c r="N395" s="41"/>
      <c r="O395" s="41"/>
      <c r="P395" s="41"/>
      <c r="Q395" s="43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</row>
    <row r="396" ht="15.75" customHeight="1">
      <c r="A396" s="41"/>
      <c r="B396" s="42"/>
      <c r="C396" s="42"/>
      <c r="D396" s="42"/>
      <c r="E396" s="42"/>
      <c r="F396" s="42"/>
      <c r="G396" s="41"/>
      <c r="H396" s="41"/>
      <c r="I396" s="13"/>
      <c r="J396" s="13"/>
      <c r="K396" s="41"/>
      <c r="L396" s="41"/>
      <c r="M396" s="41"/>
      <c r="N396" s="41"/>
      <c r="O396" s="41"/>
      <c r="P396" s="41"/>
      <c r="Q396" s="43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</row>
    <row r="397" ht="15.75" customHeight="1">
      <c r="A397" s="41"/>
      <c r="B397" s="42"/>
      <c r="C397" s="42"/>
      <c r="D397" s="42"/>
      <c r="E397" s="42"/>
      <c r="F397" s="42"/>
      <c r="G397" s="41"/>
      <c r="H397" s="41"/>
      <c r="I397" s="13"/>
      <c r="J397" s="13"/>
      <c r="K397" s="41"/>
      <c r="L397" s="41"/>
      <c r="M397" s="41"/>
      <c r="N397" s="41"/>
      <c r="O397" s="41"/>
      <c r="P397" s="41"/>
      <c r="Q397" s="43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</row>
    <row r="398" ht="15.75" customHeight="1">
      <c r="A398" s="41"/>
      <c r="B398" s="42"/>
      <c r="C398" s="42"/>
      <c r="D398" s="42"/>
      <c r="E398" s="42"/>
      <c r="F398" s="42"/>
      <c r="G398" s="41"/>
      <c r="H398" s="41"/>
      <c r="I398" s="13"/>
      <c r="J398" s="13"/>
      <c r="K398" s="41"/>
      <c r="L398" s="41"/>
      <c r="M398" s="41"/>
      <c r="N398" s="41"/>
      <c r="O398" s="41"/>
      <c r="P398" s="41"/>
      <c r="Q398" s="43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</row>
    <row r="399" ht="15.75" customHeight="1">
      <c r="A399" s="41"/>
      <c r="B399" s="42"/>
      <c r="C399" s="42"/>
      <c r="D399" s="42"/>
      <c r="E399" s="42"/>
      <c r="F399" s="42"/>
      <c r="G399" s="41"/>
      <c r="H399" s="41"/>
      <c r="I399" s="13"/>
      <c r="J399" s="13"/>
      <c r="K399" s="41"/>
      <c r="L399" s="41"/>
      <c r="M399" s="41"/>
      <c r="N399" s="41"/>
      <c r="O399" s="41"/>
      <c r="P399" s="41"/>
      <c r="Q399" s="43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</row>
    <row r="400" ht="15.75" customHeight="1">
      <c r="A400" s="41"/>
      <c r="B400" s="42"/>
      <c r="C400" s="42"/>
      <c r="D400" s="42"/>
      <c r="E400" s="42"/>
      <c r="F400" s="42"/>
      <c r="G400" s="41"/>
      <c r="H400" s="41"/>
      <c r="I400" s="13"/>
      <c r="J400" s="13"/>
      <c r="K400" s="41"/>
      <c r="L400" s="41"/>
      <c r="M400" s="41"/>
      <c r="N400" s="41"/>
      <c r="O400" s="41"/>
      <c r="P400" s="41"/>
      <c r="Q400" s="43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</row>
    <row r="401" ht="15.75" customHeight="1">
      <c r="A401" s="41"/>
      <c r="B401" s="42"/>
      <c r="C401" s="42"/>
      <c r="D401" s="42"/>
      <c r="E401" s="42"/>
      <c r="F401" s="42"/>
      <c r="G401" s="41"/>
      <c r="H401" s="41"/>
      <c r="I401" s="13"/>
      <c r="J401" s="13"/>
      <c r="K401" s="41"/>
      <c r="L401" s="41"/>
      <c r="M401" s="41"/>
      <c r="N401" s="41"/>
      <c r="O401" s="41"/>
      <c r="P401" s="41"/>
      <c r="Q401" s="43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</row>
    <row r="402" ht="15.75" customHeight="1">
      <c r="A402" s="41"/>
      <c r="B402" s="42"/>
      <c r="C402" s="42"/>
      <c r="D402" s="42"/>
      <c r="E402" s="42"/>
      <c r="F402" s="42"/>
      <c r="G402" s="41"/>
      <c r="H402" s="41"/>
      <c r="I402" s="13"/>
      <c r="J402" s="13"/>
      <c r="K402" s="41"/>
      <c r="L402" s="41"/>
      <c r="M402" s="41"/>
      <c r="N402" s="41"/>
      <c r="O402" s="41"/>
      <c r="P402" s="41"/>
      <c r="Q402" s="43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</row>
    <row r="403" ht="15.75" customHeight="1">
      <c r="A403" s="41"/>
      <c r="B403" s="42"/>
      <c r="C403" s="42"/>
      <c r="D403" s="42"/>
      <c r="E403" s="42"/>
      <c r="F403" s="42"/>
      <c r="G403" s="41"/>
      <c r="H403" s="41"/>
      <c r="I403" s="13"/>
      <c r="J403" s="13"/>
      <c r="K403" s="41"/>
      <c r="L403" s="41"/>
      <c r="M403" s="41"/>
      <c r="N403" s="41"/>
      <c r="O403" s="41"/>
      <c r="P403" s="41"/>
      <c r="Q403" s="43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</row>
    <row r="404" ht="15.75" customHeight="1">
      <c r="A404" s="41"/>
      <c r="B404" s="42"/>
      <c r="C404" s="42"/>
      <c r="D404" s="42"/>
      <c r="E404" s="42"/>
      <c r="F404" s="42"/>
      <c r="G404" s="41"/>
      <c r="H404" s="41"/>
      <c r="I404" s="13"/>
      <c r="J404" s="13"/>
      <c r="K404" s="41"/>
      <c r="L404" s="41"/>
      <c r="M404" s="41"/>
      <c r="N404" s="41"/>
      <c r="O404" s="41"/>
      <c r="P404" s="41"/>
      <c r="Q404" s="43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</row>
    <row r="405" ht="15.75" customHeight="1">
      <c r="A405" s="41"/>
      <c r="B405" s="42"/>
      <c r="C405" s="42"/>
      <c r="D405" s="42"/>
      <c r="E405" s="42"/>
      <c r="F405" s="42"/>
      <c r="G405" s="41"/>
      <c r="H405" s="41"/>
      <c r="I405" s="13"/>
      <c r="J405" s="13"/>
      <c r="K405" s="41"/>
      <c r="L405" s="41"/>
      <c r="M405" s="41"/>
      <c r="N405" s="41"/>
      <c r="O405" s="41"/>
      <c r="P405" s="41"/>
      <c r="Q405" s="43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</row>
    <row r="406" ht="15.75" customHeight="1">
      <c r="A406" s="41"/>
      <c r="B406" s="42"/>
      <c r="C406" s="42"/>
      <c r="D406" s="42"/>
      <c r="E406" s="42"/>
      <c r="F406" s="42"/>
      <c r="G406" s="41"/>
      <c r="H406" s="41"/>
      <c r="I406" s="13"/>
      <c r="J406" s="13"/>
      <c r="K406" s="41"/>
      <c r="L406" s="41"/>
      <c r="M406" s="41"/>
      <c r="N406" s="41"/>
      <c r="O406" s="41"/>
      <c r="P406" s="41"/>
      <c r="Q406" s="43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</row>
    <row r="407" ht="15.75" customHeight="1">
      <c r="A407" s="41"/>
      <c r="B407" s="42"/>
      <c r="C407" s="42"/>
      <c r="D407" s="42"/>
      <c r="E407" s="42"/>
      <c r="F407" s="42"/>
      <c r="G407" s="41"/>
      <c r="H407" s="41"/>
      <c r="I407" s="13"/>
      <c r="J407" s="13"/>
      <c r="K407" s="41"/>
      <c r="L407" s="41"/>
      <c r="M407" s="41"/>
      <c r="N407" s="41"/>
      <c r="O407" s="41"/>
      <c r="P407" s="41"/>
      <c r="Q407" s="43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</row>
    <row r="408" ht="15.75" customHeight="1">
      <c r="A408" s="41"/>
      <c r="B408" s="42"/>
      <c r="C408" s="42"/>
      <c r="D408" s="42"/>
      <c r="E408" s="42"/>
      <c r="F408" s="42"/>
      <c r="G408" s="41"/>
      <c r="H408" s="41"/>
      <c r="I408" s="13"/>
      <c r="J408" s="13"/>
      <c r="K408" s="41"/>
      <c r="L408" s="41"/>
      <c r="M408" s="41"/>
      <c r="N408" s="41"/>
      <c r="O408" s="41"/>
      <c r="P408" s="41"/>
      <c r="Q408" s="43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</row>
    <row r="409" ht="15.75" customHeight="1">
      <c r="A409" s="41"/>
      <c r="B409" s="42"/>
      <c r="C409" s="42"/>
      <c r="D409" s="42"/>
      <c r="E409" s="42"/>
      <c r="F409" s="42"/>
      <c r="G409" s="41"/>
      <c r="H409" s="41"/>
      <c r="I409" s="13"/>
      <c r="J409" s="13"/>
      <c r="K409" s="41"/>
      <c r="L409" s="41"/>
      <c r="M409" s="41"/>
      <c r="N409" s="41"/>
      <c r="O409" s="41"/>
      <c r="P409" s="41"/>
      <c r="Q409" s="43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</row>
    <row r="410" ht="15.75" customHeight="1">
      <c r="A410" s="41"/>
      <c r="B410" s="42"/>
      <c r="C410" s="42"/>
      <c r="D410" s="42"/>
      <c r="E410" s="42"/>
      <c r="F410" s="42"/>
      <c r="G410" s="41"/>
      <c r="H410" s="41"/>
      <c r="I410" s="13"/>
      <c r="J410" s="13"/>
      <c r="K410" s="41"/>
      <c r="L410" s="41"/>
      <c r="M410" s="41"/>
      <c r="N410" s="41"/>
      <c r="O410" s="41"/>
      <c r="P410" s="41"/>
      <c r="Q410" s="43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</row>
    <row r="411" ht="15.75" customHeight="1">
      <c r="A411" s="41"/>
      <c r="B411" s="42"/>
      <c r="C411" s="42"/>
      <c r="D411" s="42"/>
      <c r="E411" s="42"/>
      <c r="F411" s="42"/>
      <c r="G411" s="41"/>
      <c r="H411" s="41"/>
      <c r="I411" s="13"/>
      <c r="J411" s="13"/>
      <c r="K411" s="41"/>
      <c r="L411" s="41"/>
      <c r="M411" s="41"/>
      <c r="N411" s="41"/>
      <c r="O411" s="41"/>
      <c r="P411" s="41"/>
      <c r="Q411" s="43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</row>
    <row r="412" ht="15.75" customHeight="1">
      <c r="A412" s="41"/>
      <c r="B412" s="42"/>
      <c r="C412" s="42"/>
      <c r="D412" s="42"/>
      <c r="E412" s="42"/>
      <c r="F412" s="42"/>
      <c r="G412" s="41"/>
      <c r="H412" s="41"/>
      <c r="I412" s="13"/>
      <c r="J412" s="13"/>
      <c r="K412" s="41"/>
      <c r="L412" s="41"/>
      <c r="M412" s="41"/>
      <c r="N412" s="41"/>
      <c r="O412" s="41"/>
      <c r="P412" s="41"/>
      <c r="Q412" s="43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</row>
    <row r="413" ht="15.75" customHeight="1">
      <c r="A413" s="41"/>
      <c r="B413" s="42"/>
      <c r="C413" s="42"/>
      <c r="D413" s="42"/>
      <c r="E413" s="42"/>
      <c r="F413" s="42"/>
      <c r="G413" s="41"/>
      <c r="H413" s="41"/>
      <c r="I413" s="13"/>
      <c r="J413" s="13"/>
      <c r="K413" s="41"/>
      <c r="L413" s="41"/>
      <c r="M413" s="41"/>
      <c r="N413" s="41"/>
      <c r="O413" s="41"/>
      <c r="P413" s="41"/>
      <c r="Q413" s="43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</row>
    <row r="414" ht="15.75" customHeight="1">
      <c r="A414" s="41"/>
      <c r="B414" s="42"/>
      <c r="C414" s="42"/>
      <c r="D414" s="42"/>
      <c r="E414" s="42"/>
      <c r="F414" s="42"/>
      <c r="G414" s="41"/>
      <c r="H414" s="41"/>
      <c r="I414" s="13"/>
      <c r="J414" s="13"/>
      <c r="K414" s="41"/>
      <c r="L414" s="41"/>
      <c r="M414" s="41"/>
      <c r="N414" s="41"/>
      <c r="O414" s="41"/>
      <c r="P414" s="41"/>
      <c r="Q414" s="43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</row>
    <row r="415" ht="15.75" customHeight="1">
      <c r="A415" s="41"/>
      <c r="B415" s="42"/>
      <c r="C415" s="42"/>
      <c r="D415" s="42"/>
      <c r="E415" s="42"/>
      <c r="F415" s="42"/>
      <c r="G415" s="41"/>
      <c r="H415" s="41"/>
      <c r="I415" s="13"/>
      <c r="J415" s="13"/>
      <c r="K415" s="41"/>
      <c r="L415" s="41"/>
      <c r="M415" s="41"/>
      <c r="N415" s="41"/>
      <c r="O415" s="41"/>
      <c r="P415" s="41"/>
      <c r="Q415" s="43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</row>
    <row r="416" ht="15.75" customHeight="1">
      <c r="A416" s="41"/>
      <c r="B416" s="42"/>
      <c r="C416" s="42"/>
      <c r="D416" s="42"/>
      <c r="E416" s="42"/>
      <c r="F416" s="42"/>
      <c r="G416" s="41"/>
      <c r="H416" s="41"/>
      <c r="I416" s="13"/>
      <c r="J416" s="13"/>
      <c r="K416" s="41"/>
      <c r="L416" s="41"/>
      <c r="M416" s="41"/>
      <c r="N416" s="41"/>
      <c r="O416" s="41"/>
      <c r="P416" s="41"/>
      <c r="Q416" s="43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</row>
    <row r="417" ht="15.75" customHeight="1">
      <c r="A417" s="41"/>
      <c r="B417" s="42"/>
      <c r="C417" s="42"/>
      <c r="D417" s="42"/>
      <c r="E417" s="42"/>
      <c r="F417" s="42"/>
      <c r="G417" s="41"/>
      <c r="H417" s="41"/>
      <c r="I417" s="13"/>
      <c r="J417" s="13"/>
      <c r="K417" s="41"/>
      <c r="L417" s="41"/>
      <c r="M417" s="41"/>
      <c r="N417" s="41"/>
      <c r="O417" s="41"/>
      <c r="P417" s="41"/>
      <c r="Q417" s="43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</row>
    <row r="418" ht="15.75" customHeight="1">
      <c r="A418" s="41"/>
      <c r="B418" s="42"/>
      <c r="C418" s="42"/>
      <c r="D418" s="42"/>
      <c r="E418" s="42"/>
      <c r="F418" s="42"/>
      <c r="G418" s="41"/>
      <c r="H418" s="41"/>
      <c r="I418" s="13"/>
      <c r="J418" s="13"/>
      <c r="K418" s="41"/>
      <c r="L418" s="41"/>
      <c r="M418" s="41"/>
      <c r="N418" s="41"/>
      <c r="O418" s="41"/>
      <c r="P418" s="41"/>
      <c r="Q418" s="43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</row>
    <row r="419" ht="15.75" customHeight="1">
      <c r="A419" s="41"/>
      <c r="B419" s="42"/>
      <c r="C419" s="42"/>
      <c r="D419" s="42"/>
      <c r="E419" s="42"/>
      <c r="F419" s="42"/>
      <c r="G419" s="41"/>
      <c r="H419" s="41"/>
      <c r="I419" s="13"/>
      <c r="J419" s="13"/>
      <c r="K419" s="41"/>
      <c r="L419" s="41"/>
      <c r="M419" s="41"/>
      <c r="N419" s="41"/>
      <c r="O419" s="41"/>
      <c r="P419" s="41"/>
      <c r="Q419" s="43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</row>
    <row r="420" ht="15.75" customHeight="1">
      <c r="A420" s="41"/>
      <c r="B420" s="42"/>
      <c r="C420" s="42"/>
      <c r="D420" s="42"/>
      <c r="E420" s="42"/>
      <c r="F420" s="42"/>
      <c r="G420" s="41"/>
      <c r="H420" s="41"/>
      <c r="I420" s="13"/>
      <c r="J420" s="13"/>
      <c r="K420" s="41"/>
      <c r="L420" s="41"/>
      <c r="M420" s="41"/>
      <c r="N420" s="41"/>
      <c r="O420" s="41"/>
      <c r="P420" s="41"/>
      <c r="Q420" s="43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</row>
    <row r="421" ht="15.75" customHeight="1">
      <c r="A421" s="41"/>
      <c r="B421" s="42"/>
      <c r="C421" s="42"/>
      <c r="D421" s="42"/>
      <c r="E421" s="42"/>
      <c r="F421" s="42"/>
      <c r="G421" s="41"/>
      <c r="H421" s="41"/>
      <c r="I421" s="13"/>
      <c r="J421" s="13"/>
      <c r="K421" s="41"/>
      <c r="L421" s="41"/>
      <c r="M421" s="41"/>
      <c r="N421" s="41"/>
      <c r="O421" s="41"/>
      <c r="P421" s="41"/>
      <c r="Q421" s="43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</row>
    <row r="422" ht="15.75" customHeight="1">
      <c r="A422" s="41"/>
      <c r="B422" s="42"/>
      <c r="C422" s="42"/>
      <c r="D422" s="42"/>
      <c r="E422" s="42"/>
      <c r="F422" s="42"/>
      <c r="G422" s="41"/>
      <c r="H422" s="41"/>
      <c r="I422" s="13"/>
      <c r="J422" s="13"/>
      <c r="K422" s="41"/>
      <c r="L422" s="41"/>
      <c r="M422" s="41"/>
      <c r="N422" s="41"/>
      <c r="O422" s="41"/>
      <c r="P422" s="41"/>
      <c r="Q422" s="43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</row>
    <row r="423" ht="15.75" customHeight="1">
      <c r="A423" s="41"/>
      <c r="B423" s="42"/>
      <c r="C423" s="42"/>
      <c r="D423" s="42"/>
      <c r="E423" s="42"/>
      <c r="F423" s="42"/>
      <c r="G423" s="41"/>
      <c r="H423" s="41"/>
      <c r="I423" s="13"/>
      <c r="J423" s="13"/>
      <c r="K423" s="41"/>
      <c r="L423" s="41"/>
      <c r="M423" s="41"/>
      <c r="N423" s="41"/>
      <c r="O423" s="41"/>
      <c r="P423" s="41"/>
      <c r="Q423" s="43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</row>
    <row r="424" ht="15.75" customHeight="1">
      <c r="A424" s="41"/>
      <c r="B424" s="42"/>
      <c r="C424" s="42"/>
      <c r="D424" s="42"/>
      <c r="E424" s="42"/>
      <c r="F424" s="42"/>
      <c r="G424" s="41"/>
      <c r="H424" s="41"/>
      <c r="I424" s="13"/>
      <c r="J424" s="13"/>
      <c r="K424" s="41"/>
      <c r="L424" s="41"/>
      <c r="M424" s="41"/>
      <c r="N424" s="41"/>
      <c r="O424" s="41"/>
      <c r="P424" s="41"/>
      <c r="Q424" s="43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</row>
    <row r="425" ht="15.75" customHeight="1">
      <c r="A425" s="39"/>
      <c r="B425" s="38"/>
      <c r="C425" s="38"/>
      <c r="D425" s="38"/>
      <c r="E425" s="38"/>
      <c r="F425" s="38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40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  <c r="AK425" s="39"/>
    </row>
    <row r="426" ht="15.75" customHeight="1">
      <c r="A426" s="39"/>
      <c r="B426" s="38"/>
      <c r="C426" s="38"/>
      <c r="D426" s="38"/>
      <c r="E426" s="38"/>
      <c r="F426" s="38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40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  <c r="AK426" s="39"/>
    </row>
    <row r="427" ht="15.75" customHeight="1">
      <c r="A427" s="39"/>
      <c r="B427" s="38"/>
      <c r="C427" s="38"/>
      <c r="D427" s="38"/>
      <c r="E427" s="38"/>
      <c r="F427" s="38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40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  <c r="AK427" s="39"/>
    </row>
    <row r="428" ht="15.75" customHeight="1">
      <c r="A428" s="39"/>
      <c r="B428" s="38"/>
      <c r="C428" s="38"/>
      <c r="D428" s="38"/>
      <c r="E428" s="38"/>
      <c r="F428" s="38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40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  <c r="AK428" s="39"/>
    </row>
    <row r="429" ht="15.75" customHeight="1">
      <c r="A429" s="39"/>
      <c r="B429" s="38"/>
      <c r="C429" s="38"/>
      <c r="D429" s="38"/>
      <c r="E429" s="38"/>
      <c r="F429" s="38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40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  <c r="AK429" s="39"/>
    </row>
    <row r="430" ht="15.75" customHeight="1">
      <c r="A430" s="39"/>
      <c r="B430" s="38"/>
      <c r="C430" s="38"/>
      <c r="D430" s="38"/>
      <c r="E430" s="38"/>
      <c r="F430" s="38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40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  <c r="AK430" s="39"/>
    </row>
    <row r="431" ht="15.75" customHeight="1">
      <c r="A431" s="39"/>
      <c r="B431" s="38"/>
      <c r="C431" s="38"/>
      <c r="D431" s="38"/>
      <c r="E431" s="38"/>
      <c r="F431" s="38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40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  <c r="AK431" s="39"/>
    </row>
    <row r="432" ht="15.75" customHeight="1">
      <c r="A432" s="39"/>
      <c r="B432" s="38"/>
      <c r="C432" s="38"/>
      <c r="D432" s="38"/>
      <c r="E432" s="38"/>
      <c r="F432" s="38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40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  <c r="AK432" s="39"/>
    </row>
    <row r="433" ht="15.75" customHeight="1">
      <c r="A433" s="39"/>
      <c r="B433" s="38"/>
      <c r="C433" s="38"/>
      <c r="D433" s="38"/>
      <c r="E433" s="38"/>
      <c r="F433" s="38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40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  <c r="AK433" s="39"/>
    </row>
    <row r="434" ht="15.75" customHeight="1">
      <c r="A434" s="39"/>
      <c r="B434" s="38"/>
      <c r="C434" s="38"/>
      <c r="D434" s="38"/>
      <c r="E434" s="38"/>
      <c r="F434" s="38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40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  <c r="AK434" s="39"/>
    </row>
    <row r="435" ht="15.75" customHeight="1">
      <c r="A435" s="39"/>
      <c r="B435" s="38"/>
      <c r="C435" s="38"/>
      <c r="D435" s="38"/>
      <c r="E435" s="38"/>
      <c r="F435" s="38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40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  <c r="AK435" s="39"/>
    </row>
    <row r="436" ht="15.75" customHeight="1">
      <c r="A436" s="39"/>
      <c r="B436" s="38"/>
      <c r="C436" s="38"/>
      <c r="D436" s="38"/>
      <c r="E436" s="38"/>
      <c r="F436" s="38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40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  <c r="AK436" s="39"/>
    </row>
    <row r="437" ht="15.75" customHeight="1">
      <c r="A437" s="39"/>
      <c r="B437" s="38"/>
      <c r="C437" s="38"/>
      <c r="D437" s="38"/>
      <c r="E437" s="38"/>
      <c r="F437" s="38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40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  <c r="AK437" s="39"/>
    </row>
    <row r="438" ht="15.75" customHeight="1">
      <c r="A438" s="39"/>
      <c r="B438" s="38"/>
      <c r="C438" s="38"/>
      <c r="D438" s="38"/>
      <c r="E438" s="38"/>
      <c r="F438" s="38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40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  <c r="AK438" s="39"/>
    </row>
    <row r="439" ht="15.75" customHeight="1">
      <c r="A439" s="39"/>
      <c r="B439" s="38"/>
      <c r="C439" s="38"/>
      <c r="D439" s="38"/>
      <c r="E439" s="38"/>
      <c r="F439" s="38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40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  <c r="AK439" s="39"/>
    </row>
    <row r="440" ht="15.75" customHeight="1">
      <c r="A440" s="39"/>
      <c r="B440" s="38"/>
      <c r="C440" s="38"/>
      <c r="D440" s="38"/>
      <c r="E440" s="38"/>
      <c r="F440" s="38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40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  <c r="AK440" s="39"/>
    </row>
    <row r="441" ht="15.75" customHeight="1">
      <c r="A441" s="39"/>
      <c r="B441" s="38"/>
      <c r="C441" s="38"/>
      <c r="D441" s="38"/>
      <c r="E441" s="38"/>
      <c r="F441" s="38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40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  <c r="AK441" s="39"/>
    </row>
    <row r="442" ht="15.75" customHeight="1">
      <c r="A442" s="39"/>
      <c r="B442" s="38"/>
      <c r="C442" s="38"/>
      <c r="D442" s="38"/>
      <c r="E442" s="38"/>
      <c r="F442" s="38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40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  <c r="AK442" s="39"/>
    </row>
    <row r="443" ht="15.75" customHeight="1">
      <c r="A443" s="39"/>
      <c r="B443" s="38"/>
      <c r="C443" s="38"/>
      <c r="D443" s="38"/>
      <c r="E443" s="38"/>
      <c r="F443" s="38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40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  <c r="AK443" s="39"/>
    </row>
    <row r="444" ht="15.75" customHeight="1">
      <c r="A444" s="39"/>
      <c r="B444" s="38"/>
      <c r="C444" s="38"/>
      <c r="D444" s="38"/>
      <c r="E444" s="38"/>
      <c r="F444" s="38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40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  <c r="AK444" s="39"/>
    </row>
    <row r="445" ht="15.75" customHeight="1">
      <c r="A445" s="39"/>
      <c r="B445" s="38"/>
      <c r="C445" s="38"/>
      <c r="D445" s="38"/>
      <c r="E445" s="38"/>
      <c r="F445" s="38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40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  <c r="AK445" s="39"/>
    </row>
    <row r="446" ht="15.75" customHeight="1">
      <c r="A446" s="39"/>
      <c r="B446" s="38"/>
      <c r="C446" s="38"/>
      <c r="D446" s="38"/>
      <c r="E446" s="38"/>
      <c r="F446" s="38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40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  <c r="AK446" s="39"/>
    </row>
    <row r="447" ht="15.75" customHeight="1">
      <c r="A447" s="39"/>
      <c r="B447" s="38"/>
      <c r="C447" s="38"/>
      <c r="D447" s="38"/>
      <c r="E447" s="38"/>
      <c r="F447" s="38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40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  <c r="AK447" s="39"/>
    </row>
    <row r="448" ht="15.75" customHeight="1">
      <c r="A448" s="39"/>
      <c r="B448" s="38"/>
      <c r="C448" s="38"/>
      <c r="D448" s="38"/>
      <c r="E448" s="38"/>
      <c r="F448" s="38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40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  <c r="AK448" s="39"/>
    </row>
    <row r="449" ht="15.75" customHeight="1">
      <c r="A449" s="39"/>
      <c r="B449" s="38"/>
      <c r="C449" s="38"/>
      <c r="D449" s="38"/>
      <c r="E449" s="38"/>
      <c r="F449" s="38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40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  <c r="AK449" s="39"/>
    </row>
    <row r="450" ht="15.75" customHeight="1">
      <c r="A450" s="39"/>
      <c r="B450" s="38"/>
      <c r="C450" s="38"/>
      <c r="D450" s="38"/>
      <c r="E450" s="38"/>
      <c r="F450" s="38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40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  <c r="AK450" s="39"/>
    </row>
    <row r="451" ht="15.75" customHeight="1">
      <c r="A451" s="39"/>
      <c r="B451" s="38"/>
      <c r="C451" s="38"/>
      <c r="D451" s="38"/>
      <c r="E451" s="38"/>
      <c r="F451" s="38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40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  <c r="AK451" s="39"/>
    </row>
    <row r="452" ht="15.75" customHeight="1">
      <c r="A452" s="39"/>
      <c r="B452" s="38"/>
      <c r="C452" s="38"/>
      <c r="D452" s="38"/>
      <c r="E452" s="38"/>
      <c r="F452" s="38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40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  <c r="AK452" s="39"/>
    </row>
    <row r="453" ht="15.75" customHeight="1">
      <c r="A453" s="39"/>
      <c r="B453" s="38"/>
      <c r="C453" s="38"/>
      <c r="D453" s="38"/>
      <c r="E453" s="38"/>
      <c r="F453" s="38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40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  <c r="AK453" s="39"/>
    </row>
    <row r="454" ht="15.75" customHeight="1">
      <c r="A454" s="39"/>
      <c r="B454" s="38"/>
      <c r="C454" s="38"/>
      <c r="D454" s="38"/>
      <c r="E454" s="38"/>
      <c r="F454" s="38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40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  <c r="AK454" s="39"/>
    </row>
    <row r="455" ht="15.75" customHeight="1">
      <c r="A455" s="39"/>
      <c r="B455" s="38"/>
      <c r="C455" s="38"/>
      <c r="D455" s="38"/>
      <c r="E455" s="38"/>
      <c r="F455" s="38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40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  <c r="AK455" s="39"/>
    </row>
    <row r="456" ht="15.75" customHeight="1">
      <c r="A456" s="39"/>
      <c r="B456" s="38"/>
      <c r="C456" s="38"/>
      <c r="D456" s="38"/>
      <c r="E456" s="38"/>
      <c r="F456" s="38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40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  <c r="AK456" s="39"/>
    </row>
    <row r="457" ht="15.75" customHeight="1">
      <c r="A457" s="39"/>
      <c r="B457" s="38"/>
      <c r="C457" s="38"/>
      <c r="D457" s="38"/>
      <c r="E457" s="38"/>
      <c r="F457" s="38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40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  <c r="AK457" s="39"/>
    </row>
    <row r="458" ht="15.75" customHeight="1">
      <c r="A458" s="39"/>
      <c r="B458" s="38"/>
      <c r="C458" s="38"/>
      <c r="D458" s="38"/>
      <c r="E458" s="38"/>
      <c r="F458" s="38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40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  <c r="AK458" s="39"/>
    </row>
    <row r="459" ht="15.75" customHeight="1">
      <c r="A459" s="39"/>
      <c r="B459" s="38"/>
      <c r="C459" s="38"/>
      <c r="D459" s="38"/>
      <c r="E459" s="38"/>
      <c r="F459" s="38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40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  <c r="AK459" s="39"/>
    </row>
    <row r="460" ht="15.75" customHeight="1">
      <c r="A460" s="39"/>
      <c r="B460" s="38"/>
      <c r="C460" s="38"/>
      <c r="D460" s="38"/>
      <c r="E460" s="38"/>
      <c r="F460" s="38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40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  <c r="AK460" s="39"/>
    </row>
    <row r="461" ht="15.75" customHeight="1">
      <c r="A461" s="39"/>
      <c r="B461" s="38"/>
      <c r="C461" s="38"/>
      <c r="D461" s="38"/>
      <c r="E461" s="38"/>
      <c r="F461" s="38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40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  <c r="AK461" s="39"/>
    </row>
    <row r="462" ht="15.75" customHeight="1">
      <c r="A462" s="39"/>
      <c r="B462" s="38"/>
      <c r="C462" s="38"/>
      <c r="D462" s="38"/>
      <c r="E462" s="38"/>
      <c r="F462" s="38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40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  <c r="AK462" s="39"/>
    </row>
    <row r="463" ht="15.75" customHeight="1">
      <c r="A463" s="39"/>
      <c r="B463" s="38"/>
      <c r="C463" s="38"/>
      <c r="D463" s="38"/>
      <c r="E463" s="38"/>
      <c r="F463" s="38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40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  <c r="AK463" s="39"/>
    </row>
    <row r="464" ht="15.75" customHeight="1">
      <c r="A464" s="39"/>
      <c r="B464" s="38"/>
      <c r="C464" s="38"/>
      <c r="D464" s="38"/>
      <c r="E464" s="38"/>
      <c r="F464" s="38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40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  <c r="AK464" s="39"/>
    </row>
    <row r="465" ht="15.75" customHeight="1">
      <c r="A465" s="39"/>
      <c r="B465" s="38"/>
      <c r="C465" s="38"/>
      <c r="D465" s="38"/>
      <c r="E465" s="38"/>
      <c r="F465" s="38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40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  <c r="AK465" s="39"/>
    </row>
    <row r="466" ht="15.75" customHeight="1">
      <c r="A466" s="39"/>
      <c r="B466" s="38"/>
      <c r="C466" s="38"/>
      <c r="D466" s="38"/>
      <c r="E466" s="38"/>
      <c r="F466" s="38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40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  <c r="AK466" s="39"/>
    </row>
    <row r="467" ht="15.75" customHeight="1">
      <c r="A467" s="39"/>
      <c r="B467" s="38"/>
      <c r="C467" s="38"/>
      <c r="D467" s="38"/>
      <c r="E467" s="38"/>
      <c r="F467" s="38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40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  <c r="AK467" s="39"/>
    </row>
    <row r="468" ht="15.75" customHeight="1">
      <c r="A468" s="39"/>
      <c r="B468" s="38"/>
      <c r="C468" s="38"/>
      <c r="D468" s="38"/>
      <c r="E468" s="38"/>
      <c r="F468" s="38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40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  <c r="AK468" s="39"/>
    </row>
    <row r="469" ht="15.75" customHeight="1">
      <c r="A469" s="39"/>
      <c r="B469" s="38"/>
      <c r="C469" s="38"/>
      <c r="D469" s="38"/>
      <c r="E469" s="38"/>
      <c r="F469" s="38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40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  <c r="AK469" s="39"/>
    </row>
    <row r="470" ht="15.75" customHeight="1">
      <c r="A470" s="39"/>
      <c r="B470" s="38"/>
      <c r="C470" s="38"/>
      <c r="D470" s="38"/>
      <c r="E470" s="38"/>
      <c r="F470" s="38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40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  <c r="AK470" s="39"/>
    </row>
    <row r="471" ht="15.75" customHeight="1">
      <c r="A471" s="39"/>
      <c r="B471" s="38"/>
      <c r="C471" s="38"/>
      <c r="D471" s="38"/>
      <c r="E471" s="38"/>
      <c r="F471" s="38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40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  <c r="AK471" s="39"/>
    </row>
    <row r="472" ht="15.75" customHeight="1">
      <c r="A472" s="39"/>
      <c r="B472" s="38"/>
      <c r="C472" s="38"/>
      <c r="D472" s="38"/>
      <c r="E472" s="38"/>
      <c r="F472" s="38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40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  <c r="AK472" s="39"/>
    </row>
    <row r="473" ht="15.75" customHeight="1">
      <c r="A473" s="39"/>
      <c r="B473" s="38"/>
      <c r="C473" s="38"/>
      <c r="D473" s="38"/>
      <c r="E473" s="38"/>
      <c r="F473" s="38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40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  <c r="AK473" s="39"/>
    </row>
    <row r="474" ht="15.75" customHeight="1">
      <c r="A474" s="39"/>
      <c r="B474" s="38"/>
      <c r="C474" s="38"/>
      <c r="D474" s="38"/>
      <c r="E474" s="38"/>
      <c r="F474" s="38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40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  <c r="AK474" s="39"/>
    </row>
    <row r="475" ht="15.75" customHeight="1">
      <c r="A475" s="39"/>
      <c r="B475" s="38"/>
      <c r="C475" s="38"/>
      <c r="D475" s="38"/>
      <c r="E475" s="38"/>
      <c r="F475" s="38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40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  <c r="AK475" s="39"/>
    </row>
    <row r="476" ht="15.75" customHeight="1">
      <c r="A476" s="39"/>
      <c r="B476" s="38"/>
      <c r="C476" s="38"/>
      <c r="D476" s="38"/>
      <c r="E476" s="38"/>
      <c r="F476" s="38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40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  <c r="AK476" s="39"/>
    </row>
    <row r="477" ht="15.75" customHeight="1">
      <c r="A477" s="39"/>
      <c r="B477" s="38"/>
      <c r="C477" s="38"/>
      <c r="D477" s="38"/>
      <c r="E477" s="38"/>
      <c r="F477" s="38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40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  <c r="AK477" s="39"/>
    </row>
    <row r="478" ht="15.75" customHeight="1">
      <c r="A478" s="39"/>
      <c r="B478" s="38"/>
      <c r="C478" s="38"/>
      <c r="D478" s="38"/>
      <c r="E478" s="38"/>
      <c r="F478" s="38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40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  <c r="AK478" s="39"/>
    </row>
    <row r="479" ht="15.75" customHeight="1">
      <c r="A479" s="39"/>
      <c r="B479" s="38"/>
      <c r="C479" s="38"/>
      <c r="D479" s="38"/>
      <c r="E479" s="38"/>
      <c r="F479" s="38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40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  <c r="AK479" s="39"/>
    </row>
    <row r="480" ht="15.75" customHeight="1">
      <c r="A480" s="39"/>
      <c r="B480" s="38"/>
      <c r="C480" s="38"/>
      <c r="D480" s="38"/>
      <c r="E480" s="38"/>
      <c r="F480" s="38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40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  <c r="AK480" s="39"/>
    </row>
    <row r="481" ht="15.75" customHeight="1">
      <c r="A481" s="39"/>
      <c r="B481" s="38"/>
      <c r="C481" s="38"/>
      <c r="D481" s="38"/>
      <c r="E481" s="38"/>
      <c r="F481" s="38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40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  <c r="AK481" s="39"/>
    </row>
    <row r="482" ht="15.75" customHeight="1">
      <c r="A482" s="39"/>
      <c r="B482" s="38"/>
      <c r="C482" s="38"/>
      <c r="D482" s="38"/>
      <c r="E482" s="38"/>
      <c r="F482" s="38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40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  <c r="AK482" s="39"/>
    </row>
    <row r="483" ht="15.75" customHeight="1">
      <c r="A483" s="39"/>
      <c r="B483" s="38"/>
      <c r="C483" s="38"/>
      <c r="D483" s="38"/>
      <c r="E483" s="38"/>
      <c r="F483" s="38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40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  <c r="AK483" s="39"/>
    </row>
    <row r="484" ht="15.75" customHeight="1">
      <c r="A484" s="39"/>
      <c r="B484" s="38"/>
      <c r="C484" s="38"/>
      <c r="D484" s="38"/>
      <c r="E484" s="38"/>
      <c r="F484" s="38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40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  <c r="AK484" s="39"/>
    </row>
    <row r="485" ht="15.75" customHeight="1">
      <c r="A485" s="39"/>
      <c r="B485" s="38"/>
      <c r="C485" s="38"/>
      <c r="D485" s="38"/>
      <c r="E485" s="38"/>
      <c r="F485" s="38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40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  <c r="AK485" s="39"/>
    </row>
    <row r="486" ht="15.75" customHeight="1">
      <c r="A486" s="39"/>
      <c r="B486" s="38"/>
      <c r="C486" s="38"/>
      <c r="D486" s="38"/>
      <c r="E486" s="38"/>
      <c r="F486" s="38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40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  <c r="AK486" s="39"/>
    </row>
    <row r="487" ht="15.75" customHeight="1">
      <c r="A487" s="39"/>
      <c r="B487" s="38"/>
      <c r="C487" s="38"/>
      <c r="D487" s="38"/>
      <c r="E487" s="38"/>
      <c r="F487" s="38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40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  <c r="AK487" s="39"/>
    </row>
    <row r="488" ht="15.75" customHeight="1">
      <c r="A488" s="39"/>
      <c r="B488" s="38"/>
      <c r="C488" s="38"/>
      <c r="D488" s="38"/>
      <c r="E488" s="38"/>
      <c r="F488" s="38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40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  <c r="AK488" s="39"/>
    </row>
    <row r="489" ht="15.75" customHeight="1">
      <c r="A489" s="39"/>
      <c r="B489" s="38"/>
      <c r="C489" s="38"/>
      <c r="D489" s="38"/>
      <c r="E489" s="38"/>
      <c r="F489" s="38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40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  <c r="AK489" s="39"/>
    </row>
    <row r="490" ht="15.75" customHeight="1">
      <c r="A490" s="39"/>
      <c r="B490" s="38"/>
      <c r="C490" s="38"/>
      <c r="D490" s="38"/>
      <c r="E490" s="38"/>
      <c r="F490" s="38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40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  <c r="AK490" s="39"/>
    </row>
    <row r="491" ht="15.75" customHeight="1">
      <c r="A491" s="39"/>
      <c r="B491" s="38"/>
      <c r="C491" s="38"/>
      <c r="D491" s="38"/>
      <c r="E491" s="38"/>
      <c r="F491" s="38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40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  <c r="AK491" s="39"/>
    </row>
    <row r="492" ht="15.75" customHeight="1">
      <c r="A492" s="39"/>
      <c r="B492" s="38"/>
      <c r="C492" s="38"/>
      <c r="D492" s="38"/>
      <c r="E492" s="38"/>
      <c r="F492" s="38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40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  <c r="AK492" s="39"/>
    </row>
    <row r="493" ht="15.75" customHeight="1">
      <c r="A493" s="39"/>
      <c r="B493" s="38"/>
      <c r="C493" s="38"/>
      <c r="D493" s="38"/>
      <c r="E493" s="38"/>
      <c r="F493" s="38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40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  <c r="AK493" s="39"/>
    </row>
    <row r="494" ht="15.75" customHeight="1">
      <c r="A494" s="39"/>
      <c r="B494" s="38"/>
      <c r="C494" s="38"/>
      <c r="D494" s="38"/>
      <c r="E494" s="38"/>
      <c r="F494" s="38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40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</row>
    <row r="495" ht="15.75" customHeight="1">
      <c r="A495" s="39"/>
      <c r="B495" s="38"/>
      <c r="C495" s="38"/>
      <c r="D495" s="38"/>
      <c r="E495" s="38"/>
      <c r="F495" s="38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40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  <c r="AK495" s="39"/>
    </row>
    <row r="496" ht="15.75" customHeight="1">
      <c r="A496" s="39"/>
      <c r="B496" s="38"/>
      <c r="C496" s="38"/>
      <c r="D496" s="38"/>
      <c r="E496" s="38"/>
      <c r="F496" s="38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40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  <c r="AK496" s="39"/>
    </row>
    <row r="497" ht="15.75" customHeight="1">
      <c r="A497" s="39"/>
      <c r="B497" s="38"/>
      <c r="C497" s="38"/>
      <c r="D497" s="38"/>
      <c r="E497" s="38"/>
      <c r="F497" s="38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40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  <c r="AK497" s="39"/>
    </row>
    <row r="498" ht="15.75" customHeight="1">
      <c r="A498" s="39"/>
      <c r="B498" s="38"/>
      <c r="C498" s="38"/>
      <c r="D498" s="38"/>
      <c r="E498" s="38"/>
      <c r="F498" s="38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40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  <c r="AK498" s="39"/>
    </row>
    <row r="499" ht="15.75" customHeight="1">
      <c r="A499" s="39"/>
      <c r="B499" s="38"/>
      <c r="C499" s="38"/>
      <c r="D499" s="38"/>
      <c r="E499" s="38"/>
      <c r="F499" s="38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40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  <c r="AK499" s="39"/>
    </row>
    <row r="500" ht="15.75" customHeight="1">
      <c r="A500" s="39"/>
      <c r="B500" s="38"/>
      <c r="C500" s="38"/>
      <c r="D500" s="38"/>
      <c r="E500" s="38"/>
      <c r="F500" s="38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40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  <c r="AK500" s="39"/>
    </row>
    <row r="501" ht="15.75" customHeight="1">
      <c r="A501" s="39"/>
      <c r="B501" s="38"/>
      <c r="C501" s="38"/>
      <c r="D501" s="38"/>
      <c r="E501" s="38"/>
      <c r="F501" s="38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40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  <c r="AK501" s="39"/>
    </row>
    <row r="502" ht="15.75" customHeight="1">
      <c r="A502" s="39"/>
      <c r="B502" s="38"/>
      <c r="C502" s="38"/>
      <c r="D502" s="38"/>
      <c r="E502" s="38"/>
      <c r="F502" s="38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40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  <c r="AK502" s="39"/>
    </row>
    <row r="503" ht="15.75" customHeight="1">
      <c r="A503" s="39"/>
      <c r="B503" s="38"/>
      <c r="C503" s="38"/>
      <c r="D503" s="38"/>
      <c r="E503" s="38"/>
      <c r="F503" s="38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40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  <c r="AK503" s="39"/>
    </row>
    <row r="504" ht="15.75" customHeight="1">
      <c r="A504" s="39"/>
      <c r="B504" s="38"/>
      <c r="C504" s="38"/>
      <c r="D504" s="38"/>
      <c r="E504" s="38"/>
      <c r="F504" s="38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40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  <c r="AK504" s="39"/>
    </row>
    <row r="505" ht="15.75" customHeight="1">
      <c r="A505" s="39"/>
      <c r="B505" s="38"/>
      <c r="C505" s="38"/>
      <c r="D505" s="38"/>
      <c r="E505" s="38"/>
      <c r="F505" s="38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40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  <c r="AK505" s="39"/>
    </row>
    <row r="506" ht="15.75" customHeight="1">
      <c r="A506" s="39"/>
      <c r="B506" s="38"/>
      <c r="C506" s="38"/>
      <c r="D506" s="38"/>
      <c r="E506" s="38"/>
      <c r="F506" s="38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40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  <c r="AK506" s="39"/>
    </row>
    <row r="507" ht="15.75" customHeight="1">
      <c r="A507" s="39"/>
      <c r="B507" s="38"/>
      <c r="C507" s="38"/>
      <c r="D507" s="38"/>
      <c r="E507" s="38"/>
      <c r="F507" s="38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40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  <c r="AK507" s="39"/>
    </row>
    <row r="508" ht="15.75" customHeight="1">
      <c r="A508" s="39"/>
      <c r="B508" s="38"/>
      <c r="C508" s="38"/>
      <c r="D508" s="38"/>
      <c r="E508" s="38"/>
      <c r="F508" s="38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40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  <c r="AK508" s="39"/>
    </row>
    <row r="509" ht="15.75" customHeight="1">
      <c r="A509" s="39"/>
      <c r="B509" s="38"/>
      <c r="C509" s="38"/>
      <c r="D509" s="38"/>
      <c r="E509" s="38"/>
      <c r="F509" s="38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40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  <c r="AK509" s="39"/>
    </row>
    <row r="510" ht="15.75" customHeight="1">
      <c r="A510" s="39"/>
      <c r="B510" s="38"/>
      <c r="C510" s="38"/>
      <c r="D510" s="38"/>
      <c r="E510" s="38"/>
      <c r="F510" s="38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40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  <c r="AK510" s="39"/>
    </row>
    <row r="511" ht="15.75" customHeight="1">
      <c r="A511" s="39"/>
      <c r="B511" s="38"/>
      <c r="C511" s="38"/>
      <c r="D511" s="38"/>
      <c r="E511" s="38"/>
      <c r="F511" s="38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40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  <c r="AK511" s="39"/>
    </row>
    <row r="512" ht="15.75" customHeight="1">
      <c r="A512" s="39"/>
      <c r="B512" s="38"/>
      <c r="C512" s="38"/>
      <c r="D512" s="38"/>
      <c r="E512" s="38"/>
      <c r="F512" s="38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40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  <c r="AK512" s="39"/>
    </row>
    <row r="513" ht="15.75" customHeight="1">
      <c r="A513" s="39"/>
      <c r="B513" s="38"/>
      <c r="C513" s="38"/>
      <c r="D513" s="38"/>
      <c r="E513" s="38"/>
      <c r="F513" s="38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40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  <c r="AK513" s="39"/>
    </row>
    <row r="514" ht="15.75" customHeight="1">
      <c r="A514" s="39"/>
      <c r="B514" s="38"/>
      <c r="C514" s="38"/>
      <c r="D514" s="38"/>
      <c r="E514" s="38"/>
      <c r="F514" s="38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40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  <c r="AK514" s="39"/>
    </row>
    <row r="515" ht="15.75" customHeight="1">
      <c r="A515" s="39"/>
      <c r="B515" s="38"/>
      <c r="C515" s="38"/>
      <c r="D515" s="38"/>
      <c r="E515" s="38"/>
      <c r="F515" s="38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40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  <c r="AK515" s="39"/>
    </row>
    <row r="516" ht="15.75" customHeight="1">
      <c r="A516" s="39"/>
      <c r="B516" s="38"/>
      <c r="C516" s="38"/>
      <c r="D516" s="38"/>
      <c r="E516" s="38"/>
      <c r="F516" s="38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40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  <c r="AK516" s="39"/>
    </row>
    <row r="517" ht="15.75" customHeight="1">
      <c r="A517" s="39"/>
      <c r="B517" s="38"/>
      <c r="C517" s="38"/>
      <c r="D517" s="38"/>
      <c r="E517" s="38"/>
      <c r="F517" s="38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40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  <c r="AK517" s="39"/>
    </row>
    <row r="518" ht="15.75" customHeight="1">
      <c r="A518" s="39"/>
      <c r="B518" s="38"/>
      <c r="C518" s="38"/>
      <c r="D518" s="38"/>
      <c r="E518" s="38"/>
      <c r="F518" s="38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40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  <c r="AK518" s="39"/>
    </row>
    <row r="519" ht="15.75" customHeight="1">
      <c r="A519" s="39"/>
      <c r="B519" s="38"/>
      <c r="C519" s="38"/>
      <c r="D519" s="38"/>
      <c r="E519" s="38"/>
      <c r="F519" s="38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40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  <c r="AK519" s="39"/>
    </row>
    <row r="520" ht="15.75" customHeight="1">
      <c r="A520" s="39"/>
      <c r="B520" s="38"/>
      <c r="C520" s="38"/>
      <c r="D520" s="38"/>
      <c r="E520" s="38"/>
      <c r="F520" s="38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40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  <c r="AK520" s="39"/>
    </row>
    <row r="521" ht="15.75" customHeight="1">
      <c r="A521" s="39"/>
      <c r="B521" s="38"/>
      <c r="C521" s="38"/>
      <c r="D521" s="38"/>
      <c r="E521" s="38"/>
      <c r="F521" s="38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40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  <c r="AK521" s="39"/>
    </row>
    <row r="522" ht="15.75" customHeight="1">
      <c r="A522" s="39"/>
      <c r="B522" s="38"/>
      <c r="C522" s="38"/>
      <c r="D522" s="38"/>
      <c r="E522" s="38"/>
      <c r="F522" s="38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40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  <c r="AK522" s="39"/>
    </row>
    <row r="523" ht="15.75" customHeight="1">
      <c r="A523" s="39"/>
      <c r="B523" s="38"/>
      <c r="C523" s="38"/>
      <c r="D523" s="38"/>
      <c r="E523" s="38"/>
      <c r="F523" s="38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40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  <c r="AK523" s="39"/>
    </row>
    <row r="524" ht="15.75" customHeight="1">
      <c r="A524" s="39"/>
      <c r="B524" s="38"/>
      <c r="C524" s="38"/>
      <c r="D524" s="38"/>
      <c r="E524" s="38"/>
      <c r="F524" s="38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40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  <c r="AK524" s="39"/>
    </row>
    <row r="525" ht="15.75" customHeight="1">
      <c r="A525" s="39"/>
      <c r="B525" s="38"/>
      <c r="C525" s="38"/>
      <c r="D525" s="38"/>
      <c r="E525" s="38"/>
      <c r="F525" s="38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40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  <c r="AK525" s="39"/>
    </row>
    <row r="526" ht="15.75" customHeight="1">
      <c r="A526" s="39"/>
      <c r="B526" s="38"/>
      <c r="C526" s="38"/>
      <c r="D526" s="38"/>
      <c r="E526" s="38"/>
      <c r="F526" s="38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40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  <c r="AK526" s="39"/>
    </row>
    <row r="527" ht="15.75" customHeight="1">
      <c r="A527" s="39"/>
      <c r="B527" s="38"/>
      <c r="C527" s="38"/>
      <c r="D527" s="38"/>
      <c r="E527" s="38"/>
      <c r="F527" s="38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40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  <c r="AK527" s="39"/>
    </row>
    <row r="528" ht="15.75" customHeight="1">
      <c r="A528" s="39"/>
      <c r="B528" s="38"/>
      <c r="C528" s="38"/>
      <c r="D528" s="38"/>
      <c r="E528" s="38"/>
      <c r="F528" s="38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40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  <c r="AK528" s="39"/>
    </row>
    <row r="529" ht="15.75" customHeight="1">
      <c r="A529" s="39"/>
      <c r="B529" s="38"/>
      <c r="C529" s="38"/>
      <c r="D529" s="38"/>
      <c r="E529" s="38"/>
      <c r="F529" s="38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40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  <c r="AK529" s="39"/>
    </row>
    <row r="530" ht="15.75" customHeight="1">
      <c r="A530" s="39"/>
      <c r="B530" s="38"/>
      <c r="C530" s="38"/>
      <c r="D530" s="38"/>
      <c r="E530" s="38"/>
      <c r="F530" s="38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40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  <c r="AK530" s="39"/>
    </row>
    <row r="531" ht="15.75" customHeight="1">
      <c r="A531" s="39"/>
      <c r="B531" s="38"/>
      <c r="C531" s="38"/>
      <c r="D531" s="38"/>
      <c r="E531" s="38"/>
      <c r="F531" s="38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40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  <c r="AK531" s="39"/>
    </row>
    <row r="532" ht="15.75" customHeight="1">
      <c r="A532" s="39"/>
      <c r="B532" s="38"/>
      <c r="C532" s="38"/>
      <c r="D532" s="38"/>
      <c r="E532" s="38"/>
      <c r="F532" s="38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40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  <c r="AK532" s="39"/>
    </row>
    <row r="533" ht="15.75" customHeight="1">
      <c r="A533" s="39"/>
      <c r="B533" s="38"/>
      <c r="C533" s="38"/>
      <c r="D533" s="38"/>
      <c r="E533" s="38"/>
      <c r="F533" s="38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40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  <c r="AK533" s="39"/>
    </row>
    <row r="534" ht="15.75" customHeight="1">
      <c r="A534" s="39"/>
      <c r="B534" s="38"/>
      <c r="C534" s="38"/>
      <c r="D534" s="38"/>
      <c r="E534" s="38"/>
      <c r="F534" s="38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40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  <c r="AK534" s="39"/>
    </row>
    <row r="535" ht="15.75" customHeight="1">
      <c r="A535" s="39"/>
      <c r="B535" s="38"/>
      <c r="C535" s="38"/>
      <c r="D535" s="38"/>
      <c r="E535" s="38"/>
      <c r="F535" s="38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40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  <c r="AK535" s="39"/>
    </row>
    <row r="536" ht="15.75" customHeight="1">
      <c r="A536" s="39"/>
      <c r="B536" s="38"/>
      <c r="C536" s="38"/>
      <c r="D536" s="38"/>
      <c r="E536" s="38"/>
      <c r="F536" s="38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40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  <c r="AK536" s="39"/>
    </row>
    <row r="537" ht="15.75" customHeight="1">
      <c r="A537" s="39"/>
      <c r="B537" s="38"/>
      <c r="C537" s="38"/>
      <c r="D537" s="38"/>
      <c r="E537" s="38"/>
      <c r="F537" s="38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40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  <c r="AK537" s="39"/>
    </row>
    <row r="538" ht="15.75" customHeight="1">
      <c r="A538" s="39"/>
      <c r="B538" s="38"/>
      <c r="C538" s="38"/>
      <c r="D538" s="38"/>
      <c r="E538" s="38"/>
      <c r="F538" s="38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40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  <c r="AK538" s="39"/>
    </row>
    <row r="539" ht="15.75" customHeight="1">
      <c r="A539" s="39"/>
      <c r="B539" s="38"/>
      <c r="C539" s="38"/>
      <c r="D539" s="38"/>
      <c r="E539" s="38"/>
      <c r="F539" s="38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40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  <c r="AK539" s="39"/>
    </row>
    <row r="540" ht="15.75" customHeight="1">
      <c r="A540" s="39"/>
      <c r="B540" s="38"/>
      <c r="C540" s="38"/>
      <c r="D540" s="38"/>
      <c r="E540" s="38"/>
      <c r="F540" s="38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40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  <c r="AK540" s="39"/>
    </row>
    <row r="541" ht="15.75" customHeight="1">
      <c r="A541" s="39"/>
      <c r="B541" s="38"/>
      <c r="C541" s="38"/>
      <c r="D541" s="38"/>
      <c r="E541" s="38"/>
      <c r="F541" s="38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40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  <c r="AK541" s="39"/>
    </row>
    <row r="542" ht="15.75" customHeight="1">
      <c r="A542" s="39"/>
      <c r="B542" s="38"/>
      <c r="C542" s="38"/>
      <c r="D542" s="38"/>
      <c r="E542" s="38"/>
      <c r="F542" s="38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40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  <c r="AK542" s="39"/>
    </row>
    <row r="543" ht="15.75" customHeight="1">
      <c r="A543" s="39"/>
      <c r="B543" s="38"/>
      <c r="C543" s="38"/>
      <c r="D543" s="38"/>
      <c r="E543" s="38"/>
      <c r="F543" s="38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40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  <c r="AK543" s="39"/>
    </row>
    <row r="544" ht="15.75" customHeight="1">
      <c r="A544" s="39"/>
      <c r="B544" s="38"/>
      <c r="C544" s="38"/>
      <c r="D544" s="38"/>
      <c r="E544" s="38"/>
      <c r="F544" s="38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40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  <c r="AK544" s="39"/>
    </row>
    <row r="545" ht="15.75" customHeight="1">
      <c r="A545" s="39"/>
      <c r="B545" s="38"/>
      <c r="C545" s="38"/>
      <c r="D545" s="38"/>
      <c r="E545" s="38"/>
      <c r="F545" s="38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40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  <c r="AK545" s="39"/>
    </row>
    <row r="546" ht="15.75" customHeight="1">
      <c r="A546" s="39"/>
      <c r="B546" s="38"/>
      <c r="C546" s="38"/>
      <c r="D546" s="38"/>
      <c r="E546" s="38"/>
      <c r="F546" s="38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40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  <c r="AK546" s="39"/>
    </row>
    <row r="547" ht="15.75" customHeight="1">
      <c r="A547" s="39"/>
      <c r="B547" s="38"/>
      <c r="C547" s="38"/>
      <c r="D547" s="38"/>
      <c r="E547" s="38"/>
      <c r="F547" s="38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40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  <c r="AK547" s="39"/>
    </row>
    <row r="548" ht="15.75" customHeight="1">
      <c r="A548" s="39"/>
      <c r="B548" s="38"/>
      <c r="C548" s="38"/>
      <c r="D548" s="38"/>
      <c r="E548" s="38"/>
      <c r="F548" s="38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40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  <c r="AK548" s="39"/>
    </row>
    <row r="549" ht="15.75" customHeight="1">
      <c r="A549" s="39"/>
      <c r="B549" s="38"/>
      <c r="C549" s="38"/>
      <c r="D549" s="38"/>
      <c r="E549" s="38"/>
      <c r="F549" s="38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40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  <c r="AK549" s="39"/>
    </row>
    <row r="550" ht="15.75" customHeight="1">
      <c r="A550" s="39"/>
      <c r="B550" s="38"/>
      <c r="C550" s="38"/>
      <c r="D550" s="38"/>
      <c r="E550" s="38"/>
      <c r="F550" s="38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40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  <c r="AK550" s="39"/>
    </row>
    <row r="551" ht="15.75" customHeight="1">
      <c r="A551" s="39"/>
      <c r="B551" s="38"/>
      <c r="C551" s="38"/>
      <c r="D551" s="38"/>
      <c r="E551" s="38"/>
      <c r="F551" s="38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40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  <c r="AK551" s="39"/>
    </row>
    <row r="552" ht="15.75" customHeight="1">
      <c r="A552" s="39"/>
      <c r="B552" s="38"/>
      <c r="C552" s="38"/>
      <c r="D552" s="38"/>
      <c r="E552" s="38"/>
      <c r="F552" s="38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40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  <c r="AK552" s="39"/>
    </row>
    <row r="553" ht="15.75" customHeight="1">
      <c r="A553" s="39"/>
      <c r="B553" s="38"/>
      <c r="C553" s="38"/>
      <c r="D553" s="38"/>
      <c r="E553" s="38"/>
      <c r="F553" s="38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40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  <c r="AK553" s="39"/>
    </row>
    <row r="554" ht="15.75" customHeight="1">
      <c r="A554" s="39"/>
      <c r="B554" s="38"/>
      <c r="C554" s="38"/>
      <c r="D554" s="38"/>
      <c r="E554" s="38"/>
      <c r="F554" s="38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40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  <c r="AK554" s="39"/>
    </row>
    <row r="555" ht="15.75" customHeight="1">
      <c r="A555" s="39"/>
      <c r="B555" s="38"/>
      <c r="C555" s="38"/>
      <c r="D555" s="38"/>
      <c r="E555" s="38"/>
      <c r="F555" s="38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40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  <c r="AK555" s="39"/>
    </row>
    <row r="556" ht="15.75" customHeight="1">
      <c r="A556" s="39"/>
      <c r="B556" s="38"/>
      <c r="C556" s="38"/>
      <c r="D556" s="38"/>
      <c r="E556" s="38"/>
      <c r="F556" s="38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40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  <c r="AK556" s="39"/>
    </row>
    <row r="557" ht="15.75" customHeight="1">
      <c r="A557" s="39"/>
      <c r="B557" s="38"/>
      <c r="C557" s="38"/>
      <c r="D557" s="38"/>
      <c r="E557" s="38"/>
      <c r="F557" s="38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40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  <c r="AK557" s="39"/>
    </row>
    <row r="558" ht="15.75" customHeight="1">
      <c r="A558" s="39"/>
      <c r="B558" s="38"/>
      <c r="C558" s="38"/>
      <c r="D558" s="38"/>
      <c r="E558" s="38"/>
      <c r="F558" s="38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40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  <c r="AK558" s="39"/>
    </row>
    <row r="559" ht="15.75" customHeight="1">
      <c r="A559" s="39"/>
      <c r="B559" s="38"/>
      <c r="C559" s="38"/>
      <c r="D559" s="38"/>
      <c r="E559" s="38"/>
      <c r="F559" s="38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40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  <c r="AK559" s="39"/>
    </row>
    <row r="560" ht="15.75" customHeight="1">
      <c r="A560" s="39"/>
      <c r="B560" s="38"/>
      <c r="C560" s="38"/>
      <c r="D560" s="38"/>
      <c r="E560" s="38"/>
      <c r="F560" s="38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40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39"/>
    </row>
    <row r="561" ht="15.75" customHeight="1">
      <c r="A561" s="39"/>
      <c r="B561" s="38"/>
      <c r="C561" s="38"/>
      <c r="D561" s="38"/>
      <c r="E561" s="38"/>
      <c r="F561" s="38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40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</row>
    <row r="562" ht="15.75" customHeight="1">
      <c r="A562" s="39"/>
      <c r="B562" s="38"/>
      <c r="C562" s="38"/>
      <c r="D562" s="38"/>
      <c r="E562" s="38"/>
      <c r="F562" s="38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40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39"/>
    </row>
    <row r="563" ht="15.75" customHeight="1">
      <c r="A563" s="39"/>
      <c r="B563" s="38"/>
      <c r="C563" s="38"/>
      <c r="D563" s="38"/>
      <c r="E563" s="38"/>
      <c r="F563" s="38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40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39"/>
    </row>
    <row r="564" ht="15.75" customHeight="1">
      <c r="A564" s="39"/>
      <c r="B564" s="38"/>
      <c r="C564" s="38"/>
      <c r="D564" s="38"/>
      <c r="E564" s="38"/>
      <c r="F564" s="38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40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39"/>
    </row>
    <row r="565" ht="15.75" customHeight="1">
      <c r="A565" s="39"/>
      <c r="B565" s="38"/>
      <c r="C565" s="38"/>
      <c r="D565" s="38"/>
      <c r="E565" s="38"/>
      <c r="F565" s="38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40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39"/>
    </row>
    <row r="566" ht="15.75" customHeight="1">
      <c r="A566" s="39"/>
      <c r="B566" s="38"/>
      <c r="C566" s="38"/>
      <c r="D566" s="38"/>
      <c r="E566" s="38"/>
      <c r="F566" s="38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40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39"/>
    </row>
    <row r="567" ht="15.75" customHeight="1">
      <c r="A567" s="39"/>
      <c r="B567" s="38"/>
      <c r="C567" s="38"/>
      <c r="D567" s="38"/>
      <c r="E567" s="38"/>
      <c r="F567" s="38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40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  <c r="AK567" s="39"/>
    </row>
    <row r="568" ht="15.75" customHeight="1">
      <c r="A568" s="39"/>
      <c r="B568" s="38"/>
      <c r="C568" s="38"/>
      <c r="D568" s="38"/>
      <c r="E568" s="38"/>
      <c r="F568" s="38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40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  <c r="AK568" s="39"/>
    </row>
    <row r="569" ht="15.75" customHeight="1">
      <c r="A569" s="39"/>
      <c r="B569" s="38"/>
      <c r="C569" s="38"/>
      <c r="D569" s="38"/>
      <c r="E569" s="38"/>
      <c r="F569" s="38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40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  <c r="AK569" s="39"/>
    </row>
    <row r="570" ht="15.75" customHeight="1">
      <c r="A570" s="39"/>
      <c r="B570" s="38"/>
      <c r="C570" s="38"/>
      <c r="D570" s="38"/>
      <c r="E570" s="38"/>
      <c r="F570" s="38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40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  <c r="AK570" s="39"/>
    </row>
    <row r="571" ht="15.75" customHeight="1">
      <c r="A571" s="39"/>
      <c r="B571" s="38"/>
      <c r="C571" s="38"/>
      <c r="D571" s="38"/>
      <c r="E571" s="38"/>
      <c r="F571" s="38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40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  <c r="AK571" s="39"/>
    </row>
    <row r="572" ht="15.75" customHeight="1">
      <c r="A572" s="39"/>
      <c r="B572" s="38"/>
      <c r="C572" s="38"/>
      <c r="D572" s="38"/>
      <c r="E572" s="38"/>
      <c r="F572" s="38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40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  <c r="AK572" s="39"/>
    </row>
    <row r="573" ht="15.75" customHeight="1">
      <c r="A573" s="39"/>
      <c r="B573" s="38"/>
      <c r="C573" s="38"/>
      <c r="D573" s="38"/>
      <c r="E573" s="38"/>
      <c r="F573" s="38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40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  <c r="AK573" s="39"/>
    </row>
    <row r="574" ht="15.75" customHeight="1">
      <c r="A574" s="39"/>
      <c r="B574" s="38"/>
      <c r="C574" s="38"/>
      <c r="D574" s="38"/>
      <c r="E574" s="38"/>
      <c r="F574" s="38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40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  <c r="AK574" s="39"/>
    </row>
    <row r="575" ht="15.75" customHeight="1">
      <c r="A575" s="39"/>
      <c r="B575" s="38"/>
      <c r="C575" s="38"/>
      <c r="D575" s="38"/>
      <c r="E575" s="38"/>
      <c r="F575" s="38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40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  <c r="AK575" s="39"/>
    </row>
    <row r="576" ht="15.75" customHeight="1">
      <c r="A576" s="39"/>
      <c r="B576" s="38"/>
      <c r="C576" s="38"/>
      <c r="D576" s="38"/>
      <c r="E576" s="38"/>
      <c r="F576" s="38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40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  <c r="AK576" s="39"/>
    </row>
    <row r="577" ht="15.75" customHeight="1">
      <c r="A577" s="39"/>
      <c r="B577" s="38"/>
      <c r="C577" s="38"/>
      <c r="D577" s="38"/>
      <c r="E577" s="38"/>
      <c r="F577" s="38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40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  <c r="AK577" s="39"/>
    </row>
    <row r="578" ht="15.75" customHeight="1">
      <c r="A578" s="39"/>
      <c r="B578" s="38"/>
      <c r="C578" s="38"/>
      <c r="D578" s="38"/>
      <c r="E578" s="38"/>
      <c r="F578" s="38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40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  <c r="AK578" s="39"/>
    </row>
    <row r="579" ht="15.75" customHeight="1">
      <c r="A579" s="39"/>
      <c r="B579" s="38"/>
      <c r="C579" s="38"/>
      <c r="D579" s="38"/>
      <c r="E579" s="38"/>
      <c r="F579" s="38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40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  <c r="AK579" s="39"/>
    </row>
    <row r="580" ht="15.75" customHeight="1">
      <c r="A580" s="39"/>
      <c r="B580" s="38"/>
      <c r="C580" s="38"/>
      <c r="D580" s="38"/>
      <c r="E580" s="38"/>
      <c r="F580" s="38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40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  <c r="AK580" s="39"/>
    </row>
    <row r="581" ht="15.75" customHeight="1">
      <c r="A581" s="39"/>
      <c r="B581" s="38"/>
      <c r="C581" s="38"/>
      <c r="D581" s="38"/>
      <c r="E581" s="38"/>
      <c r="F581" s="38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40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  <c r="AK581" s="39"/>
    </row>
    <row r="582" ht="15.75" customHeight="1">
      <c r="A582" s="39"/>
      <c r="B582" s="38"/>
      <c r="C582" s="38"/>
      <c r="D582" s="38"/>
      <c r="E582" s="38"/>
      <c r="F582" s="38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40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  <c r="AK582" s="39"/>
    </row>
    <row r="583" ht="15.75" customHeight="1">
      <c r="A583" s="39"/>
      <c r="B583" s="38"/>
      <c r="C583" s="38"/>
      <c r="D583" s="38"/>
      <c r="E583" s="38"/>
      <c r="F583" s="38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40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  <c r="AK583" s="39"/>
    </row>
    <row r="584" ht="15.75" customHeight="1">
      <c r="A584" s="39"/>
      <c r="B584" s="38"/>
      <c r="C584" s="38"/>
      <c r="D584" s="38"/>
      <c r="E584" s="38"/>
      <c r="F584" s="38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40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  <c r="AK584" s="39"/>
    </row>
    <row r="585" ht="15.75" customHeight="1">
      <c r="A585" s="39"/>
      <c r="B585" s="38"/>
      <c r="C585" s="38"/>
      <c r="D585" s="38"/>
      <c r="E585" s="38"/>
      <c r="F585" s="38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40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  <c r="AK585" s="39"/>
    </row>
    <row r="586" ht="15.75" customHeight="1">
      <c r="A586" s="39"/>
      <c r="B586" s="38"/>
      <c r="C586" s="38"/>
      <c r="D586" s="38"/>
      <c r="E586" s="38"/>
      <c r="F586" s="38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40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  <c r="AK586" s="39"/>
    </row>
    <row r="587" ht="15.75" customHeight="1">
      <c r="A587" s="39"/>
      <c r="B587" s="38"/>
      <c r="C587" s="38"/>
      <c r="D587" s="38"/>
      <c r="E587" s="38"/>
      <c r="F587" s="38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40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  <c r="AK587" s="39"/>
    </row>
    <row r="588" ht="15.75" customHeight="1">
      <c r="A588" s="39"/>
      <c r="B588" s="38"/>
      <c r="C588" s="38"/>
      <c r="D588" s="38"/>
      <c r="E588" s="38"/>
      <c r="F588" s="38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40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  <c r="AK588" s="39"/>
    </row>
    <row r="589" ht="15.75" customHeight="1">
      <c r="A589" s="39"/>
      <c r="B589" s="38"/>
      <c r="C589" s="38"/>
      <c r="D589" s="38"/>
      <c r="E589" s="38"/>
      <c r="F589" s="38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40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  <c r="AK589" s="39"/>
    </row>
    <row r="590" ht="15.75" customHeight="1">
      <c r="A590" s="39"/>
      <c r="B590" s="38"/>
      <c r="C590" s="38"/>
      <c r="D590" s="38"/>
      <c r="E590" s="38"/>
      <c r="F590" s="38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40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  <c r="AK590" s="39"/>
    </row>
    <row r="591" ht="15.75" customHeight="1">
      <c r="A591" s="39"/>
      <c r="B591" s="38"/>
      <c r="C591" s="38"/>
      <c r="D591" s="38"/>
      <c r="E591" s="38"/>
      <c r="F591" s="38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40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  <c r="AK591" s="39"/>
    </row>
    <row r="592" ht="15.75" customHeight="1">
      <c r="A592" s="39"/>
      <c r="B592" s="38"/>
      <c r="C592" s="38"/>
      <c r="D592" s="38"/>
      <c r="E592" s="38"/>
      <c r="F592" s="38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40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  <c r="AK592" s="39"/>
    </row>
    <row r="593" ht="15.75" customHeight="1">
      <c r="A593" s="39"/>
      <c r="B593" s="38"/>
      <c r="C593" s="38"/>
      <c r="D593" s="38"/>
      <c r="E593" s="38"/>
      <c r="F593" s="38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40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  <c r="AK593" s="39"/>
    </row>
    <row r="594" ht="15.75" customHeight="1">
      <c r="A594" s="39"/>
      <c r="B594" s="38"/>
      <c r="C594" s="38"/>
      <c r="D594" s="38"/>
      <c r="E594" s="38"/>
      <c r="F594" s="38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40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  <c r="AK594" s="39"/>
    </row>
    <row r="595" ht="15.75" customHeight="1">
      <c r="A595" s="39"/>
      <c r="B595" s="38"/>
      <c r="C595" s="38"/>
      <c r="D595" s="38"/>
      <c r="E595" s="38"/>
      <c r="F595" s="38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40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  <c r="AK595" s="39"/>
    </row>
    <row r="596" ht="15.75" customHeight="1">
      <c r="A596" s="39"/>
      <c r="B596" s="38"/>
      <c r="C596" s="38"/>
      <c r="D596" s="38"/>
      <c r="E596" s="38"/>
      <c r="F596" s="38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40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  <c r="AK596" s="39"/>
    </row>
    <row r="597" ht="15.75" customHeight="1">
      <c r="A597" s="39"/>
      <c r="B597" s="38"/>
      <c r="C597" s="38"/>
      <c r="D597" s="38"/>
      <c r="E597" s="38"/>
      <c r="F597" s="38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40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  <c r="AK597" s="39"/>
    </row>
    <row r="598" ht="15.75" customHeight="1">
      <c r="A598" s="39"/>
      <c r="B598" s="38"/>
      <c r="C598" s="38"/>
      <c r="D598" s="38"/>
      <c r="E598" s="38"/>
      <c r="F598" s="38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40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  <c r="AK598" s="39"/>
    </row>
    <row r="599" ht="15.75" customHeight="1">
      <c r="A599" s="39"/>
      <c r="B599" s="38"/>
      <c r="C599" s="38"/>
      <c r="D599" s="38"/>
      <c r="E599" s="38"/>
      <c r="F599" s="38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40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  <c r="AK599" s="39"/>
    </row>
    <row r="600" ht="15.75" customHeight="1">
      <c r="A600" s="39"/>
      <c r="B600" s="38"/>
      <c r="C600" s="38"/>
      <c r="D600" s="38"/>
      <c r="E600" s="38"/>
      <c r="F600" s="38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40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  <c r="AK600" s="39"/>
    </row>
    <row r="601" ht="15.75" customHeight="1">
      <c r="A601" s="39"/>
      <c r="B601" s="38"/>
      <c r="C601" s="38"/>
      <c r="D601" s="38"/>
      <c r="E601" s="38"/>
      <c r="F601" s="38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40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  <c r="AK601" s="39"/>
    </row>
    <row r="602" ht="15.75" customHeight="1">
      <c r="A602" s="39"/>
      <c r="B602" s="38"/>
      <c r="C602" s="38"/>
      <c r="D602" s="38"/>
      <c r="E602" s="38"/>
      <c r="F602" s="38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40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  <c r="AK602" s="39"/>
    </row>
    <row r="603" ht="15.75" customHeight="1">
      <c r="A603" s="39"/>
      <c r="B603" s="38"/>
      <c r="C603" s="38"/>
      <c r="D603" s="38"/>
      <c r="E603" s="38"/>
      <c r="F603" s="38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40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  <c r="AK603" s="39"/>
    </row>
    <row r="604" ht="15.75" customHeight="1">
      <c r="A604" s="39"/>
      <c r="B604" s="38"/>
      <c r="C604" s="38"/>
      <c r="D604" s="38"/>
      <c r="E604" s="38"/>
      <c r="F604" s="38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40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  <c r="AK604" s="39"/>
    </row>
    <row r="605" ht="15.75" customHeight="1">
      <c r="A605" s="39"/>
      <c r="B605" s="38"/>
      <c r="C605" s="38"/>
      <c r="D605" s="38"/>
      <c r="E605" s="38"/>
      <c r="F605" s="38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40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  <c r="AK605" s="39"/>
    </row>
    <row r="606" ht="15.75" customHeight="1">
      <c r="A606" s="39"/>
      <c r="B606" s="38"/>
      <c r="C606" s="38"/>
      <c r="D606" s="38"/>
      <c r="E606" s="38"/>
      <c r="F606" s="38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40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  <c r="AK606" s="39"/>
    </row>
    <row r="607" ht="15.75" customHeight="1">
      <c r="A607" s="39"/>
      <c r="B607" s="38"/>
      <c r="C607" s="38"/>
      <c r="D607" s="38"/>
      <c r="E607" s="38"/>
      <c r="F607" s="38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40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  <c r="AK607" s="39"/>
    </row>
    <row r="608" ht="15.75" customHeight="1">
      <c r="A608" s="39"/>
      <c r="B608" s="38"/>
      <c r="C608" s="38"/>
      <c r="D608" s="38"/>
      <c r="E608" s="38"/>
      <c r="F608" s="38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40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  <c r="AK608" s="39"/>
    </row>
    <row r="609" ht="15.75" customHeight="1">
      <c r="A609" s="39"/>
      <c r="B609" s="38"/>
      <c r="C609" s="38"/>
      <c r="D609" s="38"/>
      <c r="E609" s="38"/>
      <c r="F609" s="38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40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  <c r="AK609" s="39"/>
    </row>
    <row r="610" ht="15.75" customHeight="1">
      <c r="A610" s="39"/>
      <c r="B610" s="38"/>
      <c r="C610" s="38"/>
      <c r="D610" s="38"/>
      <c r="E610" s="38"/>
      <c r="F610" s="38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40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  <c r="AK610" s="39"/>
    </row>
    <row r="611" ht="15.75" customHeight="1">
      <c r="A611" s="39"/>
      <c r="B611" s="38"/>
      <c r="C611" s="38"/>
      <c r="D611" s="38"/>
      <c r="E611" s="38"/>
      <c r="F611" s="38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40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</row>
    <row r="612" ht="15.75" customHeight="1">
      <c r="A612" s="39"/>
      <c r="B612" s="38"/>
      <c r="C612" s="38"/>
      <c r="D612" s="38"/>
      <c r="E612" s="38"/>
      <c r="F612" s="38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40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39"/>
    </row>
    <row r="613" ht="15.75" customHeight="1">
      <c r="A613" s="39"/>
      <c r="B613" s="38"/>
      <c r="C613" s="38"/>
      <c r="D613" s="38"/>
      <c r="E613" s="38"/>
      <c r="F613" s="38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40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39"/>
    </row>
    <row r="614" ht="15.75" customHeight="1">
      <c r="A614" s="39"/>
      <c r="B614" s="38"/>
      <c r="C614" s="38"/>
      <c r="D614" s="38"/>
      <c r="E614" s="38"/>
      <c r="F614" s="38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40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</row>
    <row r="615" ht="15.75" customHeight="1">
      <c r="A615" s="39"/>
      <c r="B615" s="38"/>
      <c r="C615" s="38"/>
      <c r="D615" s="38"/>
      <c r="E615" s="38"/>
      <c r="F615" s="38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40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39"/>
    </row>
    <row r="616" ht="15.75" customHeight="1">
      <c r="A616" s="39"/>
      <c r="B616" s="38"/>
      <c r="C616" s="38"/>
      <c r="D616" s="38"/>
      <c r="E616" s="38"/>
      <c r="F616" s="38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40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39"/>
    </row>
    <row r="617" ht="15.75" customHeight="1">
      <c r="A617" s="39"/>
      <c r="B617" s="38"/>
      <c r="C617" s="38"/>
      <c r="D617" s="38"/>
      <c r="E617" s="38"/>
      <c r="F617" s="38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40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39"/>
    </row>
    <row r="618" ht="15.75" customHeight="1">
      <c r="A618" s="39"/>
      <c r="B618" s="38"/>
      <c r="C618" s="38"/>
      <c r="D618" s="38"/>
      <c r="E618" s="38"/>
      <c r="F618" s="38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40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39"/>
    </row>
    <row r="619" ht="15.75" customHeight="1">
      <c r="A619" s="39"/>
      <c r="B619" s="38"/>
      <c r="C619" s="38"/>
      <c r="D619" s="38"/>
      <c r="E619" s="38"/>
      <c r="F619" s="38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40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39"/>
    </row>
    <row r="620" ht="15.75" customHeight="1">
      <c r="A620" s="39"/>
      <c r="B620" s="38"/>
      <c r="C620" s="38"/>
      <c r="D620" s="38"/>
      <c r="E620" s="38"/>
      <c r="F620" s="38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40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39"/>
    </row>
    <row r="621" ht="15.75" customHeight="1">
      <c r="A621" s="39"/>
      <c r="B621" s="38"/>
      <c r="C621" s="38"/>
      <c r="D621" s="38"/>
      <c r="E621" s="38"/>
      <c r="F621" s="38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40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39"/>
    </row>
    <row r="622" ht="15.75" customHeight="1">
      <c r="A622" s="39"/>
      <c r="B622" s="38"/>
      <c r="C622" s="38"/>
      <c r="D622" s="38"/>
      <c r="E622" s="38"/>
      <c r="F622" s="38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40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</row>
    <row r="623" ht="15.75" customHeight="1">
      <c r="A623" s="39"/>
      <c r="B623" s="38"/>
      <c r="C623" s="38"/>
      <c r="D623" s="38"/>
      <c r="E623" s="38"/>
      <c r="F623" s="38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40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/>
    </row>
    <row r="624" ht="15.75" customHeight="1">
      <c r="A624" s="39"/>
      <c r="B624" s="38"/>
      <c r="C624" s="38"/>
      <c r="D624" s="38"/>
      <c r="E624" s="38"/>
      <c r="F624" s="38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40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39"/>
    </row>
    <row r="625" ht="15.75" customHeight="1">
      <c r="A625" s="39"/>
      <c r="B625" s="38"/>
      <c r="C625" s="38"/>
      <c r="D625" s="38"/>
      <c r="E625" s="38"/>
      <c r="F625" s="38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40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39"/>
    </row>
    <row r="626" ht="15.75" customHeight="1">
      <c r="A626" s="39"/>
      <c r="B626" s="38"/>
      <c r="C626" s="38"/>
      <c r="D626" s="38"/>
      <c r="E626" s="38"/>
      <c r="F626" s="38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40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39"/>
    </row>
    <row r="627" ht="15.75" customHeight="1">
      <c r="A627" s="39"/>
      <c r="B627" s="38"/>
      <c r="C627" s="38"/>
      <c r="D627" s="38"/>
      <c r="E627" s="38"/>
      <c r="F627" s="38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40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39"/>
    </row>
    <row r="628" ht="15.75" customHeight="1">
      <c r="A628" s="39"/>
      <c r="B628" s="38"/>
      <c r="C628" s="38"/>
      <c r="D628" s="38"/>
      <c r="E628" s="38"/>
      <c r="F628" s="38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40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39"/>
    </row>
    <row r="629" ht="15.75" customHeight="1">
      <c r="A629" s="39"/>
      <c r="B629" s="38"/>
      <c r="C629" s="38"/>
      <c r="D629" s="38"/>
      <c r="E629" s="38"/>
      <c r="F629" s="38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40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</row>
    <row r="630" ht="15.75" customHeight="1">
      <c r="A630" s="39"/>
      <c r="B630" s="38"/>
      <c r="C630" s="38"/>
      <c r="D630" s="38"/>
      <c r="E630" s="38"/>
      <c r="F630" s="38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40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39"/>
    </row>
    <row r="631" ht="15.75" customHeight="1">
      <c r="A631" s="39"/>
      <c r="B631" s="38"/>
      <c r="C631" s="38"/>
      <c r="D631" s="38"/>
      <c r="E631" s="38"/>
      <c r="F631" s="38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40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39"/>
    </row>
    <row r="632" ht="15.75" customHeight="1">
      <c r="A632" s="39"/>
      <c r="B632" s="38"/>
      <c r="C632" s="38"/>
      <c r="D632" s="38"/>
      <c r="E632" s="38"/>
      <c r="F632" s="38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40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</row>
    <row r="633" ht="15.75" customHeight="1">
      <c r="A633" s="39"/>
      <c r="B633" s="38"/>
      <c r="C633" s="38"/>
      <c r="D633" s="38"/>
      <c r="E633" s="38"/>
      <c r="F633" s="38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40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39"/>
    </row>
    <row r="634" ht="15.75" customHeight="1">
      <c r="A634" s="39"/>
      <c r="B634" s="38"/>
      <c r="C634" s="38"/>
      <c r="D634" s="38"/>
      <c r="E634" s="38"/>
      <c r="F634" s="38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40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39"/>
    </row>
    <row r="635" ht="15.75" customHeight="1">
      <c r="A635" s="39"/>
      <c r="B635" s="38"/>
      <c r="C635" s="38"/>
      <c r="D635" s="38"/>
      <c r="E635" s="38"/>
      <c r="F635" s="38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40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</row>
    <row r="636" ht="15.75" customHeight="1">
      <c r="A636" s="39"/>
      <c r="B636" s="38"/>
      <c r="C636" s="38"/>
      <c r="D636" s="38"/>
      <c r="E636" s="38"/>
      <c r="F636" s="38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40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39"/>
    </row>
    <row r="637" ht="15.75" customHeight="1">
      <c r="A637" s="39"/>
      <c r="B637" s="38"/>
      <c r="C637" s="38"/>
      <c r="D637" s="38"/>
      <c r="E637" s="38"/>
      <c r="F637" s="38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40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39"/>
    </row>
    <row r="638" ht="15.75" customHeight="1">
      <c r="A638" s="39"/>
      <c r="B638" s="38"/>
      <c r="C638" s="38"/>
      <c r="D638" s="38"/>
      <c r="E638" s="38"/>
      <c r="F638" s="38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40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</row>
    <row r="639" ht="15.75" customHeight="1">
      <c r="A639" s="39"/>
      <c r="B639" s="38"/>
      <c r="C639" s="38"/>
      <c r="D639" s="38"/>
      <c r="E639" s="38"/>
      <c r="F639" s="38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40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39"/>
    </row>
    <row r="640" ht="15.75" customHeight="1">
      <c r="A640" s="39"/>
      <c r="B640" s="38"/>
      <c r="C640" s="38"/>
      <c r="D640" s="38"/>
      <c r="E640" s="38"/>
      <c r="F640" s="38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40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39"/>
    </row>
    <row r="641" ht="15.75" customHeight="1">
      <c r="A641" s="39"/>
      <c r="B641" s="38"/>
      <c r="C641" s="38"/>
      <c r="D641" s="38"/>
      <c r="E641" s="38"/>
      <c r="F641" s="38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40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39"/>
    </row>
    <row r="642" ht="15.75" customHeight="1">
      <c r="A642" s="39"/>
      <c r="B642" s="38"/>
      <c r="C642" s="38"/>
      <c r="D642" s="38"/>
      <c r="E642" s="38"/>
      <c r="F642" s="38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40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39"/>
    </row>
    <row r="643" ht="15.75" customHeight="1">
      <c r="A643" s="39"/>
      <c r="B643" s="38"/>
      <c r="C643" s="38"/>
      <c r="D643" s="38"/>
      <c r="E643" s="38"/>
      <c r="F643" s="38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40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39"/>
    </row>
    <row r="644" ht="15.75" customHeight="1">
      <c r="A644" s="39"/>
      <c r="B644" s="38"/>
      <c r="C644" s="38"/>
      <c r="D644" s="38"/>
      <c r="E644" s="38"/>
      <c r="F644" s="38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40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39"/>
    </row>
    <row r="645" ht="15.75" customHeight="1">
      <c r="A645" s="39"/>
      <c r="B645" s="38"/>
      <c r="C645" s="38"/>
      <c r="D645" s="38"/>
      <c r="E645" s="38"/>
      <c r="F645" s="38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40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39"/>
    </row>
    <row r="646" ht="15.75" customHeight="1">
      <c r="A646" s="39"/>
      <c r="B646" s="38"/>
      <c r="C646" s="38"/>
      <c r="D646" s="38"/>
      <c r="E646" s="38"/>
      <c r="F646" s="38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40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39"/>
    </row>
    <row r="647" ht="15.75" customHeight="1">
      <c r="A647" s="39"/>
      <c r="B647" s="38"/>
      <c r="C647" s="38"/>
      <c r="D647" s="38"/>
      <c r="E647" s="38"/>
      <c r="F647" s="38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40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39"/>
    </row>
    <row r="648" ht="15.75" customHeight="1">
      <c r="A648" s="39"/>
      <c r="B648" s="38"/>
      <c r="C648" s="38"/>
      <c r="D648" s="38"/>
      <c r="E648" s="38"/>
      <c r="F648" s="38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40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39"/>
    </row>
    <row r="649" ht="15.75" customHeight="1">
      <c r="A649" s="39"/>
      <c r="B649" s="38"/>
      <c r="C649" s="38"/>
      <c r="D649" s="38"/>
      <c r="E649" s="38"/>
      <c r="F649" s="38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40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39"/>
    </row>
    <row r="650" ht="15.75" customHeight="1">
      <c r="A650" s="39"/>
      <c r="B650" s="38"/>
      <c r="C650" s="38"/>
      <c r="D650" s="38"/>
      <c r="E650" s="38"/>
      <c r="F650" s="38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40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39"/>
    </row>
    <row r="651" ht="15.75" customHeight="1">
      <c r="A651" s="39"/>
      <c r="B651" s="38"/>
      <c r="C651" s="38"/>
      <c r="D651" s="38"/>
      <c r="E651" s="38"/>
      <c r="F651" s="38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40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39"/>
    </row>
    <row r="652" ht="15.75" customHeight="1">
      <c r="A652" s="39"/>
      <c r="B652" s="38"/>
      <c r="C652" s="38"/>
      <c r="D652" s="38"/>
      <c r="E652" s="38"/>
      <c r="F652" s="38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40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39"/>
    </row>
    <row r="653" ht="15.75" customHeight="1">
      <c r="A653" s="39"/>
      <c r="B653" s="38"/>
      <c r="C653" s="38"/>
      <c r="D653" s="38"/>
      <c r="E653" s="38"/>
      <c r="F653" s="38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40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39"/>
    </row>
    <row r="654" ht="15.75" customHeight="1">
      <c r="A654" s="39"/>
      <c r="B654" s="38"/>
      <c r="C654" s="38"/>
      <c r="D654" s="38"/>
      <c r="E654" s="38"/>
      <c r="F654" s="38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40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39"/>
    </row>
    <row r="655" ht="15.75" customHeight="1">
      <c r="A655" s="39"/>
      <c r="B655" s="38"/>
      <c r="C655" s="38"/>
      <c r="D655" s="38"/>
      <c r="E655" s="38"/>
      <c r="F655" s="38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40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</row>
    <row r="656" ht="15.75" customHeight="1">
      <c r="A656" s="39"/>
      <c r="B656" s="38"/>
      <c r="C656" s="38"/>
      <c r="D656" s="38"/>
      <c r="E656" s="38"/>
      <c r="F656" s="38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40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39"/>
    </row>
    <row r="657" ht="15.75" customHeight="1">
      <c r="A657" s="39"/>
      <c r="B657" s="38"/>
      <c r="C657" s="38"/>
      <c r="D657" s="38"/>
      <c r="E657" s="38"/>
      <c r="F657" s="38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40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/>
    </row>
    <row r="658" ht="15.75" customHeight="1">
      <c r="A658" s="39"/>
      <c r="B658" s="38"/>
      <c r="C658" s="38"/>
      <c r="D658" s="38"/>
      <c r="E658" s="38"/>
      <c r="F658" s="38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40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39"/>
    </row>
    <row r="659" ht="15.75" customHeight="1">
      <c r="A659" s="39"/>
      <c r="B659" s="38"/>
      <c r="C659" s="38"/>
      <c r="D659" s="38"/>
      <c r="E659" s="38"/>
      <c r="F659" s="38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40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39"/>
    </row>
    <row r="660" ht="15.75" customHeight="1">
      <c r="A660" s="39"/>
      <c r="B660" s="38"/>
      <c r="C660" s="38"/>
      <c r="D660" s="38"/>
      <c r="E660" s="38"/>
      <c r="F660" s="38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40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39"/>
    </row>
    <row r="661" ht="15.75" customHeight="1">
      <c r="A661" s="39"/>
      <c r="B661" s="38"/>
      <c r="C661" s="38"/>
      <c r="D661" s="38"/>
      <c r="E661" s="38"/>
      <c r="F661" s="38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40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39"/>
    </row>
    <row r="662" ht="15.75" customHeight="1">
      <c r="A662" s="39"/>
      <c r="B662" s="38"/>
      <c r="C662" s="38"/>
      <c r="D662" s="38"/>
      <c r="E662" s="38"/>
      <c r="F662" s="38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40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</row>
    <row r="663" ht="15.75" customHeight="1">
      <c r="A663" s="39"/>
      <c r="B663" s="38"/>
      <c r="C663" s="38"/>
      <c r="D663" s="38"/>
      <c r="E663" s="38"/>
      <c r="F663" s="38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40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39"/>
    </row>
    <row r="664" ht="15.75" customHeight="1">
      <c r="A664" s="39"/>
      <c r="B664" s="38"/>
      <c r="C664" s="38"/>
      <c r="D664" s="38"/>
      <c r="E664" s="38"/>
      <c r="F664" s="38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40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39"/>
    </row>
    <row r="665" ht="15.75" customHeight="1">
      <c r="A665" s="39"/>
      <c r="B665" s="38"/>
      <c r="C665" s="38"/>
      <c r="D665" s="38"/>
      <c r="E665" s="38"/>
      <c r="F665" s="38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40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</row>
    <row r="666" ht="15.75" customHeight="1">
      <c r="A666" s="39"/>
      <c r="B666" s="38"/>
      <c r="C666" s="38"/>
      <c r="D666" s="38"/>
      <c r="E666" s="38"/>
      <c r="F666" s="38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40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</row>
    <row r="667" ht="15.75" customHeight="1">
      <c r="A667" s="39"/>
      <c r="B667" s="38"/>
      <c r="C667" s="38"/>
      <c r="D667" s="38"/>
      <c r="E667" s="38"/>
      <c r="F667" s="38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40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</row>
    <row r="668" ht="15.75" customHeight="1">
      <c r="A668" s="39"/>
      <c r="B668" s="38"/>
      <c r="C668" s="38"/>
      <c r="D668" s="38"/>
      <c r="E668" s="38"/>
      <c r="F668" s="38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40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</row>
    <row r="669" ht="15.75" customHeight="1">
      <c r="A669" s="39"/>
      <c r="B669" s="38"/>
      <c r="C669" s="38"/>
      <c r="D669" s="38"/>
      <c r="E669" s="38"/>
      <c r="F669" s="38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40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</row>
    <row r="670" ht="15.75" customHeight="1">
      <c r="A670" s="39"/>
      <c r="B670" s="38"/>
      <c r="C670" s="38"/>
      <c r="D670" s="38"/>
      <c r="E670" s="38"/>
      <c r="F670" s="38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40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</row>
    <row r="671" ht="15.75" customHeight="1">
      <c r="A671" s="39"/>
      <c r="B671" s="38"/>
      <c r="C671" s="38"/>
      <c r="D671" s="38"/>
      <c r="E671" s="38"/>
      <c r="F671" s="38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40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</row>
    <row r="672" ht="15.75" customHeight="1">
      <c r="A672" s="39"/>
      <c r="B672" s="38"/>
      <c r="C672" s="38"/>
      <c r="D672" s="38"/>
      <c r="E672" s="38"/>
      <c r="F672" s="38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40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39"/>
    </row>
    <row r="673" ht="15.75" customHeight="1">
      <c r="A673" s="39"/>
      <c r="B673" s="38"/>
      <c r="C673" s="38"/>
      <c r="D673" s="38"/>
      <c r="E673" s="38"/>
      <c r="F673" s="38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40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</row>
    <row r="674" ht="15.75" customHeight="1">
      <c r="A674" s="39"/>
      <c r="B674" s="38"/>
      <c r="C674" s="38"/>
      <c r="D674" s="38"/>
      <c r="E674" s="38"/>
      <c r="F674" s="38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40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</row>
    <row r="675" ht="15.75" customHeight="1">
      <c r="A675" s="39"/>
      <c r="B675" s="38"/>
      <c r="C675" s="38"/>
      <c r="D675" s="38"/>
      <c r="E675" s="38"/>
      <c r="F675" s="38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40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</row>
    <row r="676" ht="15.75" customHeight="1">
      <c r="A676" s="39"/>
      <c r="B676" s="38"/>
      <c r="C676" s="38"/>
      <c r="D676" s="38"/>
      <c r="E676" s="38"/>
      <c r="F676" s="38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40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</row>
    <row r="677" ht="15.75" customHeight="1">
      <c r="A677" s="39"/>
      <c r="B677" s="38"/>
      <c r="C677" s="38"/>
      <c r="D677" s="38"/>
      <c r="E677" s="38"/>
      <c r="F677" s="38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40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</row>
    <row r="678" ht="15.75" customHeight="1">
      <c r="A678" s="39"/>
      <c r="B678" s="38"/>
      <c r="C678" s="38"/>
      <c r="D678" s="38"/>
      <c r="E678" s="38"/>
      <c r="F678" s="38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40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</row>
    <row r="679" ht="15.75" customHeight="1">
      <c r="A679" s="39"/>
      <c r="B679" s="38"/>
      <c r="C679" s="38"/>
      <c r="D679" s="38"/>
      <c r="E679" s="38"/>
      <c r="F679" s="38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40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</row>
    <row r="680" ht="15.75" customHeight="1">
      <c r="A680" s="39"/>
      <c r="B680" s="38"/>
      <c r="C680" s="38"/>
      <c r="D680" s="38"/>
      <c r="E680" s="38"/>
      <c r="F680" s="38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40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</row>
    <row r="681" ht="15.75" customHeight="1">
      <c r="A681" s="39"/>
      <c r="B681" s="38"/>
      <c r="C681" s="38"/>
      <c r="D681" s="38"/>
      <c r="E681" s="38"/>
      <c r="F681" s="38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40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</row>
    <row r="682" ht="15.75" customHeight="1">
      <c r="A682" s="39"/>
      <c r="B682" s="38"/>
      <c r="C682" s="38"/>
      <c r="D682" s="38"/>
      <c r="E682" s="38"/>
      <c r="F682" s="38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40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</row>
    <row r="683" ht="15.75" customHeight="1">
      <c r="A683" s="39"/>
      <c r="B683" s="38"/>
      <c r="C683" s="38"/>
      <c r="D683" s="38"/>
      <c r="E683" s="38"/>
      <c r="F683" s="38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40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</row>
    <row r="684" ht="15.75" customHeight="1">
      <c r="A684" s="39"/>
      <c r="B684" s="38"/>
      <c r="C684" s="38"/>
      <c r="D684" s="38"/>
      <c r="E684" s="38"/>
      <c r="F684" s="38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40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</row>
    <row r="685" ht="15.75" customHeight="1">
      <c r="A685" s="39"/>
      <c r="B685" s="38"/>
      <c r="C685" s="38"/>
      <c r="D685" s="38"/>
      <c r="E685" s="38"/>
      <c r="F685" s="38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40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</row>
    <row r="686" ht="15.75" customHeight="1">
      <c r="A686" s="39"/>
      <c r="B686" s="38"/>
      <c r="C686" s="38"/>
      <c r="D686" s="38"/>
      <c r="E686" s="38"/>
      <c r="F686" s="38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40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</row>
    <row r="687" ht="15.75" customHeight="1">
      <c r="A687" s="39"/>
      <c r="B687" s="38"/>
      <c r="C687" s="38"/>
      <c r="D687" s="38"/>
      <c r="E687" s="38"/>
      <c r="F687" s="38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40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</row>
    <row r="688" ht="15.75" customHeight="1">
      <c r="A688" s="39"/>
      <c r="B688" s="38"/>
      <c r="C688" s="38"/>
      <c r="D688" s="38"/>
      <c r="E688" s="38"/>
      <c r="F688" s="38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40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</row>
    <row r="689" ht="15.75" customHeight="1">
      <c r="A689" s="39"/>
      <c r="B689" s="38"/>
      <c r="C689" s="38"/>
      <c r="D689" s="38"/>
      <c r="E689" s="38"/>
      <c r="F689" s="38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40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</row>
    <row r="690" ht="15.75" customHeight="1">
      <c r="A690" s="39"/>
      <c r="B690" s="38"/>
      <c r="C690" s="38"/>
      <c r="D690" s="38"/>
      <c r="E690" s="38"/>
      <c r="F690" s="38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40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</row>
    <row r="691" ht="15.75" customHeight="1">
      <c r="A691" s="39"/>
      <c r="B691" s="38"/>
      <c r="C691" s="38"/>
      <c r="D691" s="38"/>
      <c r="E691" s="38"/>
      <c r="F691" s="38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40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</row>
    <row r="692" ht="15.75" customHeight="1">
      <c r="A692" s="39"/>
      <c r="B692" s="38"/>
      <c r="C692" s="38"/>
      <c r="D692" s="38"/>
      <c r="E692" s="38"/>
      <c r="F692" s="38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40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</row>
    <row r="693" ht="15.75" customHeight="1">
      <c r="A693" s="39"/>
      <c r="B693" s="38"/>
      <c r="C693" s="38"/>
      <c r="D693" s="38"/>
      <c r="E693" s="38"/>
      <c r="F693" s="38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40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</row>
    <row r="694" ht="15.75" customHeight="1">
      <c r="A694" s="39"/>
      <c r="B694" s="38"/>
      <c r="C694" s="38"/>
      <c r="D694" s="38"/>
      <c r="E694" s="38"/>
      <c r="F694" s="38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40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</row>
    <row r="695" ht="15.75" customHeight="1">
      <c r="A695" s="39"/>
      <c r="B695" s="38"/>
      <c r="C695" s="38"/>
      <c r="D695" s="38"/>
      <c r="E695" s="38"/>
      <c r="F695" s="38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40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</row>
    <row r="696" ht="15.75" customHeight="1">
      <c r="A696" s="39"/>
      <c r="B696" s="38"/>
      <c r="C696" s="38"/>
      <c r="D696" s="38"/>
      <c r="E696" s="38"/>
      <c r="F696" s="38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40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</row>
    <row r="697" ht="15.75" customHeight="1">
      <c r="A697" s="39"/>
      <c r="B697" s="38"/>
      <c r="C697" s="38"/>
      <c r="D697" s="38"/>
      <c r="E697" s="38"/>
      <c r="F697" s="38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40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</row>
    <row r="698" ht="15.75" customHeight="1">
      <c r="A698" s="39"/>
      <c r="B698" s="38"/>
      <c r="C698" s="38"/>
      <c r="D698" s="38"/>
      <c r="E698" s="38"/>
      <c r="F698" s="38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40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</row>
    <row r="699" ht="15.75" customHeight="1">
      <c r="A699" s="39"/>
      <c r="B699" s="38"/>
      <c r="C699" s="38"/>
      <c r="D699" s="38"/>
      <c r="E699" s="38"/>
      <c r="F699" s="38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40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</row>
    <row r="700" ht="15.75" customHeight="1">
      <c r="A700" s="39"/>
      <c r="B700" s="38"/>
      <c r="C700" s="38"/>
      <c r="D700" s="38"/>
      <c r="E700" s="38"/>
      <c r="F700" s="38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40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</row>
    <row r="701" ht="15.75" customHeight="1">
      <c r="A701" s="39"/>
      <c r="B701" s="38"/>
      <c r="C701" s="38"/>
      <c r="D701" s="38"/>
      <c r="E701" s="38"/>
      <c r="F701" s="38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40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</row>
    <row r="702" ht="15.75" customHeight="1">
      <c r="A702" s="39"/>
      <c r="B702" s="38"/>
      <c r="C702" s="38"/>
      <c r="D702" s="38"/>
      <c r="E702" s="38"/>
      <c r="F702" s="38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40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</row>
    <row r="703" ht="15.75" customHeight="1">
      <c r="A703" s="39"/>
      <c r="B703" s="38"/>
      <c r="C703" s="38"/>
      <c r="D703" s="38"/>
      <c r="E703" s="38"/>
      <c r="F703" s="38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40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</row>
    <row r="704" ht="15.75" customHeight="1">
      <c r="A704" s="39"/>
      <c r="B704" s="38"/>
      <c r="C704" s="38"/>
      <c r="D704" s="38"/>
      <c r="E704" s="38"/>
      <c r="F704" s="38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40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</row>
    <row r="705" ht="15.75" customHeight="1">
      <c r="A705" s="39"/>
      <c r="B705" s="38"/>
      <c r="C705" s="38"/>
      <c r="D705" s="38"/>
      <c r="E705" s="38"/>
      <c r="F705" s="38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40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</row>
    <row r="706" ht="15.75" customHeight="1">
      <c r="A706" s="39"/>
      <c r="B706" s="38"/>
      <c r="C706" s="38"/>
      <c r="D706" s="38"/>
      <c r="E706" s="38"/>
      <c r="F706" s="38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40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</row>
    <row r="707" ht="15.75" customHeight="1">
      <c r="A707" s="39"/>
      <c r="B707" s="38"/>
      <c r="C707" s="38"/>
      <c r="D707" s="38"/>
      <c r="E707" s="38"/>
      <c r="F707" s="38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40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</row>
    <row r="708" ht="15.75" customHeight="1">
      <c r="A708" s="39"/>
      <c r="B708" s="38"/>
      <c r="C708" s="38"/>
      <c r="D708" s="38"/>
      <c r="E708" s="38"/>
      <c r="F708" s="38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40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</row>
    <row r="709" ht="15.75" customHeight="1">
      <c r="A709" s="39"/>
      <c r="B709" s="38"/>
      <c r="C709" s="38"/>
      <c r="D709" s="38"/>
      <c r="E709" s="38"/>
      <c r="F709" s="38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40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</row>
    <row r="710" ht="15.75" customHeight="1">
      <c r="A710" s="39"/>
      <c r="B710" s="38"/>
      <c r="C710" s="38"/>
      <c r="D710" s="38"/>
      <c r="E710" s="38"/>
      <c r="F710" s="38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40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</row>
    <row r="711" ht="15.75" customHeight="1">
      <c r="A711" s="39"/>
      <c r="B711" s="38"/>
      <c r="C711" s="38"/>
      <c r="D711" s="38"/>
      <c r="E711" s="38"/>
      <c r="F711" s="38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40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</row>
    <row r="712" ht="15.75" customHeight="1">
      <c r="A712" s="39"/>
      <c r="B712" s="38"/>
      <c r="C712" s="38"/>
      <c r="D712" s="38"/>
      <c r="E712" s="38"/>
      <c r="F712" s="38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40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</row>
    <row r="713" ht="15.75" customHeight="1">
      <c r="A713" s="39"/>
      <c r="B713" s="38"/>
      <c r="C713" s="38"/>
      <c r="D713" s="38"/>
      <c r="E713" s="38"/>
      <c r="F713" s="38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40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</row>
    <row r="714" ht="15.75" customHeight="1">
      <c r="A714" s="39"/>
      <c r="B714" s="38"/>
      <c r="C714" s="38"/>
      <c r="D714" s="38"/>
      <c r="E714" s="38"/>
      <c r="F714" s="38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40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39"/>
    </row>
    <row r="715" ht="15.75" customHeight="1">
      <c r="A715" s="39"/>
      <c r="B715" s="38"/>
      <c r="C715" s="38"/>
      <c r="D715" s="38"/>
      <c r="E715" s="38"/>
      <c r="F715" s="38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40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39"/>
    </row>
    <row r="716" ht="15.75" customHeight="1">
      <c r="A716" s="39"/>
      <c r="B716" s="38"/>
      <c r="C716" s="38"/>
      <c r="D716" s="38"/>
      <c r="E716" s="38"/>
      <c r="F716" s="38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40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39"/>
    </row>
    <row r="717" ht="15.75" customHeight="1">
      <c r="A717" s="39"/>
      <c r="B717" s="38"/>
      <c r="C717" s="38"/>
      <c r="D717" s="38"/>
      <c r="E717" s="38"/>
      <c r="F717" s="38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40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39"/>
    </row>
    <row r="718" ht="15.75" customHeight="1">
      <c r="A718" s="39"/>
      <c r="B718" s="38"/>
      <c r="C718" s="38"/>
      <c r="D718" s="38"/>
      <c r="E718" s="38"/>
      <c r="F718" s="38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40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  <c r="AK718" s="39"/>
    </row>
    <row r="719" ht="15.75" customHeight="1">
      <c r="A719" s="39"/>
      <c r="B719" s="38"/>
      <c r="C719" s="38"/>
      <c r="D719" s="38"/>
      <c r="E719" s="38"/>
      <c r="F719" s="38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40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  <c r="AK719" s="39"/>
    </row>
    <row r="720" ht="15.75" customHeight="1">
      <c r="A720" s="39"/>
      <c r="B720" s="38"/>
      <c r="C720" s="38"/>
      <c r="D720" s="38"/>
      <c r="E720" s="38"/>
      <c r="F720" s="38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40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  <c r="AK720" s="39"/>
    </row>
    <row r="721" ht="15.75" customHeight="1">
      <c r="A721" s="39"/>
      <c r="B721" s="38"/>
      <c r="C721" s="38"/>
      <c r="D721" s="38"/>
      <c r="E721" s="38"/>
      <c r="F721" s="38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40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  <c r="AK721" s="39"/>
    </row>
    <row r="722" ht="15.75" customHeight="1">
      <c r="A722" s="39"/>
      <c r="B722" s="38"/>
      <c r="C722" s="38"/>
      <c r="D722" s="38"/>
      <c r="E722" s="38"/>
      <c r="F722" s="38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40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  <c r="AK722" s="39"/>
    </row>
    <row r="723" ht="15.75" customHeight="1">
      <c r="A723" s="39"/>
      <c r="B723" s="38"/>
      <c r="C723" s="38"/>
      <c r="D723" s="38"/>
      <c r="E723" s="38"/>
      <c r="F723" s="38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40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  <c r="AK723" s="39"/>
    </row>
    <row r="724" ht="15.75" customHeight="1">
      <c r="A724" s="39"/>
      <c r="B724" s="38"/>
      <c r="C724" s="38"/>
      <c r="D724" s="38"/>
      <c r="E724" s="38"/>
      <c r="F724" s="38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40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  <c r="AK724" s="39"/>
    </row>
    <row r="725" ht="15.75" customHeight="1">
      <c r="A725" s="39"/>
      <c r="B725" s="38"/>
      <c r="C725" s="38"/>
      <c r="D725" s="38"/>
      <c r="E725" s="38"/>
      <c r="F725" s="38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40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  <c r="AK725" s="39"/>
    </row>
    <row r="726" ht="15.75" customHeight="1">
      <c r="A726" s="39"/>
      <c r="B726" s="38"/>
      <c r="C726" s="38"/>
      <c r="D726" s="38"/>
      <c r="E726" s="38"/>
      <c r="F726" s="38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40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  <c r="AK726" s="39"/>
    </row>
    <row r="727" ht="15.75" customHeight="1">
      <c r="A727" s="39"/>
      <c r="B727" s="38"/>
      <c r="C727" s="38"/>
      <c r="D727" s="38"/>
      <c r="E727" s="38"/>
      <c r="F727" s="38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40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  <c r="AK727" s="39"/>
    </row>
    <row r="728" ht="15.75" customHeight="1">
      <c r="A728" s="39"/>
      <c r="B728" s="38"/>
      <c r="C728" s="38"/>
      <c r="D728" s="38"/>
      <c r="E728" s="38"/>
      <c r="F728" s="38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40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  <c r="AK728" s="39"/>
    </row>
    <row r="729" ht="15.75" customHeight="1">
      <c r="A729" s="39"/>
      <c r="B729" s="38"/>
      <c r="C729" s="38"/>
      <c r="D729" s="38"/>
      <c r="E729" s="38"/>
      <c r="F729" s="38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40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  <c r="AK729" s="39"/>
    </row>
    <row r="730" ht="15.75" customHeight="1">
      <c r="A730" s="39"/>
      <c r="B730" s="38"/>
      <c r="C730" s="38"/>
      <c r="D730" s="38"/>
      <c r="E730" s="38"/>
      <c r="F730" s="38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40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  <c r="AK730" s="39"/>
    </row>
    <row r="731" ht="15.75" customHeight="1">
      <c r="A731" s="39"/>
      <c r="B731" s="38"/>
      <c r="C731" s="38"/>
      <c r="D731" s="38"/>
      <c r="E731" s="38"/>
      <c r="F731" s="38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40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  <c r="AK731" s="39"/>
    </row>
    <row r="732" ht="15.75" customHeight="1">
      <c r="A732" s="39"/>
      <c r="B732" s="38"/>
      <c r="C732" s="38"/>
      <c r="D732" s="38"/>
      <c r="E732" s="38"/>
      <c r="F732" s="38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40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  <c r="AK732" s="39"/>
    </row>
    <row r="733" ht="15.75" customHeight="1">
      <c r="A733" s="39"/>
      <c r="B733" s="38"/>
      <c r="C733" s="38"/>
      <c r="D733" s="38"/>
      <c r="E733" s="38"/>
      <c r="F733" s="38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40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  <c r="AK733" s="39"/>
    </row>
    <row r="734" ht="15.75" customHeight="1">
      <c r="A734" s="39"/>
      <c r="B734" s="38"/>
      <c r="C734" s="38"/>
      <c r="D734" s="38"/>
      <c r="E734" s="38"/>
      <c r="F734" s="38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40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  <c r="AK734" s="39"/>
    </row>
    <row r="735" ht="15.75" customHeight="1">
      <c r="A735" s="39"/>
      <c r="B735" s="38"/>
      <c r="C735" s="38"/>
      <c r="D735" s="38"/>
      <c r="E735" s="38"/>
      <c r="F735" s="38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40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  <c r="AK735" s="39"/>
    </row>
    <row r="736" ht="15.75" customHeight="1">
      <c r="A736" s="39"/>
      <c r="B736" s="38"/>
      <c r="C736" s="38"/>
      <c r="D736" s="38"/>
      <c r="E736" s="38"/>
      <c r="F736" s="38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40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  <c r="AK736" s="39"/>
    </row>
    <row r="737" ht="15.75" customHeight="1">
      <c r="A737" s="39"/>
      <c r="B737" s="38"/>
      <c r="C737" s="38"/>
      <c r="D737" s="38"/>
      <c r="E737" s="38"/>
      <c r="F737" s="38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40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  <c r="AK737" s="39"/>
    </row>
    <row r="738" ht="15.75" customHeight="1">
      <c r="A738" s="39"/>
      <c r="B738" s="38"/>
      <c r="C738" s="38"/>
      <c r="D738" s="38"/>
      <c r="E738" s="38"/>
      <c r="F738" s="38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40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  <c r="AK738" s="39"/>
    </row>
    <row r="739" ht="15.75" customHeight="1">
      <c r="A739" s="39"/>
      <c r="B739" s="38"/>
      <c r="C739" s="38"/>
      <c r="D739" s="38"/>
      <c r="E739" s="38"/>
      <c r="F739" s="38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40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  <c r="AK739" s="39"/>
    </row>
    <row r="740" ht="15.75" customHeight="1">
      <c r="A740" s="39"/>
      <c r="B740" s="38"/>
      <c r="C740" s="38"/>
      <c r="D740" s="38"/>
      <c r="E740" s="38"/>
      <c r="F740" s="38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40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  <c r="AK740" s="39"/>
    </row>
    <row r="741" ht="15.75" customHeight="1">
      <c r="A741" s="39"/>
      <c r="B741" s="38"/>
      <c r="C741" s="38"/>
      <c r="D741" s="38"/>
      <c r="E741" s="38"/>
      <c r="F741" s="38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40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  <c r="AK741" s="39"/>
    </row>
    <row r="742" ht="15.75" customHeight="1">
      <c r="A742" s="39"/>
      <c r="B742" s="38"/>
      <c r="C742" s="38"/>
      <c r="D742" s="38"/>
      <c r="E742" s="38"/>
      <c r="F742" s="38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40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  <c r="AK742" s="39"/>
    </row>
    <row r="743" ht="15.75" customHeight="1">
      <c r="A743" s="39"/>
      <c r="B743" s="38"/>
      <c r="C743" s="38"/>
      <c r="D743" s="38"/>
      <c r="E743" s="38"/>
      <c r="F743" s="38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40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  <c r="AK743" s="39"/>
    </row>
    <row r="744" ht="15.75" customHeight="1">
      <c r="A744" s="39"/>
      <c r="B744" s="38"/>
      <c r="C744" s="38"/>
      <c r="D744" s="38"/>
      <c r="E744" s="38"/>
      <c r="F744" s="38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40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  <c r="AK744" s="39"/>
    </row>
    <row r="745" ht="15.75" customHeight="1">
      <c r="A745" s="39"/>
      <c r="B745" s="38"/>
      <c r="C745" s="38"/>
      <c r="D745" s="38"/>
      <c r="E745" s="38"/>
      <c r="F745" s="38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40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  <c r="AK745" s="39"/>
    </row>
    <row r="746" ht="15.75" customHeight="1">
      <c r="A746" s="39"/>
      <c r="B746" s="38"/>
      <c r="C746" s="38"/>
      <c r="D746" s="38"/>
      <c r="E746" s="38"/>
      <c r="F746" s="38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40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  <c r="AK746" s="39"/>
    </row>
    <row r="747" ht="15.75" customHeight="1">
      <c r="A747" s="39"/>
      <c r="B747" s="38"/>
      <c r="C747" s="38"/>
      <c r="D747" s="38"/>
      <c r="E747" s="38"/>
      <c r="F747" s="38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40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  <c r="AK747" s="39"/>
    </row>
    <row r="748" ht="15.75" customHeight="1">
      <c r="A748" s="39"/>
      <c r="B748" s="38"/>
      <c r="C748" s="38"/>
      <c r="D748" s="38"/>
      <c r="E748" s="38"/>
      <c r="F748" s="38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40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  <c r="AK748" s="39"/>
    </row>
    <row r="749" ht="15.75" customHeight="1">
      <c r="A749" s="39"/>
      <c r="B749" s="38"/>
      <c r="C749" s="38"/>
      <c r="D749" s="38"/>
      <c r="E749" s="38"/>
      <c r="F749" s="38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40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  <c r="AK749" s="39"/>
    </row>
    <row r="750" ht="15.75" customHeight="1">
      <c r="A750" s="39"/>
      <c r="B750" s="38"/>
      <c r="C750" s="38"/>
      <c r="D750" s="38"/>
      <c r="E750" s="38"/>
      <c r="F750" s="38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40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  <c r="AK750" s="39"/>
    </row>
    <row r="751" ht="15.75" customHeight="1">
      <c r="A751" s="39"/>
      <c r="B751" s="38"/>
      <c r="C751" s="38"/>
      <c r="D751" s="38"/>
      <c r="E751" s="38"/>
      <c r="F751" s="38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40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  <c r="AK751" s="39"/>
    </row>
    <row r="752" ht="15.75" customHeight="1">
      <c r="A752" s="39"/>
      <c r="B752" s="38"/>
      <c r="C752" s="38"/>
      <c r="D752" s="38"/>
      <c r="E752" s="38"/>
      <c r="F752" s="38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40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  <c r="AK752" s="39"/>
    </row>
    <row r="753" ht="15.75" customHeight="1">
      <c r="A753" s="39"/>
      <c r="B753" s="38"/>
      <c r="C753" s="38"/>
      <c r="D753" s="38"/>
      <c r="E753" s="38"/>
      <c r="F753" s="38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40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  <c r="AK753" s="39"/>
    </row>
    <row r="754" ht="15.75" customHeight="1">
      <c r="A754" s="39"/>
      <c r="B754" s="38"/>
      <c r="C754" s="38"/>
      <c r="D754" s="38"/>
      <c r="E754" s="38"/>
      <c r="F754" s="38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40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  <c r="AK754" s="39"/>
    </row>
    <row r="755" ht="15.75" customHeight="1">
      <c r="A755" s="39"/>
      <c r="B755" s="38"/>
      <c r="C755" s="38"/>
      <c r="D755" s="38"/>
      <c r="E755" s="38"/>
      <c r="F755" s="38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40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  <c r="AK755" s="39"/>
    </row>
    <row r="756" ht="15.75" customHeight="1">
      <c r="A756" s="39"/>
      <c r="B756" s="38"/>
      <c r="C756" s="38"/>
      <c r="D756" s="38"/>
      <c r="E756" s="38"/>
      <c r="F756" s="38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40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  <c r="AK756" s="39"/>
    </row>
    <row r="757" ht="15.75" customHeight="1">
      <c r="A757" s="39"/>
      <c r="B757" s="38"/>
      <c r="C757" s="38"/>
      <c r="D757" s="38"/>
      <c r="E757" s="38"/>
      <c r="F757" s="38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40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  <c r="AK757" s="39"/>
    </row>
    <row r="758" ht="15.75" customHeight="1">
      <c r="A758" s="39"/>
      <c r="B758" s="38"/>
      <c r="C758" s="38"/>
      <c r="D758" s="38"/>
      <c r="E758" s="38"/>
      <c r="F758" s="38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40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  <c r="AK758" s="39"/>
    </row>
    <row r="759" ht="15.75" customHeight="1">
      <c r="A759" s="39"/>
      <c r="B759" s="38"/>
      <c r="C759" s="38"/>
      <c r="D759" s="38"/>
      <c r="E759" s="38"/>
      <c r="F759" s="38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40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  <c r="AK759" s="39"/>
    </row>
    <row r="760" ht="15.75" customHeight="1">
      <c r="A760" s="39"/>
      <c r="B760" s="38"/>
      <c r="C760" s="38"/>
      <c r="D760" s="38"/>
      <c r="E760" s="38"/>
      <c r="F760" s="38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40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  <c r="AK760" s="39"/>
    </row>
    <row r="761" ht="15.75" customHeight="1">
      <c r="A761" s="39"/>
      <c r="B761" s="38"/>
      <c r="C761" s="38"/>
      <c r="D761" s="38"/>
      <c r="E761" s="38"/>
      <c r="F761" s="38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40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  <c r="AK761" s="39"/>
    </row>
    <row r="762" ht="15.75" customHeight="1">
      <c r="A762" s="39"/>
      <c r="B762" s="38"/>
      <c r="C762" s="38"/>
      <c r="D762" s="38"/>
      <c r="E762" s="38"/>
      <c r="F762" s="38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40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  <c r="AK762" s="39"/>
    </row>
    <row r="763" ht="15.75" customHeight="1">
      <c r="A763" s="39"/>
      <c r="B763" s="38"/>
      <c r="C763" s="38"/>
      <c r="D763" s="38"/>
      <c r="E763" s="38"/>
      <c r="F763" s="38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40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  <c r="AK763" s="39"/>
    </row>
    <row r="764" ht="15.75" customHeight="1">
      <c r="A764" s="39"/>
      <c r="B764" s="38"/>
      <c r="C764" s="38"/>
      <c r="D764" s="38"/>
      <c r="E764" s="38"/>
      <c r="F764" s="38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40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  <c r="AK764" s="39"/>
    </row>
    <row r="765" ht="15.75" customHeight="1">
      <c r="A765" s="39"/>
      <c r="B765" s="38"/>
      <c r="C765" s="38"/>
      <c r="D765" s="38"/>
      <c r="E765" s="38"/>
      <c r="F765" s="38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40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  <c r="AK765" s="39"/>
    </row>
    <row r="766" ht="15.75" customHeight="1">
      <c r="A766" s="39"/>
      <c r="B766" s="38"/>
      <c r="C766" s="38"/>
      <c r="D766" s="38"/>
      <c r="E766" s="38"/>
      <c r="F766" s="38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40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  <c r="AK766" s="39"/>
    </row>
    <row r="767" ht="15.75" customHeight="1">
      <c r="A767" s="39"/>
      <c r="B767" s="38"/>
      <c r="C767" s="38"/>
      <c r="D767" s="38"/>
      <c r="E767" s="38"/>
      <c r="F767" s="38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40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  <c r="AK767" s="39"/>
    </row>
    <row r="768" ht="15.75" customHeight="1">
      <c r="A768" s="39"/>
      <c r="B768" s="38"/>
      <c r="C768" s="38"/>
      <c r="D768" s="38"/>
      <c r="E768" s="38"/>
      <c r="F768" s="38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40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  <c r="AK768" s="39"/>
    </row>
    <row r="769" ht="15.75" customHeight="1">
      <c r="A769" s="39"/>
      <c r="B769" s="38"/>
      <c r="C769" s="38"/>
      <c r="D769" s="38"/>
      <c r="E769" s="38"/>
      <c r="F769" s="38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40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  <c r="AK769" s="39"/>
    </row>
    <row r="770" ht="15.75" customHeight="1">
      <c r="A770" s="39"/>
      <c r="B770" s="38"/>
      <c r="C770" s="38"/>
      <c r="D770" s="38"/>
      <c r="E770" s="38"/>
      <c r="F770" s="38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40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  <c r="AK770" s="39"/>
    </row>
    <row r="771" ht="15.75" customHeight="1">
      <c r="A771" s="39"/>
      <c r="B771" s="38"/>
      <c r="C771" s="38"/>
      <c r="D771" s="38"/>
      <c r="E771" s="38"/>
      <c r="F771" s="38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40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  <c r="AK771" s="39"/>
    </row>
    <row r="772" ht="15.75" customHeight="1">
      <c r="A772" s="39"/>
      <c r="B772" s="38"/>
      <c r="C772" s="38"/>
      <c r="D772" s="38"/>
      <c r="E772" s="38"/>
      <c r="F772" s="38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40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  <c r="AK772" s="39"/>
    </row>
    <row r="773" ht="15.75" customHeight="1">
      <c r="A773" s="39"/>
      <c r="B773" s="38"/>
      <c r="C773" s="38"/>
      <c r="D773" s="38"/>
      <c r="E773" s="38"/>
      <c r="F773" s="38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40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  <c r="AK773" s="39"/>
    </row>
    <row r="774" ht="15.75" customHeight="1">
      <c r="A774" s="39"/>
      <c r="B774" s="38"/>
      <c r="C774" s="38"/>
      <c r="D774" s="38"/>
      <c r="E774" s="38"/>
      <c r="F774" s="38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40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  <c r="AK774" s="39"/>
    </row>
    <row r="775" ht="15.75" customHeight="1">
      <c r="A775" s="39"/>
      <c r="B775" s="38"/>
      <c r="C775" s="38"/>
      <c r="D775" s="38"/>
      <c r="E775" s="38"/>
      <c r="F775" s="38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40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  <c r="AK775" s="39"/>
    </row>
    <row r="776" ht="15.75" customHeight="1">
      <c r="A776" s="39"/>
      <c r="B776" s="38"/>
      <c r="C776" s="38"/>
      <c r="D776" s="38"/>
      <c r="E776" s="38"/>
      <c r="F776" s="38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40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  <c r="AK776" s="39"/>
    </row>
    <row r="777" ht="15.75" customHeight="1">
      <c r="A777" s="39"/>
      <c r="B777" s="38"/>
      <c r="C777" s="38"/>
      <c r="D777" s="38"/>
      <c r="E777" s="38"/>
      <c r="F777" s="38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40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  <c r="AK777" s="39"/>
    </row>
    <row r="778" ht="15.75" customHeight="1">
      <c r="A778" s="39"/>
      <c r="B778" s="38"/>
      <c r="C778" s="38"/>
      <c r="D778" s="38"/>
      <c r="E778" s="38"/>
      <c r="F778" s="38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40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  <c r="AK778" s="39"/>
    </row>
    <row r="779" ht="15.75" customHeight="1">
      <c r="A779" s="39"/>
      <c r="B779" s="38"/>
      <c r="C779" s="38"/>
      <c r="D779" s="38"/>
      <c r="E779" s="38"/>
      <c r="F779" s="38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40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  <c r="AK779" s="39"/>
    </row>
    <row r="780" ht="15.75" customHeight="1">
      <c r="A780" s="39"/>
      <c r="B780" s="38"/>
      <c r="C780" s="38"/>
      <c r="D780" s="38"/>
      <c r="E780" s="38"/>
      <c r="F780" s="38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40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  <c r="AK780" s="39"/>
    </row>
    <row r="781" ht="15.75" customHeight="1">
      <c r="A781" s="39"/>
      <c r="B781" s="38"/>
      <c r="C781" s="38"/>
      <c r="D781" s="38"/>
      <c r="E781" s="38"/>
      <c r="F781" s="38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40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  <c r="AK781" s="39"/>
    </row>
    <row r="782" ht="15.75" customHeight="1">
      <c r="A782" s="39"/>
      <c r="B782" s="38"/>
      <c r="C782" s="38"/>
      <c r="D782" s="38"/>
      <c r="E782" s="38"/>
      <c r="F782" s="38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40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  <c r="AK782" s="39"/>
    </row>
    <row r="783" ht="15.75" customHeight="1">
      <c r="A783" s="39"/>
      <c r="B783" s="38"/>
      <c r="C783" s="38"/>
      <c r="D783" s="38"/>
      <c r="E783" s="38"/>
      <c r="F783" s="38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40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  <c r="AK783" s="39"/>
    </row>
    <row r="784" ht="15.75" customHeight="1">
      <c r="A784" s="39"/>
      <c r="B784" s="38"/>
      <c r="C784" s="38"/>
      <c r="D784" s="38"/>
      <c r="E784" s="38"/>
      <c r="F784" s="38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40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  <c r="AK784" s="39"/>
    </row>
    <row r="785" ht="15.75" customHeight="1">
      <c r="A785" s="39"/>
      <c r="B785" s="38"/>
      <c r="C785" s="38"/>
      <c r="D785" s="38"/>
      <c r="E785" s="38"/>
      <c r="F785" s="38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40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  <c r="AK785" s="39"/>
    </row>
    <row r="786" ht="15.75" customHeight="1">
      <c r="A786" s="39"/>
      <c r="B786" s="38"/>
      <c r="C786" s="38"/>
      <c r="D786" s="38"/>
      <c r="E786" s="38"/>
      <c r="F786" s="38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40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  <c r="AK786" s="39"/>
    </row>
    <row r="787" ht="15.75" customHeight="1">
      <c r="A787" s="39"/>
      <c r="B787" s="38"/>
      <c r="C787" s="38"/>
      <c r="D787" s="38"/>
      <c r="E787" s="38"/>
      <c r="F787" s="38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40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  <c r="AK787" s="39"/>
    </row>
    <row r="788" ht="15.75" customHeight="1">
      <c r="A788" s="39"/>
      <c r="B788" s="38"/>
      <c r="C788" s="38"/>
      <c r="D788" s="38"/>
      <c r="E788" s="38"/>
      <c r="F788" s="38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40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  <c r="AK788" s="39"/>
    </row>
    <row r="789" ht="15.75" customHeight="1">
      <c r="A789" s="39"/>
      <c r="B789" s="38"/>
      <c r="C789" s="38"/>
      <c r="D789" s="38"/>
      <c r="E789" s="38"/>
      <c r="F789" s="38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40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  <c r="AK789" s="39"/>
    </row>
    <row r="790" ht="15.75" customHeight="1">
      <c r="A790" s="39"/>
      <c r="B790" s="38"/>
      <c r="C790" s="38"/>
      <c r="D790" s="38"/>
      <c r="E790" s="38"/>
      <c r="F790" s="38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40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  <c r="AK790" s="39"/>
    </row>
    <row r="791" ht="15.75" customHeight="1">
      <c r="A791" s="39"/>
      <c r="B791" s="38"/>
      <c r="C791" s="38"/>
      <c r="D791" s="38"/>
      <c r="E791" s="38"/>
      <c r="F791" s="38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40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  <c r="AK791" s="39"/>
    </row>
    <row r="792" ht="15.75" customHeight="1">
      <c r="A792" s="39"/>
      <c r="B792" s="38"/>
      <c r="C792" s="38"/>
      <c r="D792" s="38"/>
      <c r="E792" s="38"/>
      <c r="F792" s="38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40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  <c r="AK792" s="39"/>
    </row>
    <row r="793" ht="15.75" customHeight="1">
      <c r="A793" s="39"/>
      <c r="B793" s="38"/>
      <c r="C793" s="38"/>
      <c r="D793" s="38"/>
      <c r="E793" s="38"/>
      <c r="F793" s="38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40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  <c r="AK793" s="39"/>
    </row>
    <row r="794" ht="15.75" customHeight="1">
      <c r="A794" s="39"/>
      <c r="B794" s="38"/>
      <c r="C794" s="38"/>
      <c r="D794" s="38"/>
      <c r="E794" s="38"/>
      <c r="F794" s="38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40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  <c r="AK794" s="39"/>
    </row>
    <row r="795" ht="15.75" customHeight="1">
      <c r="A795" s="39"/>
      <c r="B795" s="38"/>
      <c r="C795" s="38"/>
      <c r="D795" s="38"/>
      <c r="E795" s="38"/>
      <c r="F795" s="38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40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  <c r="AK795" s="39"/>
    </row>
    <row r="796" ht="15.75" customHeight="1">
      <c r="A796" s="39"/>
      <c r="B796" s="38"/>
      <c r="C796" s="38"/>
      <c r="D796" s="38"/>
      <c r="E796" s="38"/>
      <c r="F796" s="38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40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  <c r="AK796" s="39"/>
    </row>
    <row r="797" ht="15.75" customHeight="1">
      <c r="A797" s="39"/>
      <c r="B797" s="38"/>
      <c r="C797" s="38"/>
      <c r="D797" s="38"/>
      <c r="E797" s="38"/>
      <c r="F797" s="38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40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  <c r="AK797" s="39"/>
    </row>
    <row r="798" ht="15.75" customHeight="1">
      <c r="A798" s="39"/>
      <c r="B798" s="38"/>
      <c r="C798" s="38"/>
      <c r="D798" s="38"/>
      <c r="E798" s="38"/>
      <c r="F798" s="38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40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  <c r="AK798" s="39"/>
    </row>
    <row r="799" ht="15.75" customHeight="1">
      <c r="A799" s="39"/>
      <c r="B799" s="38"/>
      <c r="C799" s="38"/>
      <c r="D799" s="38"/>
      <c r="E799" s="38"/>
      <c r="F799" s="38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40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  <c r="AK799" s="39"/>
    </row>
    <row r="800" ht="15.75" customHeight="1">
      <c r="A800" s="39"/>
      <c r="B800" s="38"/>
      <c r="C800" s="38"/>
      <c r="D800" s="38"/>
      <c r="E800" s="38"/>
      <c r="F800" s="38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40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  <c r="AK800" s="39"/>
    </row>
    <row r="801" ht="15.75" customHeight="1">
      <c r="A801" s="39"/>
      <c r="B801" s="38"/>
      <c r="C801" s="38"/>
      <c r="D801" s="38"/>
      <c r="E801" s="38"/>
      <c r="F801" s="38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40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  <c r="AK801" s="39"/>
    </row>
    <row r="802" ht="15.75" customHeight="1">
      <c r="A802" s="39"/>
      <c r="B802" s="38"/>
      <c r="C802" s="38"/>
      <c r="D802" s="38"/>
      <c r="E802" s="38"/>
      <c r="F802" s="38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40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  <c r="AK802" s="39"/>
    </row>
    <row r="803" ht="15.75" customHeight="1">
      <c r="A803" s="39"/>
      <c r="B803" s="38"/>
      <c r="C803" s="38"/>
      <c r="D803" s="38"/>
      <c r="E803" s="38"/>
      <c r="F803" s="38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40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  <c r="AK803" s="39"/>
    </row>
    <row r="804" ht="15.75" customHeight="1">
      <c r="A804" s="39"/>
      <c r="B804" s="38"/>
      <c r="C804" s="38"/>
      <c r="D804" s="38"/>
      <c r="E804" s="38"/>
      <c r="F804" s="38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40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  <c r="AK804" s="39"/>
    </row>
    <row r="805" ht="15.75" customHeight="1">
      <c r="A805" s="39"/>
      <c r="B805" s="38"/>
      <c r="C805" s="38"/>
      <c r="D805" s="38"/>
      <c r="E805" s="38"/>
      <c r="F805" s="38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40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  <c r="AK805" s="39"/>
    </row>
    <row r="806" ht="15.75" customHeight="1">
      <c r="A806" s="39"/>
      <c r="B806" s="38"/>
      <c r="C806" s="38"/>
      <c r="D806" s="38"/>
      <c r="E806" s="38"/>
      <c r="F806" s="38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40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  <c r="AK806" s="39"/>
    </row>
    <row r="807" ht="15.75" customHeight="1">
      <c r="A807" s="39"/>
      <c r="B807" s="38"/>
      <c r="C807" s="38"/>
      <c r="D807" s="38"/>
      <c r="E807" s="38"/>
      <c r="F807" s="38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40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  <c r="AK807" s="39"/>
    </row>
    <row r="808" ht="15.75" customHeight="1">
      <c r="A808" s="39"/>
      <c r="B808" s="38"/>
      <c r="C808" s="38"/>
      <c r="D808" s="38"/>
      <c r="E808" s="38"/>
      <c r="F808" s="38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40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  <c r="AK808" s="39"/>
    </row>
    <row r="809" ht="15.75" customHeight="1">
      <c r="A809" s="39"/>
      <c r="B809" s="38"/>
      <c r="C809" s="38"/>
      <c r="D809" s="38"/>
      <c r="E809" s="38"/>
      <c r="F809" s="38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40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  <c r="AK809" s="39"/>
    </row>
    <row r="810" ht="15.75" customHeight="1">
      <c r="A810" s="39"/>
      <c r="B810" s="38"/>
      <c r="C810" s="38"/>
      <c r="D810" s="38"/>
      <c r="E810" s="38"/>
      <c r="F810" s="38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40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  <c r="AK810" s="39"/>
    </row>
    <row r="811" ht="15.75" customHeight="1">
      <c r="A811" s="39"/>
      <c r="B811" s="38"/>
      <c r="C811" s="38"/>
      <c r="D811" s="38"/>
      <c r="E811" s="38"/>
      <c r="F811" s="38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40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  <c r="AK811" s="39"/>
    </row>
    <row r="812" ht="15.75" customHeight="1">
      <c r="A812" s="39"/>
      <c r="B812" s="38"/>
      <c r="C812" s="38"/>
      <c r="D812" s="38"/>
      <c r="E812" s="38"/>
      <c r="F812" s="38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40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  <c r="AK812" s="39"/>
    </row>
    <row r="813" ht="15.75" customHeight="1">
      <c r="A813" s="39"/>
      <c r="B813" s="38"/>
      <c r="C813" s="38"/>
      <c r="D813" s="38"/>
      <c r="E813" s="38"/>
      <c r="F813" s="38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40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  <c r="AK813" s="39"/>
    </row>
    <row r="814" ht="15.75" customHeight="1">
      <c r="A814" s="39"/>
      <c r="B814" s="38"/>
      <c r="C814" s="38"/>
      <c r="D814" s="38"/>
      <c r="E814" s="38"/>
      <c r="F814" s="38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40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  <c r="AK814" s="39"/>
    </row>
    <row r="815" ht="15.75" customHeight="1">
      <c r="A815" s="39"/>
      <c r="B815" s="38"/>
      <c r="C815" s="38"/>
      <c r="D815" s="38"/>
      <c r="E815" s="38"/>
      <c r="F815" s="38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40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  <c r="AK815" s="39"/>
    </row>
    <row r="816" ht="15.75" customHeight="1">
      <c r="A816" s="39"/>
      <c r="B816" s="38"/>
      <c r="C816" s="38"/>
      <c r="D816" s="38"/>
      <c r="E816" s="38"/>
      <c r="F816" s="38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40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  <c r="AK816" s="39"/>
    </row>
    <row r="817" ht="15.75" customHeight="1">
      <c r="A817" s="39"/>
      <c r="B817" s="38"/>
      <c r="C817" s="38"/>
      <c r="D817" s="38"/>
      <c r="E817" s="38"/>
      <c r="F817" s="38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40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  <c r="AK817" s="39"/>
    </row>
    <row r="818" ht="15.75" customHeight="1">
      <c r="A818" s="39"/>
      <c r="B818" s="38"/>
      <c r="C818" s="38"/>
      <c r="D818" s="38"/>
      <c r="E818" s="38"/>
      <c r="F818" s="38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40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  <c r="AK818" s="39"/>
    </row>
    <row r="819" ht="15.75" customHeight="1">
      <c r="A819" s="39"/>
      <c r="B819" s="38"/>
      <c r="C819" s="38"/>
      <c r="D819" s="38"/>
      <c r="E819" s="38"/>
      <c r="F819" s="38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40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  <c r="AK819" s="39"/>
    </row>
    <row r="820" ht="15.75" customHeight="1">
      <c r="A820" s="39"/>
      <c r="B820" s="38"/>
      <c r="C820" s="38"/>
      <c r="D820" s="38"/>
      <c r="E820" s="38"/>
      <c r="F820" s="38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40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  <c r="AK820" s="39"/>
    </row>
    <row r="821" ht="15.75" customHeight="1">
      <c r="A821" s="39"/>
      <c r="B821" s="38"/>
      <c r="C821" s="38"/>
      <c r="D821" s="38"/>
      <c r="E821" s="38"/>
      <c r="F821" s="38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40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  <c r="AK821" s="39"/>
    </row>
    <row r="822" ht="15.75" customHeight="1">
      <c r="A822" s="39"/>
      <c r="B822" s="38"/>
      <c r="C822" s="38"/>
      <c r="D822" s="38"/>
      <c r="E822" s="38"/>
      <c r="F822" s="38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40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  <c r="AK822" s="39"/>
    </row>
    <row r="823" ht="15.75" customHeight="1">
      <c r="A823" s="39"/>
      <c r="B823" s="38"/>
      <c r="C823" s="38"/>
      <c r="D823" s="38"/>
      <c r="E823" s="38"/>
      <c r="F823" s="38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40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  <c r="AK823" s="39"/>
    </row>
    <row r="824" ht="15.75" customHeight="1">
      <c r="A824" s="39"/>
      <c r="B824" s="38"/>
      <c r="C824" s="38"/>
      <c r="D824" s="38"/>
      <c r="E824" s="38"/>
      <c r="F824" s="38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40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  <c r="AK824" s="39"/>
    </row>
    <row r="825" ht="15.75" customHeight="1">
      <c r="A825" s="39"/>
      <c r="B825" s="38"/>
      <c r="C825" s="38"/>
      <c r="D825" s="38"/>
      <c r="E825" s="38"/>
      <c r="F825" s="38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40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  <c r="AK825" s="39"/>
    </row>
    <row r="826" ht="15.75" customHeight="1">
      <c r="A826" s="39"/>
      <c r="B826" s="38"/>
      <c r="C826" s="38"/>
      <c r="D826" s="38"/>
      <c r="E826" s="38"/>
      <c r="F826" s="38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40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  <c r="AK826" s="39"/>
    </row>
    <row r="827" ht="15.75" customHeight="1">
      <c r="A827" s="39"/>
      <c r="B827" s="38"/>
      <c r="C827" s="38"/>
      <c r="D827" s="38"/>
      <c r="E827" s="38"/>
      <c r="F827" s="38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40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  <c r="AK827" s="39"/>
    </row>
    <row r="828" ht="15.75" customHeight="1">
      <c r="A828" s="39"/>
      <c r="B828" s="38"/>
      <c r="C828" s="38"/>
      <c r="D828" s="38"/>
      <c r="E828" s="38"/>
      <c r="F828" s="38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40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  <c r="AK828" s="39"/>
    </row>
    <row r="829" ht="15.75" customHeight="1">
      <c r="A829" s="39"/>
      <c r="B829" s="38"/>
      <c r="C829" s="38"/>
      <c r="D829" s="38"/>
      <c r="E829" s="38"/>
      <c r="F829" s="38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40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  <c r="AK829" s="39"/>
    </row>
    <row r="830" ht="15.75" customHeight="1">
      <c r="A830" s="39"/>
      <c r="B830" s="38"/>
      <c r="C830" s="38"/>
      <c r="D830" s="38"/>
      <c r="E830" s="38"/>
      <c r="F830" s="38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40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  <c r="AK830" s="39"/>
    </row>
    <row r="831" ht="15.75" customHeight="1">
      <c r="A831" s="39"/>
      <c r="B831" s="38"/>
      <c r="C831" s="38"/>
      <c r="D831" s="38"/>
      <c r="E831" s="38"/>
      <c r="F831" s="38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40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  <c r="AK831" s="39"/>
    </row>
    <row r="832" ht="15.75" customHeight="1">
      <c r="A832" s="39"/>
      <c r="B832" s="38"/>
      <c r="C832" s="38"/>
      <c r="D832" s="38"/>
      <c r="E832" s="38"/>
      <c r="F832" s="38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40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  <c r="AK832" s="39"/>
    </row>
    <row r="833" ht="15.75" customHeight="1">
      <c r="A833" s="39"/>
      <c r="B833" s="38"/>
      <c r="C833" s="38"/>
      <c r="D833" s="38"/>
      <c r="E833" s="38"/>
      <c r="F833" s="38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40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  <c r="AK833" s="39"/>
    </row>
    <row r="834" ht="15.75" customHeight="1">
      <c r="A834" s="39"/>
      <c r="B834" s="38"/>
      <c r="C834" s="38"/>
      <c r="D834" s="38"/>
      <c r="E834" s="38"/>
      <c r="F834" s="38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40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  <c r="AK834" s="39"/>
    </row>
    <row r="835" ht="15.75" customHeight="1">
      <c r="A835" s="39"/>
      <c r="B835" s="38"/>
      <c r="C835" s="38"/>
      <c r="D835" s="38"/>
      <c r="E835" s="38"/>
      <c r="F835" s="38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40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  <c r="AK835" s="39"/>
    </row>
    <row r="836" ht="15.75" customHeight="1">
      <c r="A836" s="39"/>
      <c r="B836" s="38"/>
      <c r="C836" s="38"/>
      <c r="D836" s="38"/>
      <c r="E836" s="38"/>
      <c r="F836" s="38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40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  <c r="AK836" s="39"/>
    </row>
    <row r="837" ht="15.75" customHeight="1">
      <c r="A837" s="39"/>
      <c r="B837" s="38"/>
      <c r="C837" s="38"/>
      <c r="D837" s="38"/>
      <c r="E837" s="38"/>
      <c r="F837" s="38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40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  <c r="AK837" s="39"/>
    </row>
    <row r="838" ht="15.75" customHeight="1">
      <c r="A838" s="39"/>
      <c r="B838" s="38"/>
      <c r="C838" s="38"/>
      <c r="D838" s="38"/>
      <c r="E838" s="38"/>
      <c r="F838" s="38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40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  <c r="AK838" s="39"/>
    </row>
    <row r="839" ht="15.75" customHeight="1">
      <c r="A839" s="39"/>
      <c r="B839" s="38"/>
      <c r="C839" s="38"/>
      <c r="D839" s="38"/>
      <c r="E839" s="38"/>
      <c r="F839" s="38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40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  <c r="AK839" s="39"/>
    </row>
    <row r="840" ht="15.75" customHeight="1">
      <c r="A840" s="39"/>
      <c r="B840" s="38"/>
      <c r="C840" s="38"/>
      <c r="D840" s="38"/>
      <c r="E840" s="38"/>
      <c r="F840" s="38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40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  <c r="AK840" s="39"/>
    </row>
    <row r="841" ht="15.75" customHeight="1">
      <c r="A841" s="39"/>
      <c r="B841" s="38"/>
      <c r="C841" s="38"/>
      <c r="D841" s="38"/>
      <c r="E841" s="38"/>
      <c r="F841" s="38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40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  <c r="AK841" s="39"/>
    </row>
    <row r="842" ht="15.75" customHeight="1">
      <c r="A842" s="39"/>
      <c r="B842" s="38"/>
      <c r="C842" s="38"/>
      <c r="D842" s="38"/>
      <c r="E842" s="38"/>
      <c r="F842" s="38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40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  <c r="AK842" s="39"/>
    </row>
    <row r="843" ht="15.75" customHeight="1">
      <c r="A843" s="39"/>
      <c r="B843" s="38"/>
      <c r="C843" s="38"/>
      <c r="D843" s="38"/>
      <c r="E843" s="38"/>
      <c r="F843" s="38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40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  <c r="AK843" s="39"/>
    </row>
    <row r="844" ht="15.75" customHeight="1">
      <c r="A844" s="39"/>
      <c r="B844" s="38"/>
      <c r="C844" s="38"/>
      <c r="D844" s="38"/>
      <c r="E844" s="38"/>
      <c r="F844" s="38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40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  <c r="AK844" s="39"/>
    </row>
    <row r="845" ht="15.75" customHeight="1">
      <c r="A845" s="39"/>
      <c r="B845" s="38"/>
      <c r="C845" s="38"/>
      <c r="D845" s="38"/>
      <c r="E845" s="38"/>
      <c r="F845" s="38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40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  <c r="AK845" s="39"/>
    </row>
    <row r="846" ht="15.75" customHeight="1">
      <c r="A846" s="39"/>
      <c r="B846" s="38"/>
      <c r="C846" s="38"/>
      <c r="D846" s="38"/>
      <c r="E846" s="38"/>
      <c r="F846" s="38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40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  <c r="AK846" s="39"/>
    </row>
    <row r="847" ht="15.75" customHeight="1">
      <c r="A847" s="39"/>
      <c r="B847" s="38"/>
      <c r="C847" s="38"/>
      <c r="D847" s="38"/>
      <c r="E847" s="38"/>
      <c r="F847" s="38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40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  <c r="AK847" s="39"/>
    </row>
    <row r="848" ht="15.75" customHeight="1">
      <c r="A848" s="39"/>
      <c r="B848" s="38"/>
      <c r="C848" s="38"/>
      <c r="D848" s="38"/>
      <c r="E848" s="38"/>
      <c r="F848" s="38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40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  <c r="AK848" s="39"/>
    </row>
    <row r="849" ht="15.75" customHeight="1">
      <c r="A849" s="39"/>
      <c r="B849" s="38"/>
      <c r="C849" s="38"/>
      <c r="D849" s="38"/>
      <c r="E849" s="38"/>
      <c r="F849" s="38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40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  <c r="AK849" s="39"/>
    </row>
    <row r="850" ht="15.75" customHeight="1">
      <c r="A850" s="39"/>
      <c r="B850" s="38"/>
      <c r="C850" s="38"/>
      <c r="D850" s="38"/>
      <c r="E850" s="38"/>
      <c r="F850" s="38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40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  <c r="AK850" s="39"/>
    </row>
    <row r="851" ht="15.75" customHeight="1">
      <c r="A851" s="39"/>
      <c r="B851" s="38"/>
      <c r="C851" s="38"/>
      <c r="D851" s="38"/>
      <c r="E851" s="38"/>
      <c r="F851" s="38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40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  <c r="AK851" s="39"/>
    </row>
    <row r="852" ht="15.75" customHeight="1">
      <c r="A852" s="39"/>
      <c r="B852" s="38"/>
      <c r="C852" s="38"/>
      <c r="D852" s="38"/>
      <c r="E852" s="38"/>
      <c r="F852" s="38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40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  <c r="AK852" s="39"/>
    </row>
    <row r="853" ht="15.75" customHeight="1">
      <c r="A853" s="39"/>
      <c r="B853" s="38"/>
      <c r="C853" s="38"/>
      <c r="D853" s="38"/>
      <c r="E853" s="38"/>
      <c r="F853" s="38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40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  <c r="AK853" s="39"/>
    </row>
    <row r="854" ht="15.75" customHeight="1">
      <c r="A854" s="39"/>
      <c r="B854" s="38"/>
      <c r="C854" s="38"/>
      <c r="D854" s="38"/>
      <c r="E854" s="38"/>
      <c r="F854" s="38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40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  <c r="AK854" s="39"/>
    </row>
    <row r="855" ht="15.75" customHeight="1">
      <c r="A855" s="39"/>
      <c r="B855" s="38"/>
      <c r="C855" s="38"/>
      <c r="D855" s="38"/>
      <c r="E855" s="38"/>
      <c r="F855" s="38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40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  <c r="AK855" s="39"/>
    </row>
    <row r="856" ht="15.75" customHeight="1">
      <c r="A856" s="39"/>
      <c r="B856" s="38"/>
      <c r="C856" s="38"/>
      <c r="D856" s="38"/>
      <c r="E856" s="38"/>
      <c r="F856" s="38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40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  <c r="AK856" s="39"/>
    </row>
    <row r="857" ht="15.75" customHeight="1">
      <c r="A857" s="39"/>
      <c r="B857" s="38"/>
      <c r="C857" s="38"/>
      <c r="D857" s="38"/>
      <c r="E857" s="38"/>
      <c r="F857" s="38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40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  <c r="AK857" s="39"/>
    </row>
    <row r="858" ht="15.75" customHeight="1">
      <c r="A858" s="39"/>
      <c r="B858" s="38"/>
      <c r="C858" s="38"/>
      <c r="D858" s="38"/>
      <c r="E858" s="38"/>
      <c r="F858" s="38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40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  <c r="AK858" s="39"/>
    </row>
    <row r="859" ht="15.75" customHeight="1">
      <c r="A859" s="39"/>
      <c r="B859" s="38"/>
      <c r="C859" s="38"/>
      <c r="D859" s="38"/>
      <c r="E859" s="38"/>
      <c r="F859" s="38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40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  <c r="AK859" s="39"/>
    </row>
    <row r="860" ht="15.75" customHeight="1">
      <c r="A860" s="39"/>
      <c r="B860" s="38"/>
      <c r="C860" s="38"/>
      <c r="D860" s="38"/>
      <c r="E860" s="38"/>
      <c r="F860" s="38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40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  <c r="AK860" s="39"/>
    </row>
    <row r="861" ht="15.75" customHeight="1">
      <c r="A861" s="39"/>
      <c r="B861" s="38"/>
      <c r="C861" s="38"/>
      <c r="D861" s="38"/>
      <c r="E861" s="38"/>
      <c r="F861" s="38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40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  <c r="AK861" s="39"/>
    </row>
    <row r="862" ht="15.75" customHeight="1">
      <c r="A862" s="39"/>
      <c r="B862" s="38"/>
      <c r="C862" s="38"/>
      <c r="D862" s="38"/>
      <c r="E862" s="38"/>
      <c r="F862" s="38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40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  <c r="AK862" s="39"/>
    </row>
    <row r="863" ht="15.75" customHeight="1">
      <c r="A863" s="39"/>
      <c r="B863" s="38"/>
      <c r="C863" s="38"/>
      <c r="D863" s="38"/>
      <c r="E863" s="38"/>
      <c r="F863" s="38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40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  <c r="AK863" s="39"/>
    </row>
    <row r="864" ht="15.75" customHeight="1">
      <c r="A864" s="39"/>
      <c r="B864" s="38"/>
      <c r="C864" s="38"/>
      <c r="D864" s="38"/>
      <c r="E864" s="38"/>
      <c r="F864" s="38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40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  <c r="AK864" s="39"/>
    </row>
    <row r="865" ht="15.75" customHeight="1">
      <c r="A865" s="39"/>
      <c r="B865" s="38"/>
      <c r="C865" s="38"/>
      <c r="D865" s="38"/>
      <c r="E865" s="38"/>
      <c r="F865" s="38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40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  <c r="AK865" s="39"/>
    </row>
    <row r="866" ht="15.75" customHeight="1">
      <c r="A866" s="39"/>
      <c r="B866" s="38"/>
      <c r="C866" s="38"/>
      <c r="D866" s="38"/>
      <c r="E866" s="38"/>
      <c r="F866" s="38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40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  <c r="AK866" s="39"/>
    </row>
    <row r="867" ht="15.75" customHeight="1">
      <c r="A867" s="39"/>
      <c r="B867" s="38"/>
      <c r="C867" s="38"/>
      <c r="D867" s="38"/>
      <c r="E867" s="38"/>
      <c r="F867" s="38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40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  <c r="AK867" s="39"/>
    </row>
    <row r="868" ht="15.75" customHeight="1">
      <c r="A868" s="39"/>
      <c r="B868" s="38"/>
      <c r="C868" s="38"/>
      <c r="D868" s="38"/>
      <c r="E868" s="38"/>
      <c r="F868" s="38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40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  <c r="AK868" s="39"/>
    </row>
    <row r="869" ht="15.75" customHeight="1">
      <c r="A869" s="39"/>
      <c r="B869" s="38"/>
      <c r="C869" s="38"/>
      <c r="D869" s="38"/>
      <c r="E869" s="38"/>
      <c r="F869" s="38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40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  <c r="AK869" s="39"/>
    </row>
    <row r="870" ht="15.75" customHeight="1">
      <c r="A870" s="39"/>
      <c r="B870" s="38"/>
      <c r="C870" s="38"/>
      <c r="D870" s="38"/>
      <c r="E870" s="38"/>
      <c r="F870" s="38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40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  <c r="AK870" s="39"/>
    </row>
    <row r="871" ht="15.75" customHeight="1">
      <c r="A871" s="39"/>
      <c r="B871" s="38"/>
      <c r="C871" s="38"/>
      <c r="D871" s="38"/>
      <c r="E871" s="38"/>
      <c r="F871" s="38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40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  <c r="AK871" s="39"/>
    </row>
    <row r="872" ht="15.75" customHeight="1">
      <c r="A872" s="39"/>
      <c r="B872" s="38"/>
      <c r="C872" s="38"/>
      <c r="D872" s="38"/>
      <c r="E872" s="38"/>
      <c r="F872" s="38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40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  <c r="AK872" s="39"/>
    </row>
    <row r="873" ht="15.75" customHeight="1">
      <c r="A873" s="39"/>
      <c r="B873" s="38"/>
      <c r="C873" s="38"/>
      <c r="D873" s="38"/>
      <c r="E873" s="38"/>
      <c r="F873" s="38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40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  <c r="AK873" s="39"/>
    </row>
    <row r="874" ht="15.75" customHeight="1">
      <c r="A874" s="39"/>
      <c r="B874" s="38"/>
      <c r="C874" s="38"/>
      <c r="D874" s="38"/>
      <c r="E874" s="38"/>
      <c r="F874" s="38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40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  <c r="AK874" s="39"/>
    </row>
    <row r="875" ht="15.75" customHeight="1">
      <c r="A875" s="39"/>
      <c r="B875" s="38"/>
      <c r="C875" s="38"/>
      <c r="D875" s="38"/>
      <c r="E875" s="38"/>
      <c r="F875" s="38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40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  <c r="AK875" s="39"/>
    </row>
    <row r="876" ht="15.75" customHeight="1">
      <c r="A876" s="39"/>
      <c r="B876" s="38"/>
      <c r="C876" s="38"/>
      <c r="D876" s="38"/>
      <c r="E876" s="38"/>
      <c r="F876" s="38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40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  <c r="AK876" s="39"/>
    </row>
    <row r="877" ht="15.75" customHeight="1">
      <c r="A877" s="39"/>
      <c r="B877" s="38"/>
      <c r="C877" s="38"/>
      <c r="D877" s="38"/>
      <c r="E877" s="38"/>
      <c r="F877" s="38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40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  <c r="AK877" s="39"/>
    </row>
    <row r="878" ht="15.75" customHeight="1">
      <c r="A878" s="39"/>
      <c r="B878" s="38"/>
      <c r="C878" s="38"/>
      <c r="D878" s="38"/>
      <c r="E878" s="38"/>
      <c r="F878" s="38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40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  <c r="AK878" s="39"/>
    </row>
    <row r="879" ht="15.75" customHeight="1">
      <c r="A879" s="39"/>
      <c r="B879" s="38"/>
      <c r="C879" s="38"/>
      <c r="D879" s="38"/>
      <c r="E879" s="38"/>
      <c r="F879" s="38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40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  <c r="AK879" s="39"/>
    </row>
    <row r="880" ht="15.75" customHeight="1">
      <c r="A880" s="39"/>
      <c r="B880" s="38"/>
      <c r="C880" s="38"/>
      <c r="D880" s="38"/>
      <c r="E880" s="38"/>
      <c r="F880" s="38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40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  <c r="AK880" s="39"/>
    </row>
    <row r="881" ht="15.75" customHeight="1">
      <c r="A881" s="39"/>
      <c r="B881" s="38"/>
      <c r="C881" s="38"/>
      <c r="D881" s="38"/>
      <c r="E881" s="38"/>
      <c r="F881" s="38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40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  <c r="AK881" s="39"/>
    </row>
    <row r="882" ht="15.75" customHeight="1">
      <c r="A882" s="39"/>
      <c r="B882" s="38"/>
      <c r="C882" s="38"/>
      <c r="D882" s="38"/>
      <c r="E882" s="38"/>
      <c r="F882" s="38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40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  <c r="AK882" s="39"/>
    </row>
    <row r="883" ht="15.75" customHeight="1">
      <c r="A883" s="39"/>
      <c r="B883" s="38"/>
      <c r="C883" s="38"/>
      <c r="D883" s="38"/>
      <c r="E883" s="38"/>
      <c r="F883" s="38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40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  <c r="AK883" s="39"/>
    </row>
    <row r="884" ht="15.75" customHeight="1">
      <c r="A884" s="39"/>
      <c r="B884" s="38"/>
      <c r="C884" s="38"/>
      <c r="D884" s="38"/>
      <c r="E884" s="38"/>
      <c r="F884" s="38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40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  <c r="AK884" s="39"/>
    </row>
    <row r="885" ht="15.75" customHeight="1">
      <c r="A885" s="39"/>
      <c r="B885" s="38"/>
      <c r="C885" s="38"/>
      <c r="D885" s="38"/>
      <c r="E885" s="38"/>
      <c r="F885" s="38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40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  <c r="AK885" s="39"/>
    </row>
    <row r="886" ht="15.75" customHeight="1">
      <c r="A886" s="39"/>
      <c r="B886" s="38"/>
      <c r="C886" s="38"/>
      <c r="D886" s="38"/>
      <c r="E886" s="38"/>
      <c r="F886" s="38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40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  <c r="AK886" s="39"/>
    </row>
    <row r="887" ht="15.75" customHeight="1">
      <c r="A887" s="39"/>
      <c r="B887" s="38"/>
      <c r="C887" s="38"/>
      <c r="D887" s="38"/>
      <c r="E887" s="38"/>
      <c r="F887" s="38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40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  <c r="AK887" s="39"/>
    </row>
    <row r="888" ht="15.75" customHeight="1">
      <c r="A888" s="39"/>
      <c r="B888" s="38"/>
      <c r="C888" s="38"/>
      <c r="D888" s="38"/>
      <c r="E888" s="38"/>
      <c r="F888" s="38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40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  <c r="AK888" s="39"/>
    </row>
    <row r="889" ht="15.75" customHeight="1">
      <c r="A889" s="39"/>
      <c r="B889" s="38"/>
      <c r="C889" s="38"/>
      <c r="D889" s="38"/>
      <c r="E889" s="38"/>
      <c r="F889" s="38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40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  <c r="AK889" s="39"/>
    </row>
    <row r="890" ht="15.75" customHeight="1">
      <c r="A890" s="39"/>
      <c r="B890" s="38"/>
      <c r="C890" s="38"/>
      <c r="D890" s="38"/>
      <c r="E890" s="38"/>
      <c r="F890" s="38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40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  <c r="AK890" s="39"/>
    </row>
    <row r="891" ht="15.75" customHeight="1">
      <c r="A891" s="39"/>
      <c r="B891" s="38"/>
      <c r="C891" s="38"/>
      <c r="D891" s="38"/>
      <c r="E891" s="38"/>
      <c r="F891" s="38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40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  <c r="AK891" s="39"/>
    </row>
    <row r="892" ht="15.75" customHeight="1">
      <c r="A892" s="39"/>
      <c r="B892" s="38"/>
      <c r="C892" s="38"/>
      <c r="D892" s="38"/>
      <c r="E892" s="38"/>
      <c r="F892" s="38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40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  <c r="AK892" s="39"/>
    </row>
    <row r="893" ht="15.75" customHeight="1">
      <c r="A893" s="39"/>
      <c r="B893" s="38"/>
      <c r="C893" s="38"/>
      <c r="D893" s="38"/>
      <c r="E893" s="38"/>
      <c r="F893" s="38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40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  <c r="AK893" s="39"/>
    </row>
    <row r="894" ht="15.75" customHeight="1">
      <c r="A894" s="39"/>
      <c r="B894" s="38"/>
      <c r="C894" s="38"/>
      <c r="D894" s="38"/>
      <c r="E894" s="38"/>
      <c r="F894" s="38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40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  <c r="AK894" s="39"/>
    </row>
    <row r="895" ht="15.75" customHeight="1">
      <c r="A895" s="39"/>
      <c r="B895" s="38"/>
      <c r="C895" s="38"/>
      <c r="D895" s="38"/>
      <c r="E895" s="38"/>
      <c r="F895" s="38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40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  <c r="AK895" s="39"/>
    </row>
    <row r="896" ht="15.75" customHeight="1">
      <c r="A896" s="39"/>
      <c r="B896" s="38"/>
      <c r="C896" s="38"/>
      <c r="D896" s="38"/>
      <c r="E896" s="38"/>
      <c r="F896" s="38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40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  <c r="AK896" s="39"/>
    </row>
    <row r="897" ht="15.75" customHeight="1">
      <c r="A897" s="39"/>
      <c r="B897" s="38"/>
      <c r="C897" s="38"/>
      <c r="D897" s="38"/>
      <c r="E897" s="38"/>
      <c r="F897" s="38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40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  <c r="AK897" s="39"/>
    </row>
    <row r="898" ht="15.75" customHeight="1">
      <c r="A898" s="39"/>
      <c r="B898" s="38"/>
      <c r="C898" s="38"/>
      <c r="D898" s="38"/>
      <c r="E898" s="38"/>
      <c r="F898" s="38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40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  <c r="AK898" s="39"/>
    </row>
    <row r="899" ht="15.75" customHeight="1">
      <c r="A899" s="39"/>
      <c r="B899" s="38"/>
      <c r="C899" s="38"/>
      <c r="D899" s="38"/>
      <c r="E899" s="38"/>
      <c r="F899" s="38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40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  <c r="AK899" s="39"/>
    </row>
    <row r="900" ht="15.75" customHeight="1">
      <c r="A900" s="39"/>
      <c r="B900" s="38"/>
      <c r="C900" s="38"/>
      <c r="D900" s="38"/>
      <c r="E900" s="38"/>
      <c r="F900" s="38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40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  <c r="AK900" s="39"/>
    </row>
    <row r="901" ht="15.75" customHeight="1">
      <c r="A901" s="39"/>
      <c r="B901" s="38"/>
      <c r="C901" s="38"/>
      <c r="D901" s="38"/>
      <c r="E901" s="38"/>
      <c r="F901" s="38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40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  <c r="AK901" s="39"/>
    </row>
    <row r="902" ht="15.75" customHeight="1">
      <c r="A902" s="39"/>
      <c r="B902" s="38"/>
      <c r="C902" s="38"/>
      <c r="D902" s="38"/>
      <c r="E902" s="38"/>
      <c r="F902" s="38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40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  <c r="AK902" s="39"/>
    </row>
    <row r="903" ht="15.75" customHeight="1">
      <c r="A903" s="39"/>
      <c r="B903" s="38"/>
      <c r="C903" s="38"/>
      <c r="D903" s="38"/>
      <c r="E903" s="38"/>
      <c r="F903" s="38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40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  <c r="AK903" s="39"/>
    </row>
    <row r="904" ht="15.75" customHeight="1">
      <c r="A904" s="39"/>
      <c r="B904" s="38"/>
      <c r="C904" s="38"/>
      <c r="D904" s="38"/>
      <c r="E904" s="38"/>
      <c r="F904" s="38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40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  <c r="AK904" s="39"/>
    </row>
    <row r="905" ht="15.75" customHeight="1">
      <c r="A905" s="39"/>
      <c r="B905" s="38"/>
      <c r="C905" s="38"/>
      <c r="D905" s="38"/>
      <c r="E905" s="38"/>
      <c r="F905" s="38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40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  <c r="AK905" s="39"/>
    </row>
    <row r="906" ht="15.75" customHeight="1">
      <c r="A906" s="39"/>
      <c r="B906" s="38"/>
      <c r="C906" s="38"/>
      <c r="D906" s="38"/>
      <c r="E906" s="38"/>
      <c r="F906" s="38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40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  <c r="AK906" s="39"/>
    </row>
    <row r="907" ht="15.75" customHeight="1">
      <c r="A907" s="39"/>
      <c r="B907" s="38"/>
      <c r="C907" s="38"/>
      <c r="D907" s="38"/>
      <c r="E907" s="38"/>
      <c r="F907" s="38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40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  <c r="AK907" s="39"/>
    </row>
    <row r="908" ht="15.75" customHeight="1">
      <c r="A908" s="39"/>
      <c r="B908" s="38"/>
      <c r="C908" s="38"/>
      <c r="D908" s="38"/>
      <c r="E908" s="38"/>
      <c r="F908" s="38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40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</row>
    <row r="909" ht="15.75" customHeight="1">
      <c r="A909" s="39"/>
      <c r="B909" s="38"/>
      <c r="C909" s="38"/>
      <c r="D909" s="38"/>
      <c r="E909" s="38"/>
      <c r="F909" s="38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40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  <c r="AK909" s="39"/>
    </row>
    <row r="910" ht="15.75" customHeight="1">
      <c r="A910" s="39"/>
      <c r="B910" s="38"/>
      <c r="C910" s="38"/>
      <c r="D910" s="38"/>
      <c r="E910" s="38"/>
      <c r="F910" s="38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40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</row>
    <row r="911" ht="15.75" customHeight="1">
      <c r="A911" s="39"/>
      <c r="B911" s="38"/>
      <c r="C911" s="38"/>
      <c r="D911" s="38"/>
      <c r="E911" s="38"/>
      <c r="F911" s="38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40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  <c r="AK911" s="39"/>
    </row>
    <row r="912" ht="15.75" customHeight="1">
      <c r="A912" s="39"/>
      <c r="B912" s="38"/>
      <c r="C912" s="38"/>
      <c r="D912" s="38"/>
      <c r="E912" s="38"/>
      <c r="F912" s="38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40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</row>
    <row r="913" ht="15.75" customHeight="1">
      <c r="A913" s="39"/>
      <c r="B913" s="38"/>
      <c r="C913" s="38"/>
      <c r="D913" s="38"/>
      <c r="E913" s="38"/>
      <c r="F913" s="38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40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  <c r="AK913" s="39"/>
    </row>
    <row r="914" ht="15.75" customHeight="1">
      <c r="A914" s="39"/>
      <c r="B914" s="38"/>
      <c r="C914" s="38"/>
      <c r="D914" s="38"/>
      <c r="E914" s="38"/>
      <c r="F914" s="38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40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</row>
    <row r="915" ht="15.75" customHeight="1">
      <c r="A915" s="39"/>
      <c r="B915" s="38"/>
      <c r="C915" s="38"/>
      <c r="D915" s="38"/>
      <c r="E915" s="38"/>
      <c r="F915" s="38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40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  <c r="AK915" s="39"/>
    </row>
    <row r="916" ht="15.75" customHeight="1">
      <c r="A916" s="39"/>
      <c r="B916" s="38"/>
      <c r="C916" s="38"/>
      <c r="D916" s="38"/>
      <c r="E916" s="38"/>
      <c r="F916" s="38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40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</row>
    <row r="917" ht="15.75" customHeight="1">
      <c r="A917" s="39"/>
      <c r="B917" s="38"/>
      <c r="C917" s="38"/>
      <c r="D917" s="38"/>
      <c r="E917" s="38"/>
      <c r="F917" s="38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40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  <c r="AK917" s="39"/>
    </row>
    <row r="918" ht="15.75" customHeight="1">
      <c r="A918" s="39"/>
      <c r="B918" s="38"/>
      <c r="C918" s="38"/>
      <c r="D918" s="38"/>
      <c r="E918" s="38"/>
      <c r="F918" s="38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40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</row>
    <row r="919" ht="15.75" customHeight="1">
      <c r="A919" s="39"/>
      <c r="B919" s="38"/>
      <c r="C919" s="38"/>
      <c r="D919" s="38"/>
      <c r="E919" s="38"/>
      <c r="F919" s="38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40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  <c r="AK919" s="39"/>
    </row>
    <row r="920" ht="15.75" customHeight="1">
      <c r="A920" s="39"/>
      <c r="B920" s="38"/>
      <c r="C920" s="38"/>
      <c r="D920" s="38"/>
      <c r="E920" s="38"/>
      <c r="F920" s="38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40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</row>
    <row r="921" ht="15.75" customHeight="1">
      <c r="A921" s="39"/>
      <c r="B921" s="38"/>
      <c r="C921" s="38"/>
      <c r="D921" s="38"/>
      <c r="E921" s="38"/>
      <c r="F921" s="38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40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  <c r="AK921" s="39"/>
    </row>
    <row r="922" ht="15.75" customHeight="1">
      <c r="A922" s="39"/>
      <c r="B922" s="38"/>
      <c r="C922" s="38"/>
      <c r="D922" s="38"/>
      <c r="E922" s="38"/>
      <c r="F922" s="38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40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</row>
    <row r="923" ht="15.75" customHeight="1">
      <c r="A923" s="39"/>
      <c r="B923" s="38"/>
      <c r="C923" s="38"/>
      <c r="D923" s="38"/>
      <c r="E923" s="38"/>
      <c r="F923" s="38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40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  <c r="AK923" s="39"/>
    </row>
    <row r="924" ht="15.75" customHeight="1">
      <c r="A924" s="39"/>
      <c r="B924" s="38"/>
      <c r="C924" s="38"/>
      <c r="D924" s="38"/>
      <c r="E924" s="38"/>
      <c r="F924" s="38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40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</row>
    <row r="925" ht="15.75" customHeight="1">
      <c r="A925" s="39"/>
      <c r="B925" s="38"/>
      <c r="C925" s="38"/>
      <c r="D925" s="38"/>
      <c r="E925" s="38"/>
      <c r="F925" s="38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40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  <c r="AK925" s="39"/>
    </row>
    <row r="926" ht="15.75" customHeight="1">
      <c r="A926" s="39"/>
      <c r="B926" s="38"/>
      <c r="C926" s="38"/>
      <c r="D926" s="38"/>
      <c r="E926" s="38"/>
      <c r="F926" s="38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40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</row>
    <row r="927" ht="15.75" customHeight="1">
      <c r="A927" s="39"/>
      <c r="B927" s="38"/>
      <c r="C927" s="38"/>
      <c r="D927" s="38"/>
      <c r="E927" s="38"/>
      <c r="F927" s="38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40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  <c r="AK927" s="39"/>
    </row>
    <row r="928" ht="15.75" customHeight="1">
      <c r="A928" s="39"/>
      <c r="B928" s="38"/>
      <c r="C928" s="38"/>
      <c r="D928" s="38"/>
      <c r="E928" s="38"/>
      <c r="F928" s="38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40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</row>
    <row r="929" ht="15.75" customHeight="1">
      <c r="A929" s="39"/>
      <c r="B929" s="38"/>
      <c r="C929" s="38"/>
      <c r="D929" s="38"/>
      <c r="E929" s="38"/>
      <c r="F929" s="38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40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  <c r="AK929" s="39"/>
    </row>
    <row r="930" ht="15.75" customHeight="1">
      <c r="A930" s="39"/>
      <c r="B930" s="38"/>
      <c r="C930" s="38"/>
      <c r="D930" s="38"/>
      <c r="E930" s="38"/>
      <c r="F930" s="38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40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</row>
    <row r="931" ht="15.75" customHeight="1">
      <c r="A931" s="39"/>
      <c r="B931" s="38"/>
      <c r="C931" s="38"/>
      <c r="D931" s="38"/>
      <c r="E931" s="38"/>
      <c r="F931" s="38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40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  <c r="AK931" s="39"/>
    </row>
    <row r="932" ht="15.75" customHeight="1">
      <c r="A932" s="39"/>
      <c r="B932" s="38"/>
      <c r="C932" s="38"/>
      <c r="D932" s="38"/>
      <c r="E932" s="38"/>
      <c r="F932" s="38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40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</row>
    <row r="933" ht="15.75" customHeight="1">
      <c r="A933" s="39"/>
      <c r="B933" s="38"/>
      <c r="C933" s="38"/>
      <c r="D933" s="38"/>
      <c r="E933" s="38"/>
      <c r="F933" s="38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40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  <c r="AK933" s="39"/>
    </row>
    <row r="934" ht="15.75" customHeight="1">
      <c r="A934" s="39"/>
      <c r="B934" s="38"/>
      <c r="C934" s="38"/>
      <c r="D934" s="38"/>
      <c r="E934" s="38"/>
      <c r="F934" s="38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40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</row>
    <row r="935" ht="15.75" customHeight="1">
      <c r="A935" s="39"/>
      <c r="B935" s="38"/>
      <c r="C935" s="38"/>
      <c r="D935" s="38"/>
      <c r="E935" s="38"/>
      <c r="F935" s="38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40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  <c r="AK935" s="39"/>
    </row>
    <row r="936" ht="15.75" customHeight="1">
      <c r="A936" s="39"/>
      <c r="B936" s="38"/>
      <c r="C936" s="38"/>
      <c r="D936" s="38"/>
      <c r="E936" s="38"/>
      <c r="F936" s="38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40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</row>
    <row r="937" ht="15.75" customHeight="1">
      <c r="A937" s="39"/>
      <c r="B937" s="38"/>
      <c r="C937" s="38"/>
      <c r="D937" s="38"/>
      <c r="E937" s="38"/>
      <c r="F937" s="38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40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  <c r="AK937" s="39"/>
    </row>
    <row r="938" ht="15.75" customHeight="1">
      <c r="A938" s="39"/>
      <c r="B938" s="38"/>
      <c r="C938" s="38"/>
      <c r="D938" s="38"/>
      <c r="E938" s="38"/>
      <c r="F938" s="38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40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</row>
    <row r="939" ht="15.75" customHeight="1">
      <c r="A939" s="39"/>
      <c r="B939" s="38"/>
      <c r="C939" s="38"/>
      <c r="D939" s="38"/>
      <c r="E939" s="38"/>
      <c r="F939" s="38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40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  <c r="AK939" s="39"/>
    </row>
    <row r="940" ht="15.75" customHeight="1">
      <c r="A940" s="39"/>
      <c r="B940" s="38"/>
      <c r="C940" s="38"/>
      <c r="D940" s="38"/>
      <c r="E940" s="38"/>
      <c r="F940" s="38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40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</row>
    <row r="941" ht="15.75" customHeight="1">
      <c r="A941" s="39"/>
      <c r="B941" s="38"/>
      <c r="C941" s="38"/>
      <c r="D941" s="38"/>
      <c r="E941" s="38"/>
      <c r="F941" s="38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40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  <c r="AK941" s="39"/>
    </row>
    <row r="942" ht="15.75" customHeight="1">
      <c r="A942" s="39"/>
      <c r="B942" s="38"/>
      <c r="C942" s="38"/>
      <c r="D942" s="38"/>
      <c r="E942" s="38"/>
      <c r="F942" s="38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40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</row>
    <row r="943" ht="15.75" customHeight="1">
      <c r="A943" s="39"/>
      <c r="B943" s="38"/>
      <c r="C943" s="38"/>
      <c r="D943" s="38"/>
      <c r="E943" s="38"/>
      <c r="F943" s="38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40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  <c r="AK943" s="39"/>
    </row>
    <row r="944" ht="15.75" customHeight="1">
      <c r="A944" s="39"/>
      <c r="B944" s="38"/>
      <c r="C944" s="38"/>
      <c r="D944" s="38"/>
      <c r="E944" s="38"/>
      <c r="F944" s="38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40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</row>
    <row r="945" ht="15.75" customHeight="1">
      <c r="A945" s="39"/>
      <c r="B945" s="38"/>
      <c r="C945" s="38"/>
      <c r="D945" s="38"/>
      <c r="E945" s="38"/>
      <c r="F945" s="38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40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  <c r="AK945" s="39"/>
    </row>
    <row r="946" ht="15.75" customHeight="1">
      <c r="A946" s="39"/>
      <c r="B946" s="38"/>
      <c r="C946" s="38"/>
      <c r="D946" s="38"/>
      <c r="E946" s="38"/>
      <c r="F946" s="38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40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</row>
    <row r="947" ht="15.75" customHeight="1">
      <c r="A947" s="39"/>
      <c r="B947" s="38"/>
      <c r="C947" s="38"/>
      <c r="D947" s="38"/>
      <c r="E947" s="38"/>
      <c r="F947" s="38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40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  <c r="AK947" s="39"/>
    </row>
    <row r="948" ht="15.75" customHeight="1">
      <c r="A948" s="39"/>
      <c r="B948" s="38"/>
      <c r="C948" s="38"/>
      <c r="D948" s="38"/>
      <c r="E948" s="38"/>
      <c r="F948" s="38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40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</row>
    <row r="949" ht="15.75" customHeight="1">
      <c r="A949" s="39"/>
      <c r="B949" s="38"/>
      <c r="C949" s="38"/>
      <c r="D949" s="38"/>
      <c r="E949" s="38"/>
      <c r="F949" s="38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40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  <c r="AK949" s="39"/>
    </row>
    <row r="950" ht="15.75" customHeight="1">
      <c r="A950" s="39"/>
      <c r="B950" s="38"/>
      <c r="C950" s="38"/>
      <c r="D950" s="38"/>
      <c r="E950" s="38"/>
      <c r="F950" s="38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40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</row>
    <row r="951" ht="15.75" customHeight="1">
      <c r="A951" s="39"/>
      <c r="B951" s="38"/>
      <c r="C951" s="38"/>
      <c r="D951" s="38"/>
      <c r="E951" s="38"/>
      <c r="F951" s="38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40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  <c r="AK951" s="39"/>
    </row>
    <row r="952" ht="15.75" customHeight="1">
      <c r="A952" s="39"/>
      <c r="B952" s="38"/>
      <c r="C952" s="38"/>
      <c r="D952" s="38"/>
      <c r="E952" s="38"/>
      <c r="F952" s="38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40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</row>
    <row r="953" ht="15.75" customHeight="1">
      <c r="A953" s="39"/>
      <c r="B953" s="38"/>
      <c r="C953" s="38"/>
      <c r="D953" s="38"/>
      <c r="E953" s="38"/>
      <c r="F953" s="38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40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  <c r="AK953" s="39"/>
    </row>
    <row r="954" ht="15.75" customHeight="1">
      <c r="A954" s="39"/>
      <c r="B954" s="38"/>
      <c r="C954" s="38"/>
      <c r="D954" s="38"/>
      <c r="E954" s="38"/>
      <c r="F954" s="38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40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</row>
    <row r="955" ht="15.75" customHeight="1">
      <c r="A955" s="39"/>
      <c r="B955" s="38"/>
      <c r="C955" s="38"/>
      <c r="D955" s="38"/>
      <c r="E955" s="38"/>
      <c r="F955" s="38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40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  <c r="AK955" s="39"/>
    </row>
    <row r="956" ht="15.75" customHeight="1">
      <c r="A956" s="39"/>
      <c r="B956" s="38"/>
      <c r="C956" s="38"/>
      <c r="D956" s="38"/>
      <c r="E956" s="38"/>
      <c r="F956" s="38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40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</row>
    <row r="957" ht="15.75" customHeight="1">
      <c r="A957" s="39"/>
      <c r="B957" s="38"/>
      <c r="C957" s="38"/>
      <c r="D957" s="38"/>
      <c r="E957" s="38"/>
      <c r="F957" s="38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40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  <c r="AK957" s="39"/>
    </row>
    <row r="958" ht="15.75" customHeight="1">
      <c r="A958" s="39"/>
      <c r="B958" s="38"/>
      <c r="C958" s="38"/>
      <c r="D958" s="38"/>
      <c r="E958" s="38"/>
      <c r="F958" s="38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40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</row>
    <row r="959" ht="15.75" customHeight="1">
      <c r="A959" s="39"/>
      <c r="B959" s="38"/>
      <c r="C959" s="38"/>
      <c r="D959" s="38"/>
      <c r="E959" s="38"/>
      <c r="F959" s="38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40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  <c r="AK959" s="39"/>
    </row>
    <row r="960" ht="15.75" customHeight="1">
      <c r="A960" s="39"/>
      <c r="B960" s="38"/>
      <c r="C960" s="38"/>
      <c r="D960" s="38"/>
      <c r="E960" s="38"/>
      <c r="F960" s="38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40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</row>
    <row r="961" ht="15.75" customHeight="1">
      <c r="A961" s="39"/>
      <c r="B961" s="38"/>
      <c r="C961" s="38"/>
      <c r="D961" s="38"/>
      <c r="E961" s="38"/>
      <c r="F961" s="38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40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  <c r="AK961" s="39"/>
    </row>
    <row r="962" ht="15.75" customHeight="1">
      <c r="A962" s="39"/>
      <c r="B962" s="38"/>
      <c r="C962" s="38"/>
      <c r="D962" s="38"/>
      <c r="E962" s="38"/>
      <c r="F962" s="38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40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</row>
    <row r="963" ht="15.75" customHeight="1">
      <c r="A963" s="39"/>
      <c r="B963" s="38"/>
      <c r="C963" s="38"/>
      <c r="D963" s="38"/>
      <c r="E963" s="38"/>
      <c r="F963" s="38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40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  <c r="AK963" s="39"/>
    </row>
    <row r="964" ht="15.75" customHeight="1">
      <c r="A964" s="39"/>
      <c r="B964" s="38"/>
      <c r="C964" s="38"/>
      <c r="D964" s="38"/>
      <c r="E964" s="38"/>
      <c r="F964" s="38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40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</row>
    <row r="965" ht="15.75" customHeight="1">
      <c r="A965" s="39"/>
      <c r="B965" s="38"/>
      <c r="C965" s="38"/>
      <c r="D965" s="38"/>
      <c r="E965" s="38"/>
      <c r="F965" s="38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40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  <c r="AK965" s="39"/>
    </row>
    <row r="966" ht="15.75" customHeight="1">
      <c r="A966" s="39"/>
      <c r="B966" s="38"/>
      <c r="C966" s="38"/>
      <c r="D966" s="38"/>
      <c r="E966" s="38"/>
      <c r="F966" s="38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40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</row>
    <row r="967" ht="15.75" customHeight="1">
      <c r="A967" s="39"/>
      <c r="B967" s="38"/>
      <c r="C967" s="38"/>
      <c r="D967" s="38"/>
      <c r="E967" s="38"/>
      <c r="F967" s="38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40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  <c r="AK967" s="39"/>
    </row>
    <row r="968" ht="15.75" customHeight="1">
      <c r="A968" s="39"/>
      <c r="B968" s="38"/>
      <c r="C968" s="38"/>
      <c r="D968" s="38"/>
      <c r="E968" s="38"/>
      <c r="F968" s="38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40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</row>
    <row r="969" ht="15.75" customHeight="1">
      <c r="A969" s="39"/>
      <c r="B969" s="38"/>
      <c r="C969" s="38"/>
      <c r="D969" s="38"/>
      <c r="E969" s="38"/>
      <c r="F969" s="38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40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  <c r="AK969" s="39"/>
    </row>
    <row r="970" ht="15.75" customHeight="1">
      <c r="A970" s="39"/>
      <c r="B970" s="38"/>
      <c r="C970" s="38"/>
      <c r="D970" s="38"/>
      <c r="E970" s="38"/>
      <c r="F970" s="38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40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</row>
    <row r="971" ht="15.75" customHeight="1">
      <c r="A971" s="39"/>
      <c r="B971" s="38"/>
      <c r="C971" s="38"/>
      <c r="D971" s="38"/>
      <c r="E971" s="38"/>
      <c r="F971" s="38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40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  <c r="AK971" s="39"/>
    </row>
    <row r="972" ht="15.75" customHeight="1">
      <c r="A972" s="39"/>
      <c r="B972" s="38"/>
      <c r="C972" s="38"/>
      <c r="D972" s="38"/>
      <c r="E972" s="38"/>
      <c r="F972" s="38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40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</row>
    <row r="973" ht="15.75" customHeight="1">
      <c r="A973" s="39"/>
      <c r="B973" s="38"/>
      <c r="C973" s="38"/>
      <c r="D973" s="38"/>
      <c r="E973" s="38"/>
      <c r="F973" s="38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40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  <c r="AK973" s="39"/>
    </row>
    <row r="974" ht="15.75" customHeight="1">
      <c r="A974" s="39"/>
      <c r="B974" s="38"/>
      <c r="C974" s="38"/>
      <c r="D974" s="38"/>
      <c r="E974" s="38"/>
      <c r="F974" s="38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40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</row>
    <row r="975" ht="15.75" customHeight="1">
      <c r="A975" s="39"/>
      <c r="B975" s="38"/>
      <c r="C975" s="38"/>
      <c r="D975" s="38"/>
      <c r="E975" s="38"/>
      <c r="F975" s="38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40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  <c r="AK975" s="39"/>
    </row>
    <row r="976" ht="15.75" customHeight="1">
      <c r="A976" s="39"/>
      <c r="B976" s="38"/>
      <c r="C976" s="38"/>
      <c r="D976" s="38"/>
      <c r="E976" s="38"/>
      <c r="F976" s="38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40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</row>
    <row r="977" ht="15.75" customHeight="1">
      <c r="A977" s="39"/>
      <c r="B977" s="38"/>
      <c r="C977" s="38"/>
      <c r="D977" s="38"/>
      <c r="E977" s="38"/>
      <c r="F977" s="38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40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  <c r="AK977" s="39"/>
    </row>
    <row r="978" ht="15.75" customHeight="1">
      <c r="A978" s="39"/>
      <c r="B978" s="38"/>
      <c r="C978" s="38"/>
      <c r="D978" s="38"/>
      <c r="E978" s="38"/>
      <c r="F978" s="38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40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</row>
    <row r="979" ht="15.75" customHeight="1">
      <c r="A979" s="39"/>
      <c r="B979" s="38"/>
      <c r="C979" s="38"/>
      <c r="D979" s="38"/>
      <c r="E979" s="38"/>
      <c r="F979" s="38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40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  <c r="AK979" s="39"/>
    </row>
    <row r="980" ht="15.75" customHeight="1">
      <c r="A980" s="39"/>
      <c r="B980" s="38"/>
      <c r="C980" s="38"/>
      <c r="D980" s="38"/>
      <c r="E980" s="38"/>
      <c r="F980" s="38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40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</row>
    <row r="981" ht="15.75" customHeight="1">
      <c r="A981" s="39"/>
      <c r="B981" s="38"/>
      <c r="C981" s="38"/>
      <c r="D981" s="38"/>
      <c r="E981" s="38"/>
      <c r="F981" s="38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40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  <c r="AK981" s="39"/>
    </row>
    <row r="982" ht="15.75" customHeight="1">
      <c r="A982" s="39"/>
      <c r="B982" s="38"/>
      <c r="C982" s="38"/>
      <c r="D982" s="38"/>
      <c r="E982" s="38"/>
      <c r="F982" s="38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40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</row>
    <row r="983" ht="15.75" customHeight="1">
      <c r="A983" s="39"/>
      <c r="B983" s="38"/>
      <c r="C983" s="38"/>
      <c r="D983" s="38"/>
      <c r="E983" s="38"/>
      <c r="F983" s="38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40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  <c r="AK983" s="39"/>
    </row>
    <row r="984" ht="15.75" customHeight="1">
      <c r="A984" s="39"/>
      <c r="B984" s="38"/>
      <c r="C984" s="38"/>
      <c r="D984" s="38"/>
      <c r="E984" s="38"/>
      <c r="F984" s="38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40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</row>
    <row r="985" ht="15.75" customHeight="1">
      <c r="A985" s="39"/>
      <c r="B985" s="38"/>
      <c r="C985" s="38"/>
      <c r="D985" s="38"/>
      <c r="E985" s="38"/>
      <c r="F985" s="38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40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  <c r="AK985" s="39"/>
    </row>
    <row r="986" ht="15.75" customHeight="1">
      <c r="A986" s="39"/>
      <c r="B986" s="38"/>
      <c r="C986" s="38"/>
      <c r="D986" s="38"/>
      <c r="E986" s="38"/>
      <c r="F986" s="38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40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</row>
    <row r="987" ht="15.75" customHeight="1">
      <c r="A987" s="39"/>
      <c r="B987" s="38"/>
      <c r="C987" s="38"/>
      <c r="D987" s="38"/>
      <c r="E987" s="38"/>
      <c r="F987" s="38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40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  <c r="AK987" s="39"/>
    </row>
    <row r="988" ht="15.75" customHeight="1">
      <c r="A988" s="39"/>
      <c r="B988" s="38"/>
      <c r="C988" s="38"/>
      <c r="D988" s="38"/>
      <c r="E988" s="38"/>
      <c r="F988" s="38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40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</row>
    <row r="989" ht="15.75" customHeight="1">
      <c r="A989" s="39"/>
      <c r="B989" s="38"/>
      <c r="C989" s="38"/>
      <c r="D989" s="38"/>
      <c r="E989" s="38"/>
      <c r="F989" s="38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40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  <c r="AK989" s="39"/>
    </row>
    <row r="990" ht="15.75" customHeight="1">
      <c r="A990" s="39"/>
      <c r="B990" s="38"/>
      <c r="C990" s="38"/>
      <c r="D990" s="38"/>
      <c r="E990" s="38"/>
      <c r="F990" s="38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40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</row>
    <row r="991" ht="15.75" customHeight="1">
      <c r="A991" s="39"/>
      <c r="B991" s="38"/>
      <c r="C991" s="38"/>
      <c r="D991" s="38"/>
      <c r="E991" s="38"/>
      <c r="F991" s="38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40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  <c r="AK991" s="39"/>
    </row>
    <row r="992" ht="15.75" customHeight="1">
      <c r="A992" s="39"/>
      <c r="B992" s="38"/>
      <c r="C992" s="38"/>
      <c r="D992" s="38"/>
      <c r="E992" s="38"/>
      <c r="F992" s="38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40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</row>
    <row r="993" ht="15.75" customHeight="1">
      <c r="A993" s="39"/>
      <c r="B993" s="38"/>
      <c r="C993" s="38"/>
      <c r="D993" s="38"/>
      <c r="E993" s="38"/>
      <c r="F993" s="38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40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  <c r="AK993" s="39"/>
    </row>
    <row r="994" ht="15.75" customHeight="1">
      <c r="A994" s="39"/>
      <c r="B994" s="38"/>
      <c r="C994" s="38"/>
      <c r="D994" s="38"/>
      <c r="E994" s="38"/>
      <c r="F994" s="38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40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</row>
    <row r="995" ht="15.75" customHeight="1">
      <c r="A995" s="39"/>
      <c r="B995" s="38"/>
      <c r="C995" s="38"/>
      <c r="D995" s="38"/>
      <c r="E995" s="38"/>
      <c r="F995" s="38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40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  <c r="AK995" s="39"/>
    </row>
    <row r="996" ht="15.75" customHeight="1">
      <c r="A996" s="39"/>
      <c r="B996" s="38"/>
      <c r="C996" s="38"/>
      <c r="D996" s="38"/>
      <c r="E996" s="38"/>
      <c r="F996" s="38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40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</row>
    <row r="997" ht="15.75" customHeight="1">
      <c r="A997" s="39"/>
      <c r="B997" s="38"/>
      <c r="C997" s="38"/>
      <c r="D997" s="38"/>
      <c r="E997" s="38"/>
      <c r="F997" s="38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40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  <c r="AK997" s="39"/>
    </row>
    <row r="998" ht="15.75" customHeight="1">
      <c r="A998" s="39"/>
      <c r="B998" s="38"/>
      <c r="C998" s="38"/>
      <c r="D998" s="38"/>
      <c r="E998" s="38"/>
      <c r="F998" s="38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40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</row>
    <row r="999" ht="15.75" customHeight="1">
      <c r="A999" s="39"/>
      <c r="B999" s="38"/>
      <c r="C999" s="38"/>
      <c r="D999" s="38"/>
      <c r="E999" s="38"/>
      <c r="F999" s="38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40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  <c r="AK999" s="39"/>
    </row>
    <row r="1000" ht="15.75" customHeight="1">
      <c r="A1000" s="39"/>
      <c r="B1000" s="38"/>
      <c r="C1000" s="38"/>
      <c r="D1000" s="38"/>
      <c r="E1000" s="38"/>
      <c r="F1000" s="38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40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4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27" t="s">
        <v>174</v>
      </c>
      <c r="B1" s="44" t="s">
        <v>175</v>
      </c>
      <c r="C1" s="44" t="s">
        <v>176</v>
      </c>
      <c r="D1" s="44" t="s">
        <v>177</v>
      </c>
      <c r="E1" s="44" t="s">
        <v>178</v>
      </c>
      <c r="F1" s="44" t="s">
        <v>179</v>
      </c>
      <c r="G1" s="1" t="s">
        <v>180</v>
      </c>
      <c r="H1" s="45" t="s">
        <v>181</v>
      </c>
      <c r="I1" s="45" t="s">
        <v>182</v>
      </c>
      <c r="J1" s="45" t="s">
        <v>183</v>
      </c>
      <c r="K1" s="1" t="s">
        <v>184</v>
      </c>
      <c r="L1" s="1" t="s">
        <v>185</v>
      </c>
      <c r="M1" s="1" t="s">
        <v>186</v>
      </c>
      <c r="N1" s="1" t="s">
        <v>187</v>
      </c>
      <c r="O1" s="1" t="s">
        <v>188</v>
      </c>
      <c r="P1" s="27" t="s">
        <v>195</v>
      </c>
      <c r="Q1" s="27" t="s">
        <v>196</v>
      </c>
      <c r="R1" s="1"/>
      <c r="S1" s="46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197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28">
        <v>0.0</v>
      </c>
      <c r="I2" s="28">
        <v>0.0</v>
      </c>
      <c r="J2" s="28">
        <v>0.0</v>
      </c>
      <c r="K2" s="13"/>
      <c r="L2" s="13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28" t="str">
        <f>JOIN(", ", README!$L$2, README!$B$27, -1, README!$B$10, 0)</f>
        <v>-1, -1, -1, 0, 0</v>
      </c>
      <c r="Q2" s="28" t="str">
        <f>JOIN(", ", README!$L$2, README!$B$27, -1, README!$B$9, 0)</f>
        <v>-1, -1, -1, -1, 0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5" t="s">
        <v>198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26">
        <v>0.0</v>
      </c>
      <c r="H3" s="28">
        <v>0.0</v>
      </c>
      <c r="I3" s="28">
        <v>0.0</v>
      </c>
      <c r="J3" s="28">
        <v>0.0</v>
      </c>
      <c r="K3" s="25"/>
      <c r="L3" s="25"/>
      <c r="M3" s="28">
        <f>IF($A3="", -1, ($B3*README!$B$2)+($C3*README!$B$3)+($D3*README!$B$4)+($E3*README!$B$5)+($F3*README!$B$6))</f>
        <v>100000000</v>
      </c>
      <c r="N3" s="28">
        <f>IF($A3="", -1, ($B3*README!$B$2)+($C3*README!$B$3)+($D3*README!$B$4)+($E3*README!$B$5)+($F3*README!$B$6)-1)</f>
        <v>99999999</v>
      </c>
      <c r="O3" s="28">
        <f>IF($A3="", -1, ($B3*README!$B$2)+($C3*README!$B$3)+($D3*README!$B$4)+($E3*README!$B$5)+($F3*README!$B$6)+1)</f>
        <v>100000001</v>
      </c>
      <c r="P3" s="28" t="str">
        <f>JOIN(", ", README!$L$2, README!$B$27, -1, README!$B$10, 0)</f>
        <v>-1, -1, -1, 0, 0</v>
      </c>
      <c r="Q3" s="28" t="str">
        <f>JOIN(", ", README!$L$2, README!$B$27, -1, README!$B$9, 0)</f>
        <v>-1, -1, -1, -1, 0</v>
      </c>
      <c r="R3" s="26"/>
      <c r="S3" s="28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13"/>
      <c r="AJ3" s="13"/>
    </row>
    <row r="4">
      <c r="A4" s="25" t="s">
        <v>199</v>
      </c>
      <c r="B4" s="14">
        <v>2.0</v>
      </c>
      <c r="C4" s="14">
        <v>0.0</v>
      </c>
      <c r="D4" s="14">
        <v>0.0</v>
      </c>
      <c r="E4" s="14">
        <v>0.0</v>
      </c>
      <c r="F4" s="14">
        <v>0.0</v>
      </c>
      <c r="G4" s="26">
        <v>0.0</v>
      </c>
      <c r="H4" s="28">
        <v>0.0</v>
      </c>
      <c r="I4" s="28">
        <v>0.0</v>
      </c>
      <c r="J4" s="28">
        <v>0.0</v>
      </c>
      <c r="K4" s="25"/>
      <c r="L4" s="25"/>
      <c r="M4" s="28">
        <f>IF($A4="", -1, ($B4*README!$B$2)+($C4*README!$B$3)+($D4*README!$B$4)+($E4*README!$B$5)+($F4*README!$B$6))</f>
        <v>200000000</v>
      </c>
      <c r="N4" s="28">
        <f>IF($A4="", -1, ($B4*README!$B$2)+($C4*README!$B$3)+($D4*README!$B$4)+($E4*README!$B$5)+($F4*README!$B$6)-1)</f>
        <v>199999999</v>
      </c>
      <c r="O4" s="28">
        <f>IF($A4="", -1, ($B4*README!$B$2)+($C4*README!$B$3)+($D4*README!$B$4)+($E4*README!$B$5)+($F4*README!$B$6)+1)</f>
        <v>200000001</v>
      </c>
      <c r="P4" s="28" t="str">
        <f>JOIN(", ", README!$L$2, README!$B$27, -1, README!$B$10, 0)</f>
        <v>-1, -1, -1, 0, 0</v>
      </c>
      <c r="Q4" s="28" t="str">
        <f>JOIN(", ", README!$L$2, README!$B$27, -1, README!$B$9, 0)</f>
        <v>-1, -1, -1, -1, 0</v>
      </c>
      <c r="R4" s="26"/>
      <c r="S4" s="28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13"/>
      <c r="AJ4" s="13"/>
    </row>
    <row r="5">
      <c r="A5" s="25" t="s">
        <v>200</v>
      </c>
      <c r="B5" s="14">
        <v>3.0</v>
      </c>
      <c r="C5" s="14">
        <v>0.0</v>
      </c>
      <c r="D5" s="14">
        <v>0.0</v>
      </c>
      <c r="E5" s="14">
        <v>0.0</v>
      </c>
      <c r="F5" s="14">
        <v>0.0</v>
      </c>
      <c r="G5" s="26">
        <v>0.0</v>
      </c>
      <c r="H5" s="28">
        <v>0.0</v>
      </c>
      <c r="I5" s="28">
        <v>0.0</v>
      </c>
      <c r="J5" s="28">
        <v>0.0</v>
      </c>
      <c r="K5" s="25"/>
      <c r="L5" s="25"/>
      <c r="M5" s="28">
        <f>IF($A5="", -1, ($B5*README!$B$2)+($C5*README!$B$3)+($D5*README!$B$4)+($E5*README!$B$5)+($F5*README!$B$6))</f>
        <v>300000000</v>
      </c>
      <c r="N5" s="28">
        <f>IF($A5="", -1, ($B5*README!$B$2)+($C5*README!$B$3)+($D5*README!$B$4)+($E5*README!$B$5)+($F5*README!$B$6)-1)</f>
        <v>299999999</v>
      </c>
      <c r="O5" s="28">
        <f>IF($A5="", -1, ($B5*README!$B$2)+($C5*README!$B$3)+($D5*README!$B$4)+($E5*README!$B$5)+($F5*README!$B$6)+1)</f>
        <v>300000001</v>
      </c>
      <c r="P5" s="28" t="str">
        <f>JOIN(", ", README!$L$2, README!$B$27, -1, README!$B$10, 0)</f>
        <v>-1, -1, -1, 0, 0</v>
      </c>
      <c r="Q5" s="28" t="str">
        <f>JOIN(", ", README!$L$2, README!$B$27, -1, README!$B$9, 0)</f>
        <v>-1, -1, -1, -1, 0</v>
      </c>
      <c r="R5" s="26"/>
      <c r="S5" s="28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13"/>
      <c r="AJ5" s="13"/>
    </row>
    <row r="6">
      <c r="B6" s="38"/>
      <c r="C6" s="38"/>
      <c r="D6" s="38"/>
      <c r="E6" s="38"/>
      <c r="F6" s="38"/>
    </row>
    <row r="7">
      <c r="A7" s="25"/>
      <c r="B7" s="14"/>
      <c r="C7" s="14"/>
      <c r="D7" s="14"/>
      <c r="E7" s="14"/>
      <c r="F7" s="14"/>
      <c r="G7" s="26"/>
      <c r="H7" s="28"/>
      <c r="I7" s="28"/>
      <c r="J7" s="28"/>
      <c r="K7" s="25"/>
      <c r="L7" s="25"/>
      <c r="M7" s="28"/>
      <c r="N7" s="28"/>
      <c r="O7" s="28"/>
      <c r="P7" s="28"/>
      <c r="Q7" s="28"/>
      <c r="R7" s="26"/>
      <c r="S7" s="28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13"/>
      <c r="AJ7" s="13"/>
    </row>
    <row r="8">
      <c r="B8" s="38"/>
      <c r="C8" s="38"/>
      <c r="D8" s="38"/>
      <c r="E8" s="38"/>
      <c r="F8" s="38"/>
    </row>
    <row r="9">
      <c r="A9" s="1"/>
      <c r="B9" s="14"/>
      <c r="C9" s="14"/>
      <c r="D9" s="14"/>
      <c r="E9" s="14"/>
      <c r="F9" s="14"/>
      <c r="G9" s="13"/>
      <c r="H9" s="28"/>
      <c r="I9" s="28"/>
      <c r="J9" s="28"/>
      <c r="K9" s="13"/>
      <c r="L9" s="13"/>
      <c r="M9" s="13"/>
      <c r="N9" s="13"/>
      <c r="O9" s="13"/>
      <c r="P9" s="28"/>
      <c r="Q9" s="28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28"/>
      <c r="I10" s="28"/>
      <c r="J10" s="28"/>
      <c r="K10" s="13"/>
      <c r="L10" s="13"/>
      <c r="M10" s="13"/>
      <c r="N10" s="13"/>
      <c r="O10" s="13"/>
      <c r="P10" s="28"/>
      <c r="Q10" s="2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28"/>
      <c r="I11" s="28"/>
      <c r="J11" s="28"/>
      <c r="K11" s="13"/>
      <c r="L11" s="13"/>
      <c r="M11" s="13"/>
      <c r="N11" s="13"/>
      <c r="O11" s="13"/>
      <c r="P11" s="28"/>
      <c r="Q11" s="28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28"/>
      <c r="I12" s="28"/>
      <c r="J12" s="28"/>
      <c r="K12" s="13"/>
      <c r="L12" s="13"/>
      <c r="M12" s="13"/>
      <c r="N12" s="13"/>
      <c r="O12" s="13"/>
      <c r="P12" s="28"/>
      <c r="Q12" s="28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28"/>
      <c r="I13" s="28"/>
      <c r="J13" s="28"/>
      <c r="K13" s="13"/>
      <c r="L13" s="13"/>
      <c r="M13" s="13"/>
      <c r="N13" s="13"/>
      <c r="O13" s="13"/>
      <c r="P13" s="28"/>
      <c r="Q13" s="28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28"/>
      <c r="I14" s="28"/>
      <c r="J14" s="28"/>
      <c r="K14" s="13"/>
      <c r="L14" s="13"/>
      <c r="M14" s="13"/>
      <c r="N14" s="13"/>
      <c r="O14" s="13"/>
      <c r="P14" s="28"/>
      <c r="Q14" s="28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28"/>
      <c r="I15" s="28"/>
      <c r="J15" s="28"/>
      <c r="K15" s="13"/>
      <c r="L15" s="13"/>
      <c r="M15" s="13"/>
      <c r="N15" s="13"/>
      <c r="O15" s="13"/>
      <c r="P15" s="28"/>
      <c r="Q15" s="28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28"/>
      <c r="I16" s="28"/>
      <c r="J16" s="28"/>
      <c r="K16" s="13"/>
      <c r="L16" s="13"/>
      <c r="M16" s="13"/>
      <c r="N16" s="13"/>
      <c r="O16" s="13"/>
      <c r="P16" s="28"/>
      <c r="Q16" s="28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28"/>
      <c r="I17" s="28"/>
      <c r="J17" s="28"/>
      <c r="K17" s="13"/>
      <c r="L17" s="13"/>
      <c r="M17" s="13"/>
      <c r="N17" s="13"/>
      <c r="O17" s="13"/>
      <c r="P17" s="28"/>
      <c r="Q17" s="28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28"/>
      <c r="I18" s="28"/>
      <c r="J18" s="28"/>
      <c r="K18" s="13"/>
      <c r="L18" s="13"/>
      <c r="M18" s="13"/>
      <c r="N18" s="13"/>
      <c r="O18" s="13"/>
      <c r="P18" s="28"/>
      <c r="Q18" s="28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28"/>
      <c r="I19" s="28"/>
      <c r="J19" s="28"/>
      <c r="K19" s="13"/>
      <c r="L19" s="13"/>
      <c r="M19" s="13"/>
      <c r="N19" s="13"/>
      <c r="O19" s="13"/>
      <c r="P19" s="28"/>
      <c r="Q19" s="28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28"/>
      <c r="I20" s="28"/>
      <c r="J20" s="28"/>
      <c r="K20" s="13"/>
      <c r="L20" s="13"/>
      <c r="M20" s="13"/>
      <c r="N20" s="13"/>
      <c r="O20" s="13"/>
      <c r="P20" s="28"/>
      <c r="Q20" s="28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1"/>
      <c r="B21" s="14"/>
      <c r="C21" s="14"/>
      <c r="D21" s="14"/>
      <c r="E21" s="14"/>
      <c r="F21" s="14"/>
      <c r="G21" s="13"/>
      <c r="H21" s="28"/>
      <c r="I21" s="28"/>
      <c r="J21" s="28"/>
      <c r="K21" s="13"/>
      <c r="L21" s="13"/>
      <c r="M21" s="13"/>
      <c r="N21" s="13"/>
      <c r="O21" s="13"/>
      <c r="P21" s="28"/>
      <c r="Q21" s="28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1"/>
      <c r="B22" s="14"/>
      <c r="C22" s="14"/>
      <c r="D22" s="14"/>
      <c r="E22" s="14"/>
      <c r="F22" s="14"/>
      <c r="G22" s="13"/>
      <c r="H22" s="28"/>
      <c r="I22" s="28"/>
      <c r="J22" s="28"/>
      <c r="K22" s="13"/>
      <c r="L22" s="13"/>
      <c r="M22" s="13"/>
      <c r="N22" s="13"/>
      <c r="O22" s="13"/>
      <c r="P22" s="28"/>
      <c r="Q22" s="28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1"/>
      <c r="B23" s="14"/>
      <c r="C23" s="14"/>
      <c r="D23" s="14"/>
      <c r="E23" s="14"/>
      <c r="F23" s="14"/>
      <c r="G23" s="13"/>
      <c r="H23" s="28"/>
      <c r="I23" s="28"/>
      <c r="J23" s="28"/>
      <c r="K23" s="13"/>
      <c r="L23" s="13"/>
      <c r="M23" s="13"/>
      <c r="N23" s="13"/>
      <c r="O23" s="13"/>
      <c r="P23" s="28"/>
      <c r="Q23" s="28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1"/>
      <c r="B24" s="14"/>
      <c r="C24" s="14"/>
      <c r="D24" s="14"/>
      <c r="E24" s="14"/>
      <c r="F24" s="14"/>
      <c r="G24" s="13"/>
      <c r="H24" s="28"/>
      <c r="I24" s="28"/>
      <c r="J24" s="28"/>
      <c r="K24" s="13"/>
      <c r="L24" s="13"/>
      <c r="M24" s="13"/>
      <c r="N24" s="13"/>
      <c r="O24" s="13"/>
      <c r="P24" s="28"/>
      <c r="Q24" s="28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1"/>
      <c r="B25" s="14"/>
      <c r="C25" s="14"/>
      <c r="D25" s="14"/>
      <c r="E25" s="14"/>
      <c r="F25" s="14"/>
      <c r="G25" s="13"/>
      <c r="H25" s="28"/>
      <c r="I25" s="28"/>
      <c r="J25" s="28"/>
      <c r="K25" s="13"/>
      <c r="L25" s="13"/>
      <c r="M25" s="13"/>
      <c r="N25" s="13"/>
      <c r="O25" s="13"/>
      <c r="P25" s="28"/>
      <c r="Q25" s="28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47"/>
      <c r="B26" s="14"/>
      <c r="C26" s="14"/>
      <c r="D26" s="14"/>
      <c r="E26" s="14"/>
      <c r="F26" s="14"/>
      <c r="G26" s="13"/>
      <c r="H26" s="28"/>
      <c r="I26" s="28"/>
      <c r="J26" s="28"/>
      <c r="K26" s="13"/>
      <c r="L26" s="13"/>
      <c r="M26" s="13"/>
      <c r="N26" s="13"/>
      <c r="O26" s="13"/>
      <c r="P26" s="28"/>
      <c r="Q26" s="2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</row>
    <row r="27" ht="15.75" customHeight="1">
      <c r="A27" s="47"/>
      <c r="B27" s="49"/>
      <c r="C27" s="49"/>
      <c r="D27" s="49"/>
      <c r="E27" s="49"/>
      <c r="F27" s="49"/>
      <c r="G27" s="48"/>
      <c r="H27" s="28"/>
      <c r="I27" s="28"/>
      <c r="J27" s="28"/>
      <c r="K27" s="48"/>
      <c r="L27" s="48"/>
      <c r="M27" s="48"/>
      <c r="N27" s="48"/>
      <c r="O27" s="48"/>
      <c r="P27" s="28"/>
      <c r="Q27" s="2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</row>
    <row r="28" ht="15.75" customHeight="1">
      <c r="A28" s="25"/>
      <c r="B28" s="14"/>
      <c r="C28" s="14"/>
      <c r="D28" s="14"/>
      <c r="E28" s="14"/>
      <c r="F28" s="14"/>
      <c r="G28" s="26"/>
      <c r="H28" s="28"/>
      <c r="I28" s="28"/>
      <c r="J28" s="28"/>
      <c r="K28" s="26"/>
      <c r="L28" s="26"/>
      <c r="M28" s="26"/>
      <c r="N28" s="26"/>
      <c r="O28" s="26"/>
      <c r="P28" s="28"/>
      <c r="Q28" s="28"/>
      <c r="R28" s="26"/>
      <c r="S28" s="13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</row>
    <row r="29" ht="15.75" customHeight="1">
      <c r="A29" s="25"/>
      <c r="B29" s="14"/>
      <c r="C29" s="14"/>
      <c r="D29" s="14"/>
      <c r="E29" s="14"/>
      <c r="F29" s="14"/>
      <c r="G29" s="26"/>
      <c r="H29" s="28"/>
      <c r="I29" s="28"/>
      <c r="J29" s="28"/>
      <c r="K29" s="26"/>
      <c r="L29" s="26"/>
      <c r="M29" s="26"/>
      <c r="N29" s="26"/>
      <c r="O29" s="26"/>
      <c r="P29" s="28"/>
      <c r="Q29" s="28"/>
      <c r="R29" s="26"/>
      <c r="S29" s="13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</row>
    <row r="30" ht="15.75" customHeight="1">
      <c r="A30" s="25"/>
      <c r="B30" s="14"/>
      <c r="C30" s="14"/>
      <c r="D30" s="14"/>
      <c r="E30" s="14"/>
      <c r="F30" s="14"/>
      <c r="G30" s="26"/>
      <c r="H30" s="28"/>
      <c r="I30" s="28"/>
      <c r="J30" s="28"/>
      <c r="K30" s="26"/>
      <c r="L30" s="26"/>
      <c r="M30" s="26"/>
      <c r="N30" s="26"/>
      <c r="O30" s="26"/>
      <c r="P30" s="28"/>
      <c r="Q30" s="28"/>
      <c r="R30" s="26"/>
      <c r="S30" s="13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</row>
    <row r="31" ht="15.75" customHeight="1">
      <c r="A31" s="25"/>
      <c r="B31" s="14"/>
      <c r="C31" s="14"/>
      <c r="D31" s="14"/>
      <c r="E31" s="14"/>
      <c r="F31" s="14"/>
      <c r="G31" s="26"/>
      <c r="H31" s="28"/>
      <c r="I31" s="28"/>
      <c r="J31" s="28"/>
      <c r="K31" s="26"/>
      <c r="L31" s="26"/>
      <c r="M31" s="26"/>
      <c r="N31" s="26"/>
      <c r="O31" s="26"/>
      <c r="P31" s="28"/>
      <c r="Q31" s="28"/>
      <c r="R31" s="26"/>
      <c r="S31" s="13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</row>
    <row r="32" ht="15.75" customHeight="1">
      <c r="A32" s="25"/>
      <c r="B32" s="14"/>
      <c r="C32" s="14"/>
      <c r="D32" s="14"/>
      <c r="E32" s="14"/>
      <c r="F32" s="14"/>
      <c r="G32" s="26"/>
      <c r="H32" s="28"/>
      <c r="I32" s="28"/>
      <c r="J32" s="28"/>
      <c r="K32" s="26"/>
      <c r="L32" s="26"/>
      <c r="M32" s="26"/>
      <c r="N32" s="26"/>
      <c r="O32" s="26"/>
      <c r="P32" s="28"/>
      <c r="Q32" s="28"/>
      <c r="R32" s="26"/>
      <c r="S32" s="13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</row>
    <row r="33" ht="15.75" customHeight="1">
      <c r="A33" s="25"/>
      <c r="B33" s="14"/>
      <c r="C33" s="14"/>
      <c r="D33" s="14"/>
      <c r="E33" s="14"/>
      <c r="F33" s="14"/>
      <c r="G33" s="26"/>
      <c r="H33" s="28"/>
      <c r="I33" s="28"/>
      <c r="J33" s="28"/>
      <c r="K33" s="26"/>
      <c r="L33" s="26"/>
      <c r="M33" s="26"/>
      <c r="N33" s="26"/>
      <c r="O33" s="26"/>
      <c r="P33" s="28"/>
      <c r="Q33" s="28"/>
      <c r="R33" s="26"/>
      <c r="S33" s="13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</row>
    <row r="34" ht="15.75" customHeight="1">
      <c r="A34" s="25"/>
      <c r="B34" s="14"/>
      <c r="C34" s="14"/>
      <c r="D34" s="14"/>
      <c r="E34" s="14"/>
      <c r="F34" s="14"/>
      <c r="G34" s="26"/>
      <c r="H34" s="28"/>
      <c r="I34" s="28"/>
      <c r="J34" s="28"/>
      <c r="K34" s="26"/>
      <c r="L34" s="26"/>
      <c r="M34" s="26"/>
      <c r="N34" s="26"/>
      <c r="O34" s="26"/>
      <c r="P34" s="28"/>
      <c r="Q34" s="28"/>
      <c r="R34" s="26"/>
      <c r="S34" s="13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</row>
    <row r="35" ht="15.75" customHeight="1">
      <c r="A35" s="25"/>
      <c r="B35" s="14"/>
      <c r="C35" s="14"/>
      <c r="D35" s="14"/>
      <c r="E35" s="14"/>
      <c r="F35" s="14"/>
      <c r="G35" s="26"/>
      <c r="H35" s="28"/>
      <c r="I35" s="28"/>
      <c r="J35" s="28"/>
      <c r="K35" s="26"/>
      <c r="L35" s="26"/>
      <c r="M35" s="26"/>
      <c r="N35" s="26"/>
      <c r="O35" s="26"/>
      <c r="P35" s="28"/>
      <c r="Q35" s="28"/>
      <c r="R35" s="26"/>
      <c r="S35" s="13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</row>
    <row r="36" ht="15.75" customHeight="1">
      <c r="A36" s="25"/>
      <c r="B36" s="14"/>
      <c r="C36" s="14"/>
      <c r="D36" s="14"/>
      <c r="E36" s="14"/>
      <c r="F36" s="14"/>
      <c r="G36" s="26"/>
      <c r="H36" s="28"/>
      <c r="I36" s="28"/>
      <c r="J36" s="28"/>
      <c r="K36" s="26"/>
      <c r="L36" s="26"/>
      <c r="M36" s="26"/>
      <c r="N36" s="26"/>
      <c r="O36" s="26"/>
      <c r="P36" s="28"/>
      <c r="Q36" s="28"/>
      <c r="R36" s="26"/>
      <c r="S36" s="13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</row>
    <row r="37" ht="15.75" customHeight="1">
      <c r="A37" s="25"/>
      <c r="B37" s="14"/>
      <c r="C37" s="14"/>
      <c r="D37" s="14"/>
      <c r="E37" s="14"/>
      <c r="F37" s="14"/>
      <c r="G37" s="26"/>
      <c r="H37" s="28"/>
      <c r="I37" s="28"/>
      <c r="J37" s="28"/>
      <c r="K37" s="26"/>
      <c r="L37" s="26"/>
      <c r="M37" s="26"/>
      <c r="N37" s="26"/>
      <c r="O37" s="26"/>
      <c r="P37" s="28"/>
      <c r="Q37" s="28"/>
      <c r="R37" s="26"/>
      <c r="S37" s="13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</row>
    <row r="38" ht="15.75" customHeight="1">
      <c r="A38" s="25"/>
      <c r="B38" s="14"/>
      <c r="C38" s="14"/>
      <c r="D38" s="14"/>
      <c r="E38" s="14"/>
      <c r="F38" s="14"/>
      <c r="G38" s="26"/>
      <c r="H38" s="28"/>
      <c r="I38" s="28"/>
      <c r="J38" s="28"/>
      <c r="K38" s="26"/>
      <c r="L38" s="26"/>
      <c r="M38" s="26"/>
      <c r="N38" s="26"/>
      <c r="O38" s="26"/>
      <c r="P38" s="28"/>
      <c r="Q38" s="28"/>
      <c r="R38" s="26"/>
      <c r="S38" s="13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</row>
    <row r="39" ht="15.75" customHeight="1">
      <c r="A39" s="25"/>
      <c r="B39" s="14"/>
      <c r="C39" s="14"/>
      <c r="D39" s="14"/>
      <c r="E39" s="14"/>
      <c r="F39" s="14"/>
      <c r="G39" s="26"/>
      <c r="H39" s="28"/>
      <c r="I39" s="28"/>
      <c r="J39" s="28"/>
      <c r="K39" s="26"/>
      <c r="L39" s="26"/>
      <c r="M39" s="26"/>
      <c r="N39" s="26"/>
      <c r="O39" s="26"/>
      <c r="P39" s="28"/>
      <c r="Q39" s="28"/>
      <c r="R39" s="26"/>
      <c r="S39" s="13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</row>
    <row r="40" ht="15.75" customHeight="1">
      <c r="A40" s="25"/>
      <c r="B40" s="14"/>
      <c r="C40" s="14"/>
      <c r="D40" s="14"/>
      <c r="E40" s="14"/>
      <c r="F40" s="14"/>
      <c r="G40" s="26"/>
      <c r="H40" s="28"/>
      <c r="I40" s="28"/>
      <c r="J40" s="28"/>
      <c r="K40" s="26"/>
      <c r="L40" s="26"/>
      <c r="M40" s="26"/>
      <c r="N40" s="26"/>
      <c r="O40" s="26"/>
      <c r="P40" s="28"/>
      <c r="Q40" s="28"/>
      <c r="R40" s="26"/>
      <c r="S40" s="13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</row>
    <row r="41" ht="15.75" customHeight="1">
      <c r="A41" s="25"/>
      <c r="B41" s="14"/>
      <c r="C41" s="14"/>
      <c r="D41" s="14"/>
      <c r="E41" s="14"/>
      <c r="F41" s="14"/>
      <c r="G41" s="26"/>
      <c r="H41" s="28"/>
      <c r="I41" s="28"/>
      <c r="J41" s="28"/>
      <c r="K41" s="26"/>
      <c r="L41" s="26"/>
      <c r="M41" s="26"/>
      <c r="N41" s="26"/>
      <c r="O41" s="26"/>
      <c r="P41" s="28"/>
      <c r="Q41" s="28"/>
      <c r="R41" s="26"/>
      <c r="S41" s="13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</row>
    <row r="42" ht="15.75" customHeight="1">
      <c r="A42" s="25"/>
      <c r="B42" s="14"/>
      <c r="C42" s="14"/>
      <c r="D42" s="14"/>
      <c r="E42" s="14"/>
      <c r="F42" s="14"/>
      <c r="G42" s="26"/>
      <c r="H42" s="28"/>
      <c r="I42" s="28"/>
      <c r="J42" s="28"/>
      <c r="K42" s="26"/>
      <c r="L42" s="26"/>
      <c r="M42" s="26"/>
      <c r="N42" s="26"/>
      <c r="O42" s="26"/>
      <c r="P42" s="28"/>
      <c r="Q42" s="28"/>
      <c r="R42" s="26"/>
      <c r="S42" s="13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</row>
    <row r="43" ht="15.75" customHeight="1">
      <c r="A43" s="25"/>
      <c r="B43" s="14"/>
      <c r="C43" s="14"/>
      <c r="D43" s="14"/>
      <c r="E43" s="14"/>
      <c r="F43" s="14"/>
      <c r="G43" s="26"/>
      <c r="H43" s="28"/>
      <c r="I43" s="28"/>
      <c r="J43" s="28"/>
      <c r="K43" s="26"/>
      <c r="L43" s="26"/>
      <c r="M43" s="26"/>
      <c r="N43" s="26"/>
      <c r="O43" s="26"/>
      <c r="P43" s="28"/>
      <c r="Q43" s="28"/>
      <c r="R43" s="26"/>
      <c r="S43" s="13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</row>
    <row r="44" ht="15.75" customHeight="1">
      <c r="A44" s="25"/>
      <c r="B44" s="14"/>
      <c r="C44" s="14"/>
      <c r="D44" s="14"/>
      <c r="E44" s="14"/>
      <c r="F44" s="14"/>
      <c r="G44" s="26"/>
      <c r="H44" s="28"/>
      <c r="I44" s="28"/>
      <c r="J44" s="28"/>
      <c r="K44" s="26"/>
      <c r="L44" s="26"/>
      <c r="M44" s="26"/>
      <c r="N44" s="26"/>
      <c r="O44" s="26"/>
      <c r="P44" s="28"/>
      <c r="Q44" s="28"/>
      <c r="R44" s="26"/>
      <c r="S44" s="13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</row>
    <row r="45" ht="15.75" customHeight="1">
      <c r="A45" s="25"/>
      <c r="B45" s="14"/>
      <c r="C45" s="14"/>
      <c r="D45" s="14"/>
      <c r="E45" s="14"/>
      <c r="F45" s="14"/>
      <c r="G45" s="26"/>
      <c r="H45" s="28"/>
      <c r="I45" s="28"/>
      <c r="J45" s="28"/>
      <c r="K45" s="26"/>
      <c r="L45" s="26"/>
      <c r="M45" s="26"/>
      <c r="N45" s="26"/>
      <c r="O45" s="26"/>
      <c r="P45" s="28"/>
      <c r="Q45" s="28"/>
      <c r="R45" s="26"/>
      <c r="S45" s="13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</row>
    <row r="46" ht="15.75" customHeight="1">
      <c r="A46" s="25"/>
      <c r="B46" s="14"/>
      <c r="C46" s="14"/>
      <c r="D46" s="14"/>
      <c r="E46" s="14"/>
      <c r="F46" s="14"/>
      <c r="G46" s="26"/>
      <c r="H46" s="28"/>
      <c r="I46" s="28"/>
      <c r="J46" s="28"/>
      <c r="K46" s="26"/>
      <c r="L46" s="26"/>
      <c r="M46" s="26"/>
      <c r="N46" s="26"/>
      <c r="O46" s="26"/>
      <c r="P46" s="28"/>
      <c r="Q46" s="28"/>
      <c r="R46" s="26"/>
      <c r="S46" s="13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</row>
    <row r="47" ht="15.75" customHeight="1">
      <c r="A47" s="25"/>
      <c r="B47" s="14"/>
      <c r="C47" s="14"/>
      <c r="D47" s="14"/>
      <c r="E47" s="14"/>
      <c r="F47" s="14"/>
      <c r="G47" s="26"/>
      <c r="H47" s="28"/>
      <c r="I47" s="28"/>
      <c r="J47" s="28"/>
      <c r="K47" s="26"/>
      <c r="L47" s="26"/>
      <c r="M47" s="26"/>
      <c r="N47" s="26"/>
      <c r="O47" s="26"/>
      <c r="P47" s="28"/>
      <c r="Q47" s="28"/>
      <c r="R47" s="26"/>
      <c r="S47" s="13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</row>
    <row r="48" ht="15.75" customHeight="1">
      <c r="A48" s="25"/>
      <c r="B48" s="14"/>
      <c r="C48" s="14"/>
      <c r="D48" s="14"/>
      <c r="E48" s="14"/>
      <c r="F48" s="14"/>
      <c r="G48" s="26"/>
      <c r="H48" s="28"/>
      <c r="I48" s="28"/>
      <c r="J48" s="28"/>
      <c r="K48" s="26"/>
      <c r="L48" s="26"/>
      <c r="M48" s="26"/>
      <c r="N48" s="26"/>
      <c r="O48" s="26"/>
      <c r="P48" s="28"/>
      <c r="Q48" s="28"/>
      <c r="R48" s="26"/>
      <c r="S48" s="13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</row>
    <row r="49" ht="15.75" customHeight="1">
      <c r="A49" s="25"/>
      <c r="B49" s="14"/>
      <c r="C49" s="14"/>
      <c r="D49" s="14"/>
      <c r="E49" s="14"/>
      <c r="F49" s="14"/>
      <c r="G49" s="26"/>
      <c r="H49" s="28"/>
      <c r="I49" s="28"/>
      <c r="J49" s="28"/>
      <c r="K49" s="26"/>
      <c r="L49" s="26"/>
      <c r="M49" s="26"/>
      <c r="N49" s="26"/>
      <c r="O49" s="26"/>
      <c r="P49" s="28"/>
      <c r="Q49" s="28"/>
      <c r="R49" s="26"/>
      <c r="S49" s="13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</row>
    <row r="50" ht="15.75" customHeight="1">
      <c r="A50" s="25"/>
      <c r="B50" s="14"/>
      <c r="C50" s="14"/>
      <c r="D50" s="14"/>
      <c r="E50" s="14"/>
      <c r="F50" s="14"/>
      <c r="G50" s="26"/>
      <c r="H50" s="28"/>
      <c r="I50" s="28"/>
      <c r="J50" s="28"/>
      <c r="K50" s="26"/>
      <c r="L50" s="26"/>
      <c r="M50" s="26"/>
      <c r="N50" s="26"/>
      <c r="O50" s="26"/>
      <c r="P50" s="28"/>
      <c r="Q50" s="28"/>
      <c r="R50" s="26"/>
      <c r="S50" s="13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</row>
    <row r="51" ht="15.75" customHeight="1">
      <c r="A51" s="25"/>
      <c r="B51" s="14"/>
      <c r="C51" s="14"/>
      <c r="D51" s="14"/>
      <c r="E51" s="14"/>
      <c r="F51" s="14"/>
      <c r="G51" s="26"/>
      <c r="H51" s="28"/>
      <c r="I51" s="28"/>
      <c r="J51" s="28"/>
      <c r="K51" s="26"/>
      <c r="L51" s="26"/>
      <c r="M51" s="26"/>
      <c r="N51" s="26"/>
      <c r="O51" s="26"/>
      <c r="P51" s="28"/>
      <c r="Q51" s="28"/>
      <c r="R51" s="26"/>
      <c r="S51" s="13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</row>
    <row r="52" ht="15.75" customHeight="1">
      <c r="A52" s="25"/>
      <c r="B52" s="14"/>
      <c r="C52" s="14"/>
      <c r="D52" s="14"/>
      <c r="E52" s="14"/>
      <c r="F52" s="14"/>
      <c r="G52" s="26"/>
      <c r="H52" s="28"/>
      <c r="I52" s="28"/>
      <c r="J52" s="28"/>
      <c r="K52" s="26"/>
      <c r="L52" s="26"/>
      <c r="M52" s="26"/>
      <c r="N52" s="26"/>
      <c r="O52" s="26"/>
      <c r="P52" s="28"/>
      <c r="Q52" s="28"/>
      <c r="R52" s="26"/>
      <c r="S52" s="13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</row>
    <row r="53" ht="15.75" customHeight="1">
      <c r="A53" s="25"/>
      <c r="B53" s="14"/>
      <c r="C53" s="14"/>
      <c r="D53" s="14"/>
      <c r="E53" s="14"/>
      <c r="F53" s="14"/>
      <c r="G53" s="26"/>
      <c r="H53" s="28"/>
      <c r="I53" s="28"/>
      <c r="J53" s="28"/>
      <c r="K53" s="26"/>
      <c r="L53" s="26"/>
      <c r="M53" s="26"/>
      <c r="N53" s="26"/>
      <c r="O53" s="26"/>
      <c r="P53" s="28"/>
      <c r="Q53" s="28"/>
      <c r="R53" s="26"/>
      <c r="S53" s="13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</row>
    <row r="54" ht="15.75" customHeight="1">
      <c r="A54" s="25"/>
      <c r="B54" s="14"/>
      <c r="C54" s="14"/>
      <c r="D54" s="14"/>
      <c r="E54" s="14"/>
      <c r="F54" s="14"/>
      <c r="G54" s="26"/>
      <c r="H54" s="28"/>
      <c r="I54" s="28"/>
      <c r="J54" s="28"/>
      <c r="K54" s="26"/>
      <c r="L54" s="26"/>
      <c r="M54" s="26"/>
      <c r="N54" s="26"/>
      <c r="O54" s="26"/>
      <c r="P54" s="28"/>
      <c r="Q54" s="28"/>
      <c r="R54" s="26"/>
      <c r="S54" s="13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</row>
    <row r="55" ht="15.75" customHeight="1">
      <c r="A55" s="25"/>
      <c r="B55" s="14"/>
      <c r="C55" s="14"/>
      <c r="D55" s="14"/>
      <c r="E55" s="14"/>
      <c r="F55" s="14"/>
      <c r="G55" s="26"/>
      <c r="H55" s="28"/>
      <c r="I55" s="28"/>
      <c r="J55" s="28"/>
      <c r="K55" s="26"/>
      <c r="L55" s="26"/>
      <c r="M55" s="26"/>
      <c r="N55" s="26"/>
      <c r="O55" s="26"/>
      <c r="P55" s="28"/>
      <c r="Q55" s="28"/>
      <c r="R55" s="26"/>
      <c r="S55" s="13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</row>
    <row r="56" ht="15.75" customHeight="1">
      <c r="A56" s="25"/>
      <c r="B56" s="14"/>
      <c r="C56" s="14"/>
      <c r="D56" s="14"/>
      <c r="E56" s="14"/>
      <c r="F56" s="14"/>
      <c r="G56" s="26"/>
      <c r="H56" s="28"/>
      <c r="I56" s="28"/>
      <c r="J56" s="28"/>
      <c r="K56" s="26"/>
      <c r="L56" s="26"/>
      <c r="M56" s="26"/>
      <c r="N56" s="26"/>
      <c r="O56" s="26"/>
      <c r="P56" s="28"/>
      <c r="Q56" s="28"/>
      <c r="R56" s="26"/>
      <c r="S56" s="13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</row>
    <row r="57" ht="15.75" customHeight="1">
      <c r="A57" s="25"/>
      <c r="B57" s="14"/>
      <c r="C57" s="14"/>
      <c r="D57" s="14"/>
      <c r="E57" s="14"/>
      <c r="F57" s="14"/>
      <c r="G57" s="26"/>
      <c r="H57" s="28"/>
      <c r="I57" s="28"/>
      <c r="J57" s="28"/>
      <c r="K57" s="26"/>
      <c r="L57" s="26"/>
      <c r="M57" s="26"/>
      <c r="N57" s="26"/>
      <c r="O57" s="26"/>
      <c r="P57" s="28"/>
      <c r="Q57" s="28"/>
      <c r="R57" s="26"/>
      <c r="S57" s="13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</row>
    <row r="58" ht="15.75" customHeight="1">
      <c r="A58" s="25"/>
      <c r="B58" s="14"/>
      <c r="C58" s="14"/>
      <c r="D58" s="14"/>
      <c r="E58" s="14"/>
      <c r="F58" s="14"/>
      <c r="G58" s="26"/>
      <c r="H58" s="28"/>
      <c r="I58" s="28"/>
      <c r="J58" s="28"/>
      <c r="K58" s="26"/>
      <c r="L58" s="26"/>
      <c r="M58" s="26"/>
      <c r="N58" s="26"/>
      <c r="O58" s="26"/>
      <c r="P58" s="28"/>
      <c r="Q58" s="28"/>
      <c r="R58" s="26"/>
      <c r="S58" s="13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</row>
    <row r="59" ht="15.75" customHeight="1">
      <c r="A59" s="25"/>
      <c r="B59" s="14"/>
      <c r="C59" s="14"/>
      <c r="D59" s="14"/>
      <c r="E59" s="14"/>
      <c r="F59" s="14"/>
      <c r="G59" s="26"/>
      <c r="H59" s="28"/>
      <c r="I59" s="28"/>
      <c r="J59" s="28"/>
      <c r="K59" s="26"/>
      <c r="L59" s="26"/>
      <c r="M59" s="26"/>
      <c r="N59" s="26"/>
      <c r="O59" s="26"/>
      <c r="P59" s="28"/>
      <c r="Q59" s="28"/>
      <c r="R59" s="26"/>
      <c r="S59" s="13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</row>
    <row r="60" ht="15.75" customHeight="1">
      <c r="A60" s="25"/>
      <c r="B60" s="14"/>
      <c r="C60" s="14"/>
      <c r="D60" s="14"/>
      <c r="E60" s="14"/>
      <c r="F60" s="14"/>
      <c r="G60" s="26"/>
      <c r="H60" s="28"/>
      <c r="I60" s="28"/>
      <c r="J60" s="28"/>
      <c r="K60" s="26"/>
      <c r="L60" s="26"/>
      <c r="M60" s="26"/>
      <c r="N60" s="26"/>
      <c r="O60" s="26"/>
      <c r="P60" s="28"/>
      <c r="Q60" s="28"/>
      <c r="R60" s="26"/>
      <c r="S60" s="13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</row>
    <row r="61" ht="15.75" customHeight="1">
      <c r="A61" s="25"/>
      <c r="B61" s="14"/>
      <c r="C61" s="14"/>
      <c r="D61" s="14"/>
      <c r="E61" s="14"/>
      <c r="F61" s="14"/>
      <c r="G61" s="26"/>
      <c r="H61" s="28"/>
      <c r="I61" s="28"/>
      <c r="J61" s="28"/>
      <c r="K61" s="26"/>
      <c r="L61" s="26"/>
      <c r="M61" s="26"/>
      <c r="N61" s="26"/>
      <c r="O61" s="26"/>
      <c r="P61" s="28"/>
      <c r="Q61" s="28"/>
      <c r="R61" s="26"/>
      <c r="S61" s="13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</row>
    <row r="62" ht="15.75" customHeight="1">
      <c r="A62" s="25"/>
      <c r="B62" s="14"/>
      <c r="C62" s="14"/>
      <c r="D62" s="14"/>
      <c r="E62" s="14"/>
      <c r="F62" s="14"/>
      <c r="G62" s="26"/>
      <c r="H62" s="28"/>
      <c r="I62" s="28"/>
      <c r="J62" s="28"/>
      <c r="K62" s="26"/>
      <c r="L62" s="26"/>
      <c r="M62" s="26"/>
      <c r="N62" s="26"/>
      <c r="O62" s="26"/>
      <c r="P62" s="28"/>
      <c r="Q62" s="28"/>
      <c r="R62" s="26"/>
      <c r="S62" s="13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</row>
    <row r="63" ht="15.75" customHeight="1">
      <c r="A63" s="25"/>
      <c r="B63" s="14"/>
      <c r="C63" s="14"/>
      <c r="D63" s="14"/>
      <c r="E63" s="14"/>
      <c r="F63" s="14"/>
      <c r="G63" s="26"/>
      <c r="H63" s="28"/>
      <c r="I63" s="28"/>
      <c r="J63" s="28"/>
      <c r="K63" s="26"/>
      <c r="L63" s="26"/>
      <c r="M63" s="26"/>
      <c r="N63" s="26"/>
      <c r="O63" s="26"/>
      <c r="P63" s="28"/>
      <c r="Q63" s="28"/>
      <c r="R63" s="26"/>
      <c r="S63" s="13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</row>
    <row r="64" ht="15.75" customHeight="1">
      <c r="A64" s="25"/>
      <c r="B64" s="14"/>
      <c r="C64" s="14"/>
      <c r="D64" s="14"/>
      <c r="E64" s="14"/>
      <c r="F64" s="14"/>
      <c r="G64" s="26"/>
      <c r="H64" s="28"/>
      <c r="I64" s="28"/>
      <c r="J64" s="28"/>
      <c r="K64" s="26"/>
      <c r="L64" s="26"/>
      <c r="M64" s="26"/>
      <c r="N64" s="26"/>
      <c r="O64" s="26"/>
      <c r="P64" s="28"/>
      <c r="Q64" s="28"/>
      <c r="R64" s="26"/>
      <c r="S64" s="13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</row>
    <row r="65" ht="15.75" customHeight="1">
      <c r="A65" s="25"/>
      <c r="B65" s="14"/>
      <c r="C65" s="14"/>
      <c r="D65" s="14"/>
      <c r="E65" s="14"/>
      <c r="F65" s="14"/>
      <c r="G65" s="26"/>
      <c r="H65" s="28"/>
      <c r="I65" s="28"/>
      <c r="J65" s="28"/>
      <c r="K65" s="26"/>
      <c r="L65" s="26"/>
      <c r="M65" s="26"/>
      <c r="N65" s="26"/>
      <c r="O65" s="26"/>
      <c r="P65" s="28"/>
      <c r="Q65" s="28"/>
      <c r="R65" s="26"/>
      <c r="S65" s="13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</row>
    <row r="66" ht="15.75" customHeight="1">
      <c r="A66" s="25"/>
      <c r="B66" s="14"/>
      <c r="C66" s="14"/>
      <c r="D66" s="14"/>
      <c r="E66" s="14"/>
      <c r="F66" s="14"/>
      <c r="G66" s="26"/>
      <c r="H66" s="28"/>
      <c r="I66" s="28"/>
      <c r="J66" s="28"/>
      <c r="K66" s="26"/>
      <c r="L66" s="26"/>
      <c r="M66" s="26"/>
      <c r="N66" s="26"/>
      <c r="O66" s="26"/>
      <c r="P66" s="28"/>
      <c r="Q66" s="28"/>
      <c r="R66" s="26"/>
      <c r="S66" s="13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</row>
    <row r="67" ht="15.75" customHeight="1">
      <c r="A67" s="25"/>
      <c r="B67" s="14"/>
      <c r="C67" s="14"/>
      <c r="D67" s="14"/>
      <c r="E67" s="14"/>
      <c r="F67" s="14"/>
      <c r="G67" s="26"/>
      <c r="H67" s="28"/>
      <c r="I67" s="28"/>
      <c r="J67" s="28"/>
      <c r="K67" s="26"/>
      <c r="L67" s="26"/>
      <c r="M67" s="26"/>
      <c r="N67" s="26"/>
      <c r="O67" s="26"/>
      <c r="P67" s="28"/>
      <c r="Q67" s="28"/>
      <c r="R67" s="26"/>
      <c r="S67" s="13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</row>
    <row r="68" ht="15.75" customHeight="1">
      <c r="A68" s="25"/>
      <c r="B68" s="14"/>
      <c r="C68" s="14"/>
      <c r="D68" s="14"/>
      <c r="E68" s="14"/>
      <c r="F68" s="14"/>
      <c r="G68" s="26"/>
      <c r="H68" s="28"/>
      <c r="I68" s="28"/>
      <c r="J68" s="28"/>
      <c r="K68" s="26"/>
      <c r="L68" s="26"/>
      <c r="M68" s="26"/>
      <c r="N68" s="26"/>
      <c r="O68" s="26"/>
      <c r="P68" s="28"/>
      <c r="Q68" s="28"/>
      <c r="R68" s="26"/>
      <c r="S68" s="13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</row>
    <row r="69" ht="15.75" customHeight="1">
      <c r="A69" s="25"/>
      <c r="B69" s="14"/>
      <c r="C69" s="14"/>
      <c r="D69" s="14"/>
      <c r="E69" s="14"/>
      <c r="F69" s="14"/>
      <c r="G69" s="26"/>
      <c r="H69" s="28"/>
      <c r="I69" s="28"/>
      <c r="J69" s="28"/>
      <c r="K69" s="26"/>
      <c r="L69" s="26"/>
      <c r="M69" s="26"/>
      <c r="N69" s="26"/>
      <c r="O69" s="26"/>
      <c r="P69" s="28"/>
      <c r="Q69" s="28"/>
      <c r="R69" s="26"/>
      <c r="S69" s="13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</row>
    <row r="70" ht="15.75" customHeight="1">
      <c r="A70" s="25"/>
      <c r="B70" s="14"/>
      <c r="C70" s="14"/>
      <c r="D70" s="14"/>
      <c r="E70" s="14"/>
      <c r="F70" s="14"/>
      <c r="G70" s="26"/>
      <c r="H70" s="28"/>
      <c r="I70" s="28"/>
      <c r="J70" s="28"/>
      <c r="K70" s="26"/>
      <c r="L70" s="26"/>
      <c r="M70" s="26"/>
      <c r="N70" s="26"/>
      <c r="O70" s="26"/>
      <c r="P70" s="28"/>
      <c r="Q70" s="28"/>
      <c r="R70" s="26"/>
      <c r="S70" s="13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</row>
    <row r="71" ht="15.75" customHeight="1">
      <c r="A71" s="25"/>
      <c r="B71" s="14"/>
      <c r="C71" s="14"/>
      <c r="D71" s="14"/>
      <c r="E71" s="14"/>
      <c r="F71" s="14"/>
      <c r="G71" s="26"/>
      <c r="H71" s="28"/>
      <c r="I71" s="28"/>
      <c r="J71" s="28"/>
      <c r="K71" s="26"/>
      <c r="L71" s="26"/>
      <c r="M71" s="26"/>
      <c r="N71" s="26"/>
      <c r="O71" s="26"/>
      <c r="P71" s="28"/>
      <c r="Q71" s="28"/>
      <c r="R71" s="26"/>
      <c r="S71" s="13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</row>
    <row r="72" ht="15.75" customHeight="1">
      <c r="A72" s="25"/>
      <c r="B72" s="14"/>
      <c r="C72" s="14"/>
      <c r="D72" s="14"/>
      <c r="E72" s="14"/>
      <c r="F72" s="14"/>
      <c r="G72" s="26"/>
      <c r="H72" s="28"/>
      <c r="I72" s="28"/>
      <c r="J72" s="28"/>
      <c r="K72" s="26"/>
      <c r="L72" s="26"/>
      <c r="M72" s="26"/>
      <c r="N72" s="26"/>
      <c r="O72" s="26"/>
      <c r="P72" s="28"/>
      <c r="Q72" s="28"/>
      <c r="R72" s="26"/>
      <c r="S72" s="13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</row>
    <row r="73" ht="15.75" customHeight="1">
      <c r="A73" s="25"/>
      <c r="B73" s="14"/>
      <c r="C73" s="14"/>
      <c r="D73" s="14"/>
      <c r="E73" s="14"/>
      <c r="F73" s="14"/>
      <c r="G73" s="26"/>
      <c r="H73" s="28"/>
      <c r="I73" s="28"/>
      <c r="J73" s="28"/>
      <c r="K73" s="26"/>
      <c r="L73" s="26"/>
      <c r="M73" s="26"/>
      <c r="N73" s="26"/>
      <c r="O73" s="26"/>
      <c r="P73" s="28"/>
      <c r="Q73" s="28"/>
      <c r="R73" s="26"/>
      <c r="S73" s="13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</row>
    <row r="74" ht="15.75" customHeight="1">
      <c r="A74" s="25"/>
      <c r="B74" s="14"/>
      <c r="C74" s="14"/>
      <c r="D74" s="14"/>
      <c r="E74" s="14"/>
      <c r="F74" s="14"/>
      <c r="G74" s="26"/>
      <c r="H74" s="28"/>
      <c r="I74" s="28"/>
      <c r="J74" s="28"/>
      <c r="K74" s="26"/>
      <c r="L74" s="26"/>
      <c r="M74" s="26"/>
      <c r="N74" s="26"/>
      <c r="O74" s="26"/>
      <c r="P74" s="28"/>
      <c r="Q74" s="28"/>
      <c r="R74" s="26"/>
      <c r="S74" s="13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</row>
    <row r="75" ht="15.75" customHeight="1">
      <c r="A75" s="25"/>
      <c r="B75" s="14"/>
      <c r="C75" s="14"/>
      <c r="D75" s="14"/>
      <c r="E75" s="14"/>
      <c r="F75" s="14"/>
      <c r="G75" s="26"/>
      <c r="H75" s="28"/>
      <c r="I75" s="28"/>
      <c r="J75" s="28"/>
      <c r="K75" s="26"/>
      <c r="L75" s="26"/>
      <c r="M75" s="26"/>
      <c r="N75" s="26"/>
      <c r="O75" s="26"/>
      <c r="P75" s="28"/>
      <c r="Q75" s="28"/>
      <c r="R75" s="26"/>
      <c r="S75" s="13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</row>
    <row r="76" ht="15.75" customHeight="1">
      <c r="A76" s="25"/>
      <c r="B76" s="14"/>
      <c r="C76" s="14"/>
      <c r="D76" s="14"/>
      <c r="E76" s="14"/>
      <c r="F76" s="14"/>
      <c r="G76" s="26"/>
      <c r="H76" s="28"/>
      <c r="I76" s="28"/>
      <c r="J76" s="28"/>
      <c r="K76" s="26"/>
      <c r="L76" s="26"/>
      <c r="M76" s="26"/>
      <c r="N76" s="26"/>
      <c r="O76" s="26"/>
      <c r="P76" s="28"/>
      <c r="Q76" s="28"/>
      <c r="R76" s="26"/>
      <c r="S76" s="13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</row>
    <row r="77" ht="15.75" customHeight="1">
      <c r="A77" s="25"/>
      <c r="B77" s="14"/>
      <c r="C77" s="14"/>
      <c r="D77" s="14"/>
      <c r="E77" s="14"/>
      <c r="F77" s="14"/>
      <c r="G77" s="26"/>
      <c r="H77" s="28"/>
      <c r="I77" s="28"/>
      <c r="J77" s="28"/>
      <c r="K77" s="26"/>
      <c r="L77" s="26"/>
      <c r="M77" s="26"/>
      <c r="N77" s="26"/>
      <c r="O77" s="26"/>
      <c r="P77" s="28"/>
      <c r="Q77" s="28"/>
      <c r="R77" s="26"/>
      <c r="S77" s="13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</row>
    <row r="78" ht="15.75" customHeight="1">
      <c r="A78" s="25"/>
      <c r="B78" s="14"/>
      <c r="C78" s="14"/>
      <c r="D78" s="14"/>
      <c r="E78" s="14"/>
      <c r="F78" s="14"/>
      <c r="G78" s="26"/>
      <c r="H78" s="28"/>
      <c r="I78" s="28"/>
      <c r="J78" s="28"/>
      <c r="K78" s="26"/>
      <c r="L78" s="26"/>
      <c r="M78" s="26"/>
      <c r="N78" s="26"/>
      <c r="O78" s="26"/>
      <c r="P78" s="28"/>
      <c r="Q78" s="28"/>
      <c r="R78" s="26"/>
      <c r="S78" s="13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</row>
    <row r="79" ht="15.75" customHeight="1">
      <c r="A79" s="25"/>
      <c r="B79" s="14"/>
      <c r="C79" s="14"/>
      <c r="D79" s="14"/>
      <c r="E79" s="14"/>
      <c r="F79" s="14"/>
      <c r="G79" s="26"/>
      <c r="H79" s="28"/>
      <c r="I79" s="28"/>
      <c r="J79" s="28"/>
      <c r="K79" s="26"/>
      <c r="L79" s="26"/>
      <c r="M79" s="26"/>
      <c r="N79" s="26"/>
      <c r="O79" s="26"/>
      <c r="P79" s="28"/>
      <c r="Q79" s="28"/>
      <c r="R79" s="26"/>
      <c r="S79" s="13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</row>
    <row r="80" ht="15.75" customHeight="1">
      <c r="A80" s="25"/>
      <c r="B80" s="14"/>
      <c r="C80" s="14"/>
      <c r="D80" s="14"/>
      <c r="E80" s="14"/>
      <c r="F80" s="14"/>
      <c r="G80" s="26"/>
      <c r="H80" s="28"/>
      <c r="I80" s="28"/>
      <c r="J80" s="28"/>
      <c r="K80" s="26"/>
      <c r="L80" s="26"/>
      <c r="M80" s="26"/>
      <c r="N80" s="26"/>
      <c r="O80" s="26"/>
      <c r="P80" s="28"/>
      <c r="Q80" s="28"/>
      <c r="R80" s="26"/>
      <c r="S80" s="13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</row>
    <row r="81" ht="15.75" customHeight="1">
      <c r="A81" s="25"/>
      <c r="B81" s="14"/>
      <c r="C81" s="14"/>
      <c r="D81" s="14"/>
      <c r="E81" s="14"/>
      <c r="F81" s="14"/>
      <c r="G81" s="26"/>
      <c r="H81" s="28"/>
      <c r="I81" s="28"/>
      <c r="J81" s="28"/>
      <c r="K81" s="26"/>
      <c r="L81" s="26"/>
      <c r="M81" s="26"/>
      <c r="N81" s="26"/>
      <c r="O81" s="26"/>
      <c r="P81" s="28"/>
      <c r="Q81" s="28"/>
      <c r="R81" s="26"/>
      <c r="S81" s="13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</row>
    <row r="82" ht="15.75" customHeight="1">
      <c r="A82" s="25"/>
      <c r="B82" s="14"/>
      <c r="C82" s="14"/>
      <c r="D82" s="14"/>
      <c r="E82" s="14"/>
      <c r="F82" s="14"/>
      <c r="G82" s="26"/>
      <c r="H82" s="28"/>
      <c r="I82" s="28"/>
      <c r="J82" s="28"/>
      <c r="K82" s="26"/>
      <c r="L82" s="26"/>
      <c r="M82" s="26"/>
      <c r="N82" s="26"/>
      <c r="O82" s="26"/>
      <c r="P82" s="28"/>
      <c r="Q82" s="28"/>
      <c r="R82" s="26"/>
      <c r="S82" s="13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</row>
    <row r="83" ht="15.75" customHeight="1">
      <c r="A83" s="25"/>
      <c r="B83" s="14"/>
      <c r="C83" s="14"/>
      <c r="D83" s="14"/>
      <c r="E83" s="14"/>
      <c r="F83" s="14"/>
      <c r="G83" s="26"/>
      <c r="H83" s="28"/>
      <c r="I83" s="28"/>
      <c r="J83" s="28"/>
      <c r="K83" s="26"/>
      <c r="L83" s="26"/>
      <c r="M83" s="26"/>
      <c r="N83" s="26"/>
      <c r="O83" s="26"/>
      <c r="P83" s="28"/>
      <c r="Q83" s="28"/>
      <c r="R83" s="26"/>
      <c r="S83" s="13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</row>
    <row r="84" ht="15.75" customHeight="1">
      <c r="A84" s="25"/>
      <c r="B84" s="14"/>
      <c r="C84" s="14"/>
      <c r="D84" s="14"/>
      <c r="E84" s="14"/>
      <c r="F84" s="14"/>
      <c r="G84" s="26"/>
      <c r="H84" s="28"/>
      <c r="I84" s="28"/>
      <c r="J84" s="28"/>
      <c r="K84" s="26"/>
      <c r="L84" s="26"/>
      <c r="M84" s="26"/>
      <c r="N84" s="26"/>
      <c r="O84" s="26"/>
      <c r="P84" s="28"/>
      <c r="Q84" s="28"/>
      <c r="R84" s="26"/>
      <c r="S84" s="13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</row>
    <row r="85" ht="15.75" customHeight="1">
      <c r="A85" s="25"/>
      <c r="B85" s="14"/>
      <c r="C85" s="14"/>
      <c r="D85" s="14"/>
      <c r="E85" s="14"/>
      <c r="F85" s="14"/>
      <c r="G85" s="26"/>
      <c r="H85" s="28"/>
      <c r="I85" s="28"/>
      <c r="J85" s="28"/>
      <c r="K85" s="26"/>
      <c r="L85" s="26"/>
      <c r="M85" s="26"/>
      <c r="N85" s="26"/>
      <c r="O85" s="26"/>
      <c r="P85" s="28"/>
      <c r="Q85" s="28"/>
      <c r="R85" s="26"/>
      <c r="S85" s="13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</row>
    <row r="86" ht="15.75" customHeight="1">
      <c r="A86" s="25"/>
      <c r="B86" s="14"/>
      <c r="C86" s="14"/>
      <c r="D86" s="14"/>
      <c r="E86" s="14"/>
      <c r="F86" s="14"/>
      <c r="G86" s="26"/>
      <c r="H86" s="28"/>
      <c r="I86" s="28"/>
      <c r="J86" s="28"/>
      <c r="K86" s="26"/>
      <c r="L86" s="26"/>
      <c r="M86" s="26"/>
      <c r="N86" s="26"/>
      <c r="O86" s="26"/>
      <c r="P86" s="28"/>
      <c r="Q86" s="28"/>
      <c r="R86" s="26"/>
      <c r="S86" s="13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</row>
    <row r="87" ht="15.75" customHeight="1">
      <c r="A87" s="25"/>
      <c r="B87" s="14"/>
      <c r="C87" s="14"/>
      <c r="D87" s="14"/>
      <c r="E87" s="14"/>
      <c r="F87" s="14"/>
      <c r="G87" s="26"/>
      <c r="H87" s="28"/>
      <c r="I87" s="28"/>
      <c r="J87" s="28"/>
      <c r="K87" s="26"/>
      <c r="L87" s="26"/>
      <c r="M87" s="26"/>
      <c r="N87" s="26"/>
      <c r="O87" s="26"/>
      <c r="P87" s="28"/>
      <c r="Q87" s="28"/>
      <c r="R87" s="26"/>
      <c r="S87" s="13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</row>
    <row r="88" ht="15.75" customHeight="1">
      <c r="A88" s="25"/>
      <c r="B88" s="14"/>
      <c r="C88" s="14"/>
      <c r="D88" s="14"/>
      <c r="E88" s="14"/>
      <c r="F88" s="14"/>
      <c r="G88" s="26"/>
      <c r="H88" s="28"/>
      <c r="I88" s="28"/>
      <c r="J88" s="28"/>
      <c r="K88" s="26"/>
      <c r="L88" s="26"/>
      <c r="M88" s="26"/>
      <c r="N88" s="26"/>
      <c r="O88" s="26"/>
      <c r="P88" s="28"/>
      <c r="Q88" s="28"/>
      <c r="R88" s="26"/>
      <c r="S88" s="13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</row>
    <row r="89" ht="15.75" customHeight="1">
      <c r="A89" s="25"/>
      <c r="B89" s="14"/>
      <c r="C89" s="14"/>
      <c r="D89" s="14"/>
      <c r="E89" s="14"/>
      <c r="F89" s="14"/>
      <c r="G89" s="26"/>
      <c r="H89" s="28"/>
      <c r="I89" s="28"/>
      <c r="J89" s="28"/>
      <c r="K89" s="26"/>
      <c r="L89" s="26"/>
      <c r="M89" s="26"/>
      <c r="N89" s="26"/>
      <c r="O89" s="26"/>
      <c r="P89" s="28"/>
      <c r="Q89" s="28"/>
      <c r="R89" s="26"/>
      <c r="S89" s="13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</row>
    <row r="90" ht="15.75" customHeight="1">
      <c r="A90" s="25"/>
      <c r="B90" s="14"/>
      <c r="C90" s="14"/>
      <c r="D90" s="14"/>
      <c r="E90" s="14"/>
      <c r="F90" s="14"/>
      <c r="G90" s="26"/>
      <c r="H90" s="28"/>
      <c r="I90" s="28"/>
      <c r="J90" s="28"/>
      <c r="K90" s="26"/>
      <c r="L90" s="26"/>
      <c r="M90" s="26"/>
      <c r="N90" s="26"/>
      <c r="O90" s="26"/>
      <c r="P90" s="28"/>
      <c r="Q90" s="28"/>
      <c r="R90" s="26"/>
      <c r="S90" s="13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</row>
    <row r="91" ht="15.75" customHeight="1">
      <c r="A91" s="25"/>
      <c r="B91" s="14"/>
      <c r="C91" s="14"/>
      <c r="D91" s="14"/>
      <c r="E91" s="14"/>
      <c r="F91" s="14"/>
      <c r="G91" s="26"/>
      <c r="H91" s="28"/>
      <c r="I91" s="28"/>
      <c r="J91" s="28"/>
      <c r="K91" s="26"/>
      <c r="L91" s="26"/>
      <c r="M91" s="26"/>
      <c r="N91" s="26"/>
      <c r="O91" s="26"/>
      <c r="P91" s="28"/>
      <c r="Q91" s="28"/>
      <c r="R91" s="26"/>
      <c r="S91" s="13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</row>
    <row r="92" ht="15.75" customHeight="1">
      <c r="A92" s="25"/>
      <c r="B92" s="14"/>
      <c r="C92" s="14"/>
      <c r="D92" s="14"/>
      <c r="E92" s="14"/>
      <c r="F92" s="14"/>
      <c r="G92" s="26"/>
      <c r="H92" s="28"/>
      <c r="I92" s="28"/>
      <c r="J92" s="28"/>
      <c r="K92" s="26"/>
      <c r="L92" s="26"/>
      <c r="M92" s="26"/>
      <c r="N92" s="26"/>
      <c r="O92" s="26"/>
      <c r="P92" s="28"/>
      <c r="Q92" s="28"/>
      <c r="R92" s="26"/>
      <c r="S92" s="13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</row>
    <row r="93" ht="15.75" customHeight="1">
      <c r="A93" s="25"/>
      <c r="B93" s="14"/>
      <c r="C93" s="14"/>
      <c r="D93" s="14"/>
      <c r="E93" s="14"/>
      <c r="F93" s="14"/>
      <c r="G93" s="26"/>
      <c r="H93" s="28"/>
      <c r="I93" s="28"/>
      <c r="J93" s="28"/>
      <c r="K93" s="26"/>
      <c r="L93" s="26"/>
      <c r="M93" s="26"/>
      <c r="N93" s="26"/>
      <c r="O93" s="26"/>
      <c r="P93" s="28"/>
      <c r="Q93" s="28"/>
      <c r="R93" s="26"/>
      <c r="S93" s="13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</row>
    <row r="94" ht="15.75" customHeight="1">
      <c r="A94" s="25"/>
      <c r="B94" s="14"/>
      <c r="C94" s="14"/>
      <c r="D94" s="14"/>
      <c r="E94" s="14"/>
      <c r="F94" s="14"/>
      <c r="G94" s="26"/>
      <c r="H94" s="28"/>
      <c r="I94" s="28"/>
      <c r="J94" s="28"/>
      <c r="K94" s="26"/>
      <c r="L94" s="26"/>
      <c r="M94" s="26"/>
      <c r="N94" s="26"/>
      <c r="O94" s="26"/>
      <c r="P94" s="28"/>
      <c r="Q94" s="28"/>
      <c r="R94" s="26"/>
      <c r="S94" s="13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</row>
    <row r="95" ht="15.75" customHeight="1">
      <c r="A95" s="25"/>
      <c r="B95" s="14"/>
      <c r="C95" s="14"/>
      <c r="D95" s="14"/>
      <c r="E95" s="14"/>
      <c r="F95" s="14"/>
      <c r="G95" s="26"/>
      <c r="H95" s="28"/>
      <c r="I95" s="28"/>
      <c r="J95" s="28"/>
      <c r="K95" s="26"/>
      <c r="L95" s="26"/>
      <c r="M95" s="26"/>
      <c r="N95" s="26"/>
      <c r="O95" s="26"/>
      <c r="P95" s="28"/>
      <c r="Q95" s="28"/>
      <c r="R95" s="26"/>
      <c r="S95" s="13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</row>
    <row r="96" ht="15.75" customHeight="1">
      <c r="A96" s="25"/>
      <c r="B96" s="14"/>
      <c r="C96" s="14"/>
      <c r="D96" s="14"/>
      <c r="E96" s="14"/>
      <c r="F96" s="14"/>
      <c r="G96" s="26"/>
      <c r="H96" s="28"/>
      <c r="I96" s="28"/>
      <c r="J96" s="28"/>
      <c r="K96" s="26"/>
      <c r="L96" s="26"/>
      <c r="M96" s="26"/>
      <c r="N96" s="26"/>
      <c r="O96" s="26"/>
      <c r="P96" s="28"/>
      <c r="Q96" s="28"/>
      <c r="R96" s="26"/>
      <c r="S96" s="13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</row>
    <row r="97" ht="15.75" customHeight="1">
      <c r="A97" s="25"/>
      <c r="B97" s="14"/>
      <c r="C97" s="14"/>
      <c r="D97" s="14"/>
      <c r="E97" s="14"/>
      <c r="F97" s="14"/>
      <c r="G97" s="26"/>
      <c r="H97" s="28"/>
      <c r="I97" s="28"/>
      <c r="J97" s="28"/>
      <c r="K97" s="26"/>
      <c r="L97" s="26"/>
      <c r="M97" s="26"/>
      <c r="N97" s="26"/>
      <c r="O97" s="26"/>
      <c r="P97" s="28"/>
      <c r="Q97" s="28"/>
      <c r="R97" s="26"/>
      <c r="S97" s="13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</row>
    <row r="98" ht="15.75" customHeight="1">
      <c r="A98" s="25"/>
      <c r="B98" s="14"/>
      <c r="C98" s="14"/>
      <c r="D98" s="14"/>
      <c r="E98" s="14"/>
      <c r="F98" s="14"/>
      <c r="G98" s="26"/>
      <c r="H98" s="28"/>
      <c r="I98" s="28"/>
      <c r="J98" s="28"/>
      <c r="K98" s="26"/>
      <c r="L98" s="26"/>
      <c r="M98" s="26"/>
      <c r="N98" s="26"/>
      <c r="O98" s="26"/>
      <c r="P98" s="28"/>
      <c r="Q98" s="28"/>
      <c r="R98" s="26"/>
      <c r="S98" s="13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</row>
    <row r="99" ht="15.75" customHeight="1">
      <c r="A99" s="25"/>
      <c r="B99" s="14"/>
      <c r="C99" s="14"/>
      <c r="D99" s="14"/>
      <c r="E99" s="14"/>
      <c r="F99" s="14"/>
      <c r="G99" s="26"/>
      <c r="H99" s="28"/>
      <c r="I99" s="28"/>
      <c r="J99" s="28"/>
      <c r="K99" s="26"/>
      <c r="L99" s="26"/>
      <c r="M99" s="26"/>
      <c r="N99" s="26"/>
      <c r="O99" s="26"/>
      <c r="P99" s="28"/>
      <c r="Q99" s="28"/>
      <c r="R99" s="26"/>
      <c r="S99" s="13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</row>
    <row r="100" ht="15.75" customHeight="1">
      <c r="A100" s="25"/>
      <c r="B100" s="14"/>
      <c r="C100" s="14"/>
      <c r="D100" s="14"/>
      <c r="E100" s="14"/>
      <c r="F100" s="14"/>
      <c r="G100" s="26"/>
      <c r="H100" s="28"/>
      <c r="I100" s="28"/>
      <c r="J100" s="28"/>
      <c r="K100" s="26"/>
      <c r="L100" s="26"/>
      <c r="M100" s="26"/>
      <c r="N100" s="26"/>
      <c r="O100" s="26"/>
      <c r="P100" s="28"/>
      <c r="Q100" s="28"/>
      <c r="R100" s="26"/>
      <c r="S100" s="13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</row>
    <row r="101" ht="15.75" customHeight="1">
      <c r="A101" s="25"/>
      <c r="B101" s="14"/>
      <c r="C101" s="14"/>
      <c r="D101" s="14"/>
      <c r="E101" s="14"/>
      <c r="F101" s="14"/>
      <c r="G101" s="26"/>
      <c r="H101" s="28"/>
      <c r="I101" s="28"/>
      <c r="J101" s="28"/>
      <c r="K101" s="26"/>
      <c r="L101" s="26"/>
      <c r="M101" s="26"/>
      <c r="N101" s="26"/>
      <c r="O101" s="26"/>
      <c r="P101" s="28"/>
      <c r="Q101" s="28"/>
      <c r="R101" s="26"/>
      <c r="S101" s="13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</row>
    <row r="102" ht="15.75" customHeight="1">
      <c r="A102" s="25"/>
      <c r="B102" s="14"/>
      <c r="C102" s="14"/>
      <c r="D102" s="14"/>
      <c r="E102" s="14"/>
      <c r="F102" s="14"/>
      <c r="G102" s="26"/>
      <c r="H102" s="28"/>
      <c r="I102" s="28"/>
      <c r="J102" s="28"/>
      <c r="K102" s="26"/>
      <c r="L102" s="26"/>
      <c r="M102" s="26"/>
      <c r="N102" s="26"/>
      <c r="O102" s="26"/>
      <c r="P102" s="28"/>
      <c r="Q102" s="28"/>
      <c r="R102" s="26"/>
      <c r="S102" s="13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</row>
    <row r="103" ht="15.75" customHeight="1">
      <c r="A103" s="25"/>
      <c r="B103" s="14"/>
      <c r="C103" s="14"/>
      <c r="D103" s="14"/>
      <c r="E103" s="14"/>
      <c r="F103" s="14"/>
      <c r="G103" s="26"/>
      <c r="H103" s="28"/>
      <c r="I103" s="28"/>
      <c r="J103" s="28"/>
      <c r="K103" s="26"/>
      <c r="L103" s="26"/>
      <c r="M103" s="26"/>
      <c r="N103" s="26"/>
      <c r="O103" s="26"/>
      <c r="P103" s="28"/>
      <c r="Q103" s="28"/>
      <c r="R103" s="26"/>
      <c r="S103" s="13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</row>
    <row r="104" ht="15.75" customHeight="1">
      <c r="A104" s="25"/>
      <c r="B104" s="14"/>
      <c r="C104" s="14"/>
      <c r="D104" s="14"/>
      <c r="E104" s="14"/>
      <c r="F104" s="14"/>
      <c r="G104" s="26"/>
      <c r="H104" s="28"/>
      <c r="I104" s="28"/>
      <c r="J104" s="28"/>
      <c r="K104" s="26"/>
      <c r="L104" s="26"/>
      <c r="M104" s="26"/>
      <c r="N104" s="26"/>
      <c r="O104" s="26"/>
      <c r="P104" s="28"/>
      <c r="Q104" s="28"/>
      <c r="R104" s="26"/>
      <c r="S104" s="13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</row>
    <row r="105" ht="15.75" customHeight="1">
      <c r="A105" s="25"/>
      <c r="B105" s="14"/>
      <c r="C105" s="14"/>
      <c r="D105" s="14"/>
      <c r="E105" s="14"/>
      <c r="F105" s="14"/>
      <c r="G105" s="26"/>
      <c r="H105" s="28"/>
      <c r="I105" s="28"/>
      <c r="J105" s="28"/>
      <c r="K105" s="26"/>
      <c r="L105" s="26"/>
      <c r="M105" s="26"/>
      <c r="N105" s="26"/>
      <c r="O105" s="26"/>
      <c r="P105" s="28"/>
      <c r="Q105" s="28"/>
      <c r="R105" s="26"/>
      <c r="S105" s="13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</row>
    <row r="106" ht="15.75" customHeight="1">
      <c r="A106" s="25"/>
      <c r="B106" s="14"/>
      <c r="C106" s="14"/>
      <c r="D106" s="14"/>
      <c r="E106" s="14"/>
      <c r="F106" s="14"/>
      <c r="G106" s="26"/>
      <c r="H106" s="28"/>
      <c r="I106" s="28"/>
      <c r="J106" s="28"/>
      <c r="K106" s="26"/>
      <c r="L106" s="26"/>
      <c r="M106" s="26"/>
      <c r="N106" s="26"/>
      <c r="O106" s="26"/>
      <c r="P106" s="28"/>
      <c r="Q106" s="28"/>
      <c r="R106" s="26"/>
      <c r="S106" s="13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</row>
    <row r="107" ht="15.75" customHeight="1">
      <c r="A107" s="25"/>
      <c r="B107" s="14"/>
      <c r="C107" s="14"/>
      <c r="D107" s="14"/>
      <c r="E107" s="14"/>
      <c r="F107" s="14"/>
      <c r="G107" s="26"/>
      <c r="H107" s="28"/>
      <c r="I107" s="28"/>
      <c r="J107" s="28"/>
      <c r="K107" s="26"/>
      <c r="L107" s="26"/>
      <c r="M107" s="26"/>
      <c r="N107" s="26"/>
      <c r="O107" s="26"/>
      <c r="P107" s="28"/>
      <c r="Q107" s="28"/>
      <c r="R107" s="26"/>
      <c r="S107" s="13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</row>
    <row r="108" ht="15.75" customHeight="1">
      <c r="A108" s="25"/>
      <c r="B108" s="14"/>
      <c r="C108" s="14"/>
      <c r="D108" s="14"/>
      <c r="E108" s="14"/>
      <c r="F108" s="14"/>
      <c r="G108" s="26"/>
      <c r="H108" s="28"/>
      <c r="I108" s="28"/>
      <c r="J108" s="28"/>
      <c r="K108" s="26"/>
      <c r="L108" s="26"/>
      <c r="M108" s="26"/>
      <c r="N108" s="26"/>
      <c r="O108" s="26"/>
      <c r="P108" s="28"/>
      <c r="Q108" s="28"/>
      <c r="R108" s="26"/>
      <c r="S108" s="13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</row>
    <row r="109" ht="15.75" customHeight="1">
      <c r="A109" s="25"/>
      <c r="B109" s="14"/>
      <c r="C109" s="14"/>
      <c r="D109" s="14"/>
      <c r="E109" s="14"/>
      <c r="F109" s="14"/>
      <c r="G109" s="26"/>
      <c r="H109" s="28"/>
      <c r="I109" s="28"/>
      <c r="J109" s="28"/>
      <c r="K109" s="26"/>
      <c r="L109" s="26"/>
      <c r="M109" s="26"/>
      <c r="N109" s="26"/>
      <c r="O109" s="26"/>
      <c r="P109" s="28"/>
      <c r="Q109" s="28"/>
      <c r="R109" s="26"/>
      <c r="S109" s="13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</row>
    <row r="110" ht="15.75" customHeight="1">
      <c r="A110" s="25"/>
      <c r="B110" s="14"/>
      <c r="C110" s="14"/>
      <c r="D110" s="14"/>
      <c r="E110" s="14"/>
      <c r="F110" s="14"/>
      <c r="G110" s="26"/>
      <c r="H110" s="28"/>
      <c r="I110" s="28"/>
      <c r="J110" s="28"/>
      <c r="K110" s="26"/>
      <c r="L110" s="26"/>
      <c r="M110" s="26"/>
      <c r="N110" s="26"/>
      <c r="O110" s="26"/>
      <c r="P110" s="28"/>
      <c r="Q110" s="28"/>
      <c r="R110" s="26"/>
      <c r="S110" s="13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</row>
    <row r="111" ht="15.75" customHeight="1">
      <c r="A111" s="25"/>
      <c r="B111" s="14"/>
      <c r="C111" s="14"/>
      <c r="D111" s="14"/>
      <c r="E111" s="14"/>
      <c r="F111" s="14"/>
      <c r="G111" s="26"/>
      <c r="H111" s="28"/>
      <c r="I111" s="28"/>
      <c r="J111" s="28"/>
      <c r="K111" s="26"/>
      <c r="L111" s="26"/>
      <c r="M111" s="26"/>
      <c r="N111" s="26"/>
      <c r="O111" s="26"/>
      <c r="P111" s="28"/>
      <c r="Q111" s="28"/>
      <c r="R111" s="26"/>
      <c r="S111" s="13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</row>
    <row r="112" ht="15.75" customHeight="1">
      <c r="A112" s="25"/>
      <c r="B112" s="14"/>
      <c r="C112" s="14"/>
      <c r="D112" s="14"/>
      <c r="E112" s="14"/>
      <c r="F112" s="14"/>
      <c r="G112" s="26"/>
      <c r="H112" s="28"/>
      <c r="I112" s="28"/>
      <c r="J112" s="28"/>
      <c r="K112" s="26"/>
      <c r="L112" s="26"/>
      <c r="M112" s="26"/>
      <c r="N112" s="26"/>
      <c r="O112" s="26"/>
      <c r="P112" s="28"/>
      <c r="Q112" s="28"/>
      <c r="R112" s="26"/>
      <c r="S112" s="13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</row>
    <row r="113" ht="15.75" customHeight="1">
      <c r="A113" s="25"/>
      <c r="B113" s="14"/>
      <c r="C113" s="14"/>
      <c r="D113" s="14"/>
      <c r="E113" s="14"/>
      <c r="F113" s="14"/>
      <c r="G113" s="26"/>
      <c r="H113" s="28"/>
      <c r="I113" s="28"/>
      <c r="J113" s="28"/>
      <c r="K113" s="26"/>
      <c r="L113" s="26"/>
      <c r="M113" s="26"/>
      <c r="N113" s="26"/>
      <c r="O113" s="26"/>
      <c r="P113" s="28"/>
      <c r="Q113" s="28"/>
      <c r="R113" s="26"/>
      <c r="S113" s="13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</row>
    <row r="114" ht="15.75" customHeight="1">
      <c r="A114" s="25"/>
      <c r="B114" s="14"/>
      <c r="C114" s="14"/>
      <c r="D114" s="14"/>
      <c r="E114" s="14"/>
      <c r="F114" s="14"/>
      <c r="G114" s="26"/>
      <c r="H114" s="28"/>
      <c r="I114" s="28"/>
      <c r="J114" s="28"/>
      <c r="K114" s="26"/>
      <c r="L114" s="26"/>
      <c r="M114" s="26"/>
      <c r="N114" s="26"/>
      <c r="O114" s="26"/>
      <c r="P114" s="28"/>
      <c r="Q114" s="28"/>
      <c r="R114" s="26"/>
      <c r="S114" s="13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</row>
    <row r="115" ht="15.75" customHeight="1">
      <c r="A115" s="25"/>
      <c r="B115" s="14"/>
      <c r="C115" s="14"/>
      <c r="D115" s="14"/>
      <c r="E115" s="14"/>
      <c r="F115" s="14"/>
      <c r="G115" s="26"/>
      <c r="H115" s="28"/>
      <c r="I115" s="28"/>
      <c r="J115" s="28"/>
      <c r="K115" s="26"/>
      <c r="L115" s="26"/>
      <c r="M115" s="26"/>
      <c r="N115" s="26"/>
      <c r="O115" s="26"/>
      <c r="P115" s="28"/>
      <c r="Q115" s="28"/>
      <c r="R115" s="26"/>
      <c r="S115" s="13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</row>
    <row r="116" ht="15.75" customHeight="1">
      <c r="A116" s="25"/>
      <c r="B116" s="14"/>
      <c r="C116" s="14"/>
      <c r="D116" s="14"/>
      <c r="E116" s="14"/>
      <c r="F116" s="14"/>
      <c r="G116" s="26"/>
      <c r="H116" s="28"/>
      <c r="I116" s="28"/>
      <c r="J116" s="28"/>
      <c r="K116" s="26"/>
      <c r="L116" s="26"/>
      <c r="M116" s="26"/>
      <c r="N116" s="26"/>
      <c r="O116" s="26"/>
      <c r="P116" s="28"/>
      <c r="Q116" s="28"/>
      <c r="R116" s="26"/>
      <c r="S116" s="13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</row>
    <row r="117" ht="15.75" customHeight="1">
      <c r="A117" s="25"/>
      <c r="B117" s="14"/>
      <c r="C117" s="14"/>
      <c r="D117" s="14"/>
      <c r="E117" s="14"/>
      <c r="F117" s="14"/>
      <c r="G117" s="26"/>
      <c r="H117" s="28"/>
      <c r="I117" s="28"/>
      <c r="J117" s="28"/>
      <c r="K117" s="26"/>
      <c r="L117" s="26"/>
      <c r="M117" s="26"/>
      <c r="N117" s="26"/>
      <c r="O117" s="26"/>
      <c r="P117" s="28"/>
      <c r="Q117" s="28"/>
      <c r="R117" s="26"/>
      <c r="S117" s="13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</row>
    <row r="118" ht="15.75" customHeight="1">
      <c r="A118" s="25"/>
      <c r="B118" s="14"/>
      <c r="C118" s="14"/>
      <c r="D118" s="14"/>
      <c r="E118" s="14"/>
      <c r="F118" s="14"/>
      <c r="G118" s="26"/>
      <c r="H118" s="28"/>
      <c r="I118" s="28"/>
      <c r="J118" s="28"/>
      <c r="K118" s="26"/>
      <c r="L118" s="26"/>
      <c r="M118" s="26"/>
      <c r="N118" s="26"/>
      <c r="O118" s="26"/>
      <c r="P118" s="28"/>
      <c r="Q118" s="28"/>
      <c r="R118" s="26"/>
      <c r="S118" s="13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</row>
    <row r="119" ht="15.75" customHeight="1">
      <c r="A119" s="25"/>
      <c r="B119" s="14"/>
      <c r="C119" s="14"/>
      <c r="D119" s="14"/>
      <c r="E119" s="14"/>
      <c r="F119" s="14"/>
      <c r="G119" s="26"/>
      <c r="H119" s="28"/>
      <c r="I119" s="28"/>
      <c r="J119" s="28"/>
      <c r="K119" s="26"/>
      <c r="L119" s="26"/>
      <c r="M119" s="26"/>
      <c r="N119" s="26"/>
      <c r="O119" s="26"/>
      <c r="P119" s="28"/>
      <c r="Q119" s="28"/>
      <c r="R119" s="26"/>
      <c r="S119" s="13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</row>
    <row r="120" ht="15.75" customHeight="1">
      <c r="A120" s="25"/>
      <c r="B120" s="14"/>
      <c r="C120" s="14"/>
      <c r="D120" s="14"/>
      <c r="E120" s="14"/>
      <c r="F120" s="14"/>
      <c r="G120" s="26"/>
      <c r="H120" s="28"/>
      <c r="I120" s="28"/>
      <c r="J120" s="28"/>
      <c r="K120" s="26"/>
      <c r="L120" s="26"/>
      <c r="M120" s="26"/>
      <c r="N120" s="26"/>
      <c r="O120" s="26"/>
      <c r="P120" s="28"/>
      <c r="Q120" s="28"/>
      <c r="R120" s="26"/>
      <c r="S120" s="13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</row>
    <row r="121" ht="15.75" customHeight="1">
      <c r="A121" s="25"/>
      <c r="B121" s="14"/>
      <c r="C121" s="14"/>
      <c r="D121" s="14"/>
      <c r="E121" s="14"/>
      <c r="F121" s="14"/>
      <c r="G121" s="26"/>
      <c r="H121" s="28"/>
      <c r="I121" s="28"/>
      <c r="J121" s="28"/>
      <c r="K121" s="26"/>
      <c r="L121" s="26"/>
      <c r="M121" s="26"/>
      <c r="N121" s="26"/>
      <c r="O121" s="26"/>
      <c r="P121" s="28"/>
      <c r="Q121" s="28"/>
      <c r="R121" s="26"/>
      <c r="S121" s="13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</row>
    <row r="122" ht="15.75" customHeight="1">
      <c r="A122" s="25"/>
      <c r="B122" s="14"/>
      <c r="C122" s="14"/>
      <c r="D122" s="14"/>
      <c r="E122" s="14"/>
      <c r="F122" s="14"/>
      <c r="G122" s="26"/>
      <c r="H122" s="28"/>
      <c r="I122" s="28"/>
      <c r="J122" s="28"/>
      <c r="K122" s="26"/>
      <c r="L122" s="26"/>
      <c r="M122" s="26"/>
      <c r="N122" s="26"/>
      <c r="O122" s="26"/>
      <c r="P122" s="28"/>
      <c r="Q122" s="28"/>
      <c r="R122" s="26"/>
      <c r="S122" s="13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</row>
    <row r="123" ht="15.75" customHeight="1">
      <c r="A123" s="25"/>
      <c r="B123" s="14"/>
      <c r="C123" s="14"/>
      <c r="D123" s="14"/>
      <c r="E123" s="14"/>
      <c r="F123" s="14"/>
      <c r="G123" s="26"/>
      <c r="H123" s="28"/>
      <c r="I123" s="28"/>
      <c r="J123" s="28"/>
      <c r="K123" s="26"/>
      <c r="L123" s="26"/>
      <c r="M123" s="26"/>
      <c r="N123" s="26"/>
      <c r="O123" s="26"/>
      <c r="P123" s="28"/>
      <c r="Q123" s="28"/>
      <c r="R123" s="26"/>
      <c r="S123" s="13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</row>
    <row r="124" ht="15.75" customHeight="1">
      <c r="A124" s="25"/>
      <c r="B124" s="14"/>
      <c r="C124" s="14"/>
      <c r="D124" s="14"/>
      <c r="E124" s="14"/>
      <c r="F124" s="14"/>
      <c r="G124" s="26"/>
      <c r="H124" s="28"/>
      <c r="I124" s="28"/>
      <c r="J124" s="28"/>
      <c r="K124" s="26"/>
      <c r="L124" s="26"/>
      <c r="M124" s="26"/>
      <c r="N124" s="26"/>
      <c r="O124" s="26"/>
      <c r="P124" s="28"/>
      <c r="Q124" s="28"/>
      <c r="R124" s="26"/>
      <c r="S124" s="13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</row>
    <row r="125" ht="15.75" customHeight="1">
      <c r="A125" s="25"/>
      <c r="B125" s="14"/>
      <c r="C125" s="14"/>
      <c r="D125" s="14"/>
      <c r="E125" s="14"/>
      <c r="F125" s="14"/>
      <c r="G125" s="26"/>
      <c r="H125" s="28"/>
      <c r="I125" s="28"/>
      <c r="J125" s="28"/>
      <c r="K125" s="26"/>
      <c r="L125" s="26"/>
      <c r="M125" s="26"/>
      <c r="N125" s="26"/>
      <c r="O125" s="26"/>
      <c r="P125" s="28"/>
      <c r="Q125" s="28"/>
      <c r="R125" s="26"/>
      <c r="S125" s="13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</row>
    <row r="126" ht="15.75" customHeight="1">
      <c r="A126" s="25"/>
      <c r="B126" s="14"/>
      <c r="C126" s="14"/>
      <c r="D126" s="14"/>
      <c r="E126" s="14"/>
      <c r="F126" s="14"/>
      <c r="G126" s="26"/>
      <c r="H126" s="28"/>
      <c r="I126" s="28"/>
      <c r="J126" s="28"/>
      <c r="K126" s="26"/>
      <c r="L126" s="26"/>
      <c r="M126" s="26"/>
      <c r="N126" s="26"/>
      <c r="O126" s="26"/>
      <c r="P126" s="28"/>
      <c r="Q126" s="28"/>
      <c r="R126" s="26"/>
      <c r="S126" s="13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</row>
    <row r="127" ht="15.75" customHeight="1">
      <c r="A127" s="25"/>
      <c r="B127" s="14"/>
      <c r="C127" s="14"/>
      <c r="D127" s="14"/>
      <c r="E127" s="14"/>
      <c r="F127" s="14"/>
      <c r="G127" s="26"/>
      <c r="H127" s="28"/>
      <c r="I127" s="28"/>
      <c r="J127" s="28"/>
      <c r="K127" s="26"/>
      <c r="L127" s="26"/>
      <c r="M127" s="26"/>
      <c r="N127" s="26"/>
      <c r="O127" s="26"/>
      <c r="P127" s="28"/>
      <c r="Q127" s="28"/>
      <c r="R127" s="26"/>
      <c r="S127" s="13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</row>
    <row r="128" ht="15.75" customHeight="1">
      <c r="A128" s="25"/>
      <c r="B128" s="14"/>
      <c r="C128" s="14"/>
      <c r="D128" s="14"/>
      <c r="E128" s="14"/>
      <c r="F128" s="14"/>
      <c r="G128" s="26"/>
      <c r="H128" s="28"/>
      <c r="I128" s="28"/>
      <c r="J128" s="28"/>
      <c r="K128" s="26"/>
      <c r="L128" s="26"/>
      <c r="M128" s="26"/>
      <c r="N128" s="26"/>
      <c r="O128" s="26"/>
      <c r="P128" s="28"/>
      <c r="Q128" s="28"/>
      <c r="R128" s="26"/>
      <c r="S128" s="13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</row>
    <row r="129" ht="15.75" customHeight="1">
      <c r="A129" s="25"/>
      <c r="B129" s="14"/>
      <c r="C129" s="14"/>
      <c r="D129" s="14"/>
      <c r="E129" s="14"/>
      <c r="F129" s="14"/>
      <c r="G129" s="26"/>
      <c r="H129" s="28"/>
      <c r="I129" s="28"/>
      <c r="J129" s="28"/>
      <c r="K129" s="26"/>
      <c r="L129" s="26"/>
      <c r="M129" s="26"/>
      <c r="N129" s="26"/>
      <c r="O129" s="26"/>
      <c r="P129" s="28"/>
      <c r="Q129" s="28"/>
      <c r="R129" s="26"/>
      <c r="S129" s="13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</row>
    <row r="130" ht="15.75" customHeight="1">
      <c r="A130" s="25"/>
      <c r="B130" s="14"/>
      <c r="C130" s="14"/>
      <c r="D130" s="14"/>
      <c r="E130" s="14"/>
      <c r="F130" s="14"/>
      <c r="G130" s="26"/>
      <c r="H130" s="28"/>
      <c r="I130" s="28"/>
      <c r="J130" s="28"/>
      <c r="K130" s="26"/>
      <c r="L130" s="26"/>
      <c r="M130" s="26"/>
      <c r="N130" s="26"/>
      <c r="O130" s="26"/>
      <c r="P130" s="28"/>
      <c r="Q130" s="28"/>
      <c r="R130" s="26"/>
      <c r="S130" s="13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</row>
    <row r="131" ht="15.75" customHeight="1">
      <c r="A131" s="25"/>
      <c r="B131" s="14"/>
      <c r="C131" s="14"/>
      <c r="D131" s="14"/>
      <c r="E131" s="14"/>
      <c r="F131" s="14"/>
      <c r="G131" s="26"/>
      <c r="H131" s="28"/>
      <c r="I131" s="28"/>
      <c r="J131" s="28"/>
      <c r="K131" s="26"/>
      <c r="L131" s="26"/>
      <c r="M131" s="26"/>
      <c r="N131" s="26"/>
      <c r="O131" s="26"/>
      <c r="P131" s="28"/>
      <c r="Q131" s="28"/>
      <c r="R131" s="26"/>
      <c r="S131" s="13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</row>
    <row r="132" ht="15.75" customHeight="1">
      <c r="A132" s="25"/>
      <c r="B132" s="14"/>
      <c r="C132" s="14"/>
      <c r="D132" s="14"/>
      <c r="E132" s="14"/>
      <c r="F132" s="14"/>
      <c r="G132" s="26"/>
      <c r="H132" s="28"/>
      <c r="I132" s="28"/>
      <c r="J132" s="28"/>
      <c r="K132" s="26"/>
      <c r="L132" s="26"/>
      <c r="M132" s="26"/>
      <c r="N132" s="26"/>
      <c r="O132" s="26"/>
      <c r="P132" s="28"/>
      <c r="Q132" s="28"/>
      <c r="R132" s="26"/>
      <c r="S132" s="13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</row>
    <row r="133" ht="15.75" customHeight="1">
      <c r="A133" s="25"/>
      <c r="B133" s="14"/>
      <c r="C133" s="14"/>
      <c r="D133" s="14"/>
      <c r="E133" s="14"/>
      <c r="F133" s="14"/>
      <c r="G133" s="26"/>
      <c r="H133" s="28"/>
      <c r="I133" s="28"/>
      <c r="J133" s="28"/>
      <c r="K133" s="26"/>
      <c r="L133" s="26"/>
      <c r="M133" s="26"/>
      <c r="N133" s="26"/>
      <c r="O133" s="26"/>
      <c r="P133" s="28"/>
      <c r="Q133" s="28"/>
      <c r="R133" s="26"/>
      <c r="S133" s="13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</row>
    <row r="134" ht="15.75" customHeight="1">
      <c r="A134" s="25"/>
      <c r="B134" s="14"/>
      <c r="C134" s="14"/>
      <c r="D134" s="14"/>
      <c r="E134" s="14"/>
      <c r="F134" s="14"/>
      <c r="G134" s="26"/>
      <c r="H134" s="28"/>
      <c r="I134" s="28"/>
      <c r="J134" s="28"/>
      <c r="K134" s="26"/>
      <c r="L134" s="26"/>
      <c r="M134" s="26"/>
      <c r="N134" s="26"/>
      <c r="O134" s="26"/>
      <c r="P134" s="28"/>
      <c r="Q134" s="28"/>
      <c r="R134" s="26"/>
      <c r="S134" s="13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</row>
    <row r="135" ht="15.75" customHeight="1">
      <c r="A135" s="25"/>
      <c r="B135" s="14"/>
      <c r="C135" s="14"/>
      <c r="D135" s="14"/>
      <c r="E135" s="14"/>
      <c r="F135" s="14"/>
      <c r="G135" s="26"/>
      <c r="H135" s="28"/>
      <c r="I135" s="28"/>
      <c r="J135" s="28"/>
      <c r="K135" s="26"/>
      <c r="L135" s="26"/>
      <c r="M135" s="26"/>
      <c r="N135" s="26"/>
      <c r="O135" s="26"/>
      <c r="P135" s="28"/>
      <c r="Q135" s="28"/>
      <c r="R135" s="26"/>
      <c r="S135" s="13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</row>
    <row r="136" ht="15.75" customHeight="1">
      <c r="A136" s="25"/>
      <c r="B136" s="14"/>
      <c r="C136" s="14"/>
      <c r="D136" s="14"/>
      <c r="E136" s="14"/>
      <c r="F136" s="14"/>
      <c r="G136" s="26"/>
      <c r="H136" s="28"/>
      <c r="I136" s="28"/>
      <c r="J136" s="28"/>
      <c r="K136" s="26"/>
      <c r="L136" s="26"/>
      <c r="M136" s="26"/>
      <c r="N136" s="26"/>
      <c r="O136" s="26"/>
      <c r="P136" s="28"/>
      <c r="Q136" s="28"/>
      <c r="R136" s="26"/>
      <c r="S136" s="13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</row>
    <row r="137" ht="15.75" customHeight="1">
      <c r="A137" s="25"/>
      <c r="B137" s="14"/>
      <c r="C137" s="14"/>
      <c r="D137" s="14"/>
      <c r="E137" s="14"/>
      <c r="F137" s="14"/>
      <c r="G137" s="26"/>
      <c r="H137" s="28"/>
      <c r="I137" s="28"/>
      <c r="J137" s="28"/>
      <c r="K137" s="26"/>
      <c r="L137" s="26"/>
      <c r="M137" s="26"/>
      <c r="N137" s="26"/>
      <c r="O137" s="26"/>
      <c r="P137" s="28"/>
      <c r="Q137" s="28"/>
      <c r="R137" s="26"/>
      <c r="S137" s="13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</row>
    <row r="138" ht="15.75" customHeight="1">
      <c r="A138" s="25"/>
      <c r="B138" s="14"/>
      <c r="C138" s="14"/>
      <c r="D138" s="14"/>
      <c r="E138" s="14"/>
      <c r="F138" s="14"/>
      <c r="G138" s="26"/>
      <c r="H138" s="28"/>
      <c r="I138" s="28"/>
      <c r="J138" s="28"/>
      <c r="K138" s="26"/>
      <c r="L138" s="26"/>
      <c r="M138" s="26"/>
      <c r="N138" s="26"/>
      <c r="O138" s="26"/>
      <c r="P138" s="28"/>
      <c r="Q138" s="28"/>
      <c r="R138" s="26"/>
      <c r="S138" s="13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</row>
    <row r="139" ht="15.75" customHeight="1">
      <c r="A139" s="25"/>
      <c r="B139" s="14"/>
      <c r="C139" s="14"/>
      <c r="D139" s="14"/>
      <c r="E139" s="14"/>
      <c r="F139" s="14"/>
      <c r="G139" s="26"/>
      <c r="H139" s="28"/>
      <c r="I139" s="28"/>
      <c r="J139" s="28"/>
      <c r="K139" s="26"/>
      <c r="L139" s="26"/>
      <c r="M139" s="26"/>
      <c r="N139" s="26"/>
      <c r="O139" s="26"/>
      <c r="P139" s="28"/>
      <c r="Q139" s="28"/>
      <c r="R139" s="26"/>
      <c r="S139" s="13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</row>
    <row r="140" ht="15.75" customHeight="1">
      <c r="A140" s="25"/>
      <c r="B140" s="14"/>
      <c r="C140" s="14"/>
      <c r="D140" s="14"/>
      <c r="E140" s="14"/>
      <c r="F140" s="14"/>
      <c r="G140" s="26"/>
      <c r="H140" s="28"/>
      <c r="I140" s="28"/>
      <c r="J140" s="28"/>
      <c r="K140" s="26"/>
      <c r="L140" s="26"/>
      <c r="M140" s="26"/>
      <c r="N140" s="26"/>
      <c r="O140" s="26"/>
      <c r="P140" s="28"/>
      <c r="Q140" s="28"/>
      <c r="R140" s="26"/>
      <c r="S140" s="13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</row>
    <row r="141" ht="15.75" customHeight="1">
      <c r="A141" s="25"/>
      <c r="B141" s="14"/>
      <c r="C141" s="14"/>
      <c r="D141" s="14"/>
      <c r="E141" s="14"/>
      <c r="F141" s="14"/>
      <c r="G141" s="26"/>
      <c r="H141" s="28"/>
      <c r="I141" s="28"/>
      <c r="J141" s="28"/>
      <c r="K141" s="26"/>
      <c r="L141" s="26"/>
      <c r="M141" s="26"/>
      <c r="N141" s="26"/>
      <c r="O141" s="26"/>
      <c r="P141" s="28"/>
      <c r="Q141" s="28"/>
      <c r="R141" s="26"/>
      <c r="S141" s="13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</row>
    <row r="142" ht="15.75" customHeight="1">
      <c r="A142" s="25"/>
      <c r="B142" s="14"/>
      <c r="C142" s="14"/>
      <c r="D142" s="14"/>
      <c r="E142" s="14"/>
      <c r="F142" s="14"/>
      <c r="G142" s="26"/>
      <c r="H142" s="28"/>
      <c r="I142" s="28"/>
      <c r="J142" s="28"/>
      <c r="K142" s="26"/>
      <c r="L142" s="26"/>
      <c r="M142" s="26"/>
      <c r="N142" s="26"/>
      <c r="O142" s="26"/>
      <c r="P142" s="28"/>
      <c r="Q142" s="28"/>
      <c r="R142" s="26"/>
      <c r="S142" s="13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</row>
    <row r="143" ht="15.75" customHeight="1">
      <c r="A143" s="25"/>
      <c r="B143" s="14"/>
      <c r="C143" s="14"/>
      <c r="D143" s="14"/>
      <c r="E143" s="14"/>
      <c r="F143" s="14"/>
      <c r="G143" s="26"/>
      <c r="H143" s="28"/>
      <c r="I143" s="28"/>
      <c r="J143" s="28"/>
      <c r="K143" s="26"/>
      <c r="L143" s="26"/>
      <c r="M143" s="26"/>
      <c r="N143" s="26"/>
      <c r="O143" s="26"/>
      <c r="P143" s="28"/>
      <c r="Q143" s="28"/>
      <c r="R143" s="26"/>
      <c r="S143" s="13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</row>
    <row r="144" ht="15.75" customHeight="1">
      <c r="A144" s="25"/>
      <c r="B144" s="14"/>
      <c r="C144" s="14"/>
      <c r="D144" s="14"/>
      <c r="E144" s="14"/>
      <c r="F144" s="14"/>
      <c r="G144" s="26"/>
      <c r="H144" s="28"/>
      <c r="I144" s="28"/>
      <c r="J144" s="28"/>
      <c r="K144" s="26"/>
      <c r="L144" s="26"/>
      <c r="M144" s="26"/>
      <c r="N144" s="26"/>
      <c r="O144" s="26"/>
      <c r="P144" s="28"/>
      <c r="Q144" s="28"/>
      <c r="R144" s="26"/>
      <c r="S144" s="13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</row>
    <row r="145" ht="15.75" customHeight="1">
      <c r="A145" s="25"/>
      <c r="B145" s="14"/>
      <c r="C145" s="14"/>
      <c r="D145" s="14"/>
      <c r="E145" s="14"/>
      <c r="F145" s="14"/>
      <c r="G145" s="26"/>
      <c r="H145" s="28"/>
      <c r="I145" s="28"/>
      <c r="J145" s="28"/>
      <c r="K145" s="26"/>
      <c r="L145" s="26"/>
      <c r="M145" s="26"/>
      <c r="N145" s="26"/>
      <c r="O145" s="26"/>
      <c r="P145" s="28"/>
      <c r="Q145" s="28"/>
      <c r="R145" s="26"/>
      <c r="S145" s="13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</row>
    <row r="146" ht="15.75" customHeight="1">
      <c r="A146" s="25"/>
      <c r="B146" s="14"/>
      <c r="C146" s="14"/>
      <c r="D146" s="14"/>
      <c r="E146" s="14"/>
      <c r="F146" s="14"/>
      <c r="G146" s="26"/>
      <c r="H146" s="28"/>
      <c r="I146" s="28"/>
      <c r="J146" s="28"/>
      <c r="K146" s="26"/>
      <c r="L146" s="26"/>
      <c r="M146" s="26"/>
      <c r="N146" s="26"/>
      <c r="O146" s="26"/>
      <c r="P146" s="28"/>
      <c r="Q146" s="28"/>
      <c r="R146" s="26"/>
      <c r="S146" s="13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</row>
    <row r="147" ht="15.75" customHeight="1">
      <c r="A147" s="25"/>
      <c r="B147" s="14"/>
      <c r="C147" s="14"/>
      <c r="D147" s="14"/>
      <c r="E147" s="14"/>
      <c r="F147" s="14"/>
      <c r="G147" s="26"/>
      <c r="H147" s="28"/>
      <c r="I147" s="28"/>
      <c r="J147" s="28"/>
      <c r="K147" s="26"/>
      <c r="L147" s="26"/>
      <c r="M147" s="26"/>
      <c r="N147" s="26"/>
      <c r="O147" s="26"/>
      <c r="P147" s="28"/>
      <c r="Q147" s="28"/>
      <c r="R147" s="26"/>
      <c r="S147" s="13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</row>
    <row r="148" ht="15.75" customHeight="1">
      <c r="A148" s="25"/>
      <c r="B148" s="14"/>
      <c r="C148" s="14"/>
      <c r="D148" s="14"/>
      <c r="E148" s="14"/>
      <c r="F148" s="14"/>
      <c r="G148" s="26"/>
      <c r="H148" s="28"/>
      <c r="I148" s="28"/>
      <c r="J148" s="28"/>
      <c r="K148" s="26"/>
      <c r="L148" s="26"/>
      <c r="M148" s="26"/>
      <c r="N148" s="26"/>
      <c r="O148" s="26"/>
      <c r="P148" s="28"/>
      <c r="Q148" s="28"/>
      <c r="R148" s="26"/>
      <c r="S148" s="13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</row>
    <row r="149" ht="15.75" customHeight="1">
      <c r="A149" s="25"/>
      <c r="B149" s="14"/>
      <c r="C149" s="14"/>
      <c r="D149" s="14"/>
      <c r="E149" s="14"/>
      <c r="F149" s="14"/>
      <c r="G149" s="26"/>
      <c r="H149" s="28"/>
      <c r="I149" s="28"/>
      <c r="J149" s="28"/>
      <c r="K149" s="26"/>
      <c r="L149" s="26"/>
      <c r="M149" s="26"/>
      <c r="N149" s="26"/>
      <c r="O149" s="26"/>
      <c r="P149" s="28"/>
      <c r="Q149" s="28"/>
      <c r="R149" s="26"/>
      <c r="S149" s="13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</row>
    <row r="150" ht="15.75" customHeight="1">
      <c r="A150" s="25"/>
      <c r="B150" s="14"/>
      <c r="C150" s="14"/>
      <c r="D150" s="14"/>
      <c r="E150" s="14"/>
      <c r="F150" s="14"/>
      <c r="G150" s="26"/>
      <c r="H150" s="28"/>
      <c r="I150" s="28"/>
      <c r="J150" s="28"/>
      <c r="K150" s="26"/>
      <c r="L150" s="26"/>
      <c r="M150" s="26"/>
      <c r="N150" s="26"/>
      <c r="O150" s="26"/>
      <c r="P150" s="28"/>
      <c r="Q150" s="28"/>
      <c r="R150" s="26"/>
      <c r="S150" s="13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</row>
    <row r="151" ht="15.75" customHeight="1">
      <c r="A151" s="25"/>
      <c r="B151" s="14"/>
      <c r="C151" s="14"/>
      <c r="D151" s="14"/>
      <c r="E151" s="14"/>
      <c r="F151" s="14"/>
      <c r="G151" s="26"/>
      <c r="H151" s="28"/>
      <c r="I151" s="28"/>
      <c r="J151" s="28"/>
      <c r="K151" s="26"/>
      <c r="L151" s="26"/>
      <c r="M151" s="26"/>
      <c r="N151" s="26"/>
      <c r="O151" s="26"/>
      <c r="P151" s="28"/>
      <c r="Q151" s="28"/>
      <c r="R151" s="26"/>
      <c r="S151" s="13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</row>
    <row r="152" ht="15.75" customHeight="1">
      <c r="A152" s="25"/>
      <c r="B152" s="14"/>
      <c r="C152" s="14"/>
      <c r="D152" s="14"/>
      <c r="E152" s="14"/>
      <c r="F152" s="14"/>
      <c r="G152" s="26"/>
      <c r="H152" s="28"/>
      <c r="I152" s="28"/>
      <c r="J152" s="28"/>
      <c r="K152" s="26"/>
      <c r="L152" s="26"/>
      <c r="M152" s="26"/>
      <c r="N152" s="26"/>
      <c r="O152" s="26"/>
      <c r="P152" s="28"/>
      <c r="Q152" s="28"/>
      <c r="R152" s="26"/>
      <c r="S152" s="13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</row>
    <row r="153" ht="15.75" customHeight="1">
      <c r="A153" s="25"/>
      <c r="B153" s="14"/>
      <c r="C153" s="14"/>
      <c r="D153" s="14"/>
      <c r="E153" s="14"/>
      <c r="F153" s="14"/>
      <c r="G153" s="26"/>
      <c r="H153" s="28"/>
      <c r="I153" s="28"/>
      <c r="J153" s="28"/>
      <c r="K153" s="26"/>
      <c r="L153" s="26"/>
      <c r="M153" s="26"/>
      <c r="N153" s="26"/>
      <c r="O153" s="26"/>
      <c r="P153" s="28"/>
      <c r="Q153" s="28"/>
      <c r="R153" s="26"/>
      <c r="S153" s="13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</row>
    <row r="154" ht="15.75" customHeight="1">
      <c r="A154" s="25"/>
      <c r="B154" s="14"/>
      <c r="C154" s="14"/>
      <c r="D154" s="14"/>
      <c r="E154" s="14"/>
      <c r="F154" s="14"/>
      <c r="G154" s="26"/>
      <c r="H154" s="28"/>
      <c r="I154" s="28"/>
      <c r="J154" s="28"/>
      <c r="K154" s="26"/>
      <c r="L154" s="26"/>
      <c r="M154" s="26"/>
      <c r="N154" s="26"/>
      <c r="O154" s="26"/>
      <c r="P154" s="28"/>
      <c r="Q154" s="28"/>
      <c r="R154" s="26"/>
      <c r="S154" s="13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</row>
    <row r="155" ht="15.75" customHeight="1">
      <c r="A155" s="25"/>
      <c r="B155" s="14"/>
      <c r="C155" s="14"/>
      <c r="D155" s="14"/>
      <c r="E155" s="14"/>
      <c r="F155" s="14"/>
      <c r="G155" s="26"/>
      <c r="H155" s="28"/>
      <c r="I155" s="28"/>
      <c r="J155" s="28"/>
      <c r="K155" s="26"/>
      <c r="L155" s="26"/>
      <c r="M155" s="26"/>
      <c r="N155" s="26"/>
      <c r="O155" s="26"/>
      <c r="P155" s="28"/>
      <c r="Q155" s="28"/>
      <c r="R155" s="26"/>
      <c r="S155" s="13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ht="15.75" customHeight="1">
      <c r="A156" s="25"/>
      <c r="B156" s="14"/>
      <c r="C156" s="14"/>
      <c r="D156" s="14"/>
      <c r="E156" s="14"/>
      <c r="F156" s="14"/>
      <c r="G156" s="26"/>
      <c r="H156" s="28"/>
      <c r="I156" s="28"/>
      <c r="J156" s="28"/>
      <c r="K156" s="26"/>
      <c r="L156" s="26"/>
      <c r="M156" s="26"/>
      <c r="N156" s="26"/>
      <c r="O156" s="26"/>
      <c r="P156" s="28"/>
      <c r="Q156" s="28"/>
      <c r="R156" s="26"/>
      <c r="S156" s="13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</row>
    <row r="157" ht="15.75" customHeight="1">
      <c r="A157" s="25"/>
      <c r="B157" s="14"/>
      <c r="C157" s="14"/>
      <c r="D157" s="14"/>
      <c r="E157" s="14"/>
      <c r="F157" s="14"/>
      <c r="G157" s="26"/>
      <c r="H157" s="28"/>
      <c r="I157" s="28"/>
      <c r="J157" s="28"/>
      <c r="K157" s="26"/>
      <c r="L157" s="26"/>
      <c r="M157" s="26"/>
      <c r="N157" s="26"/>
      <c r="O157" s="26"/>
      <c r="P157" s="28"/>
      <c r="Q157" s="28"/>
      <c r="R157" s="26"/>
      <c r="S157" s="13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</row>
    <row r="158" ht="15.75" customHeight="1">
      <c r="A158" s="25"/>
      <c r="B158" s="14"/>
      <c r="C158" s="14"/>
      <c r="D158" s="14"/>
      <c r="E158" s="14"/>
      <c r="F158" s="14"/>
      <c r="G158" s="26"/>
      <c r="H158" s="28"/>
      <c r="I158" s="28"/>
      <c r="J158" s="28"/>
      <c r="K158" s="26"/>
      <c r="L158" s="26"/>
      <c r="M158" s="26"/>
      <c r="N158" s="26"/>
      <c r="O158" s="26"/>
      <c r="P158" s="28"/>
      <c r="Q158" s="28"/>
      <c r="R158" s="26"/>
      <c r="S158" s="13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</row>
    <row r="159" ht="15.75" customHeight="1">
      <c r="A159" s="25"/>
      <c r="B159" s="14"/>
      <c r="C159" s="14"/>
      <c r="D159" s="14"/>
      <c r="E159" s="14"/>
      <c r="F159" s="14"/>
      <c r="G159" s="26"/>
      <c r="H159" s="28"/>
      <c r="I159" s="28"/>
      <c r="J159" s="28"/>
      <c r="K159" s="26"/>
      <c r="L159" s="26"/>
      <c r="M159" s="26"/>
      <c r="N159" s="26"/>
      <c r="O159" s="26"/>
      <c r="P159" s="28"/>
      <c r="Q159" s="28"/>
      <c r="R159" s="26"/>
      <c r="S159" s="13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</row>
    <row r="160" ht="15.75" customHeight="1">
      <c r="A160" s="25"/>
      <c r="B160" s="14"/>
      <c r="C160" s="14"/>
      <c r="D160" s="14"/>
      <c r="E160" s="14"/>
      <c r="F160" s="14"/>
      <c r="G160" s="26"/>
      <c r="H160" s="28"/>
      <c r="I160" s="28"/>
      <c r="J160" s="28"/>
      <c r="K160" s="26"/>
      <c r="L160" s="26"/>
      <c r="M160" s="26"/>
      <c r="N160" s="26"/>
      <c r="O160" s="26"/>
      <c r="P160" s="28"/>
      <c r="Q160" s="28"/>
      <c r="R160" s="26"/>
      <c r="S160" s="13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</row>
    <row r="161" ht="15.75" customHeight="1">
      <c r="A161" s="25"/>
      <c r="B161" s="14"/>
      <c r="C161" s="14"/>
      <c r="D161" s="14"/>
      <c r="E161" s="14"/>
      <c r="F161" s="14"/>
      <c r="G161" s="26"/>
      <c r="H161" s="28"/>
      <c r="I161" s="28"/>
      <c r="J161" s="28"/>
      <c r="K161" s="26"/>
      <c r="L161" s="26"/>
      <c r="M161" s="26"/>
      <c r="N161" s="26"/>
      <c r="O161" s="26"/>
      <c r="P161" s="28"/>
      <c r="Q161" s="28"/>
      <c r="R161" s="26"/>
      <c r="S161" s="13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</row>
    <row r="162" ht="15.75" customHeight="1">
      <c r="A162" s="25"/>
      <c r="B162" s="14"/>
      <c r="C162" s="14"/>
      <c r="D162" s="14"/>
      <c r="E162" s="14"/>
      <c r="F162" s="14"/>
      <c r="G162" s="26"/>
      <c r="H162" s="28"/>
      <c r="I162" s="28"/>
      <c r="J162" s="28"/>
      <c r="K162" s="26"/>
      <c r="L162" s="26"/>
      <c r="M162" s="26"/>
      <c r="N162" s="26"/>
      <c r="O162" s="26"/>
      <c r="P162" s="28"/>
      <c r="Q162" s="28"/>
      <c r="R162" s="26"/>
      <c r="S162" s="13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</row>
    <row r="163" ht="15.75" customHeight="1">
      <c r="A163" s="25"/>
      <c r="B163" s="14"/>
      <c r="C163" s="14"/>
      <c r="D163" s="14"/>
      <c r="E163" s="14"/>
      <c r="F163" s="14"/>
      <c r="G163" s="26"/>
      <c r="H163" s="28"/>
      <c r="I163" s="28"/>
      <c r="J163" s="28"/>
      <c r="K163" s="26"/>
      <c r="L163" s="26"/>
      <c r="M163" s="26"/>
      <c r="N163" s="26"/>
      <c r="O163" s="26"/>
      <c r="P163" s="28"/>
      <c r="Q163" s="28"/>
      <c r="R163" s="26"/>
      <c r="S163" s="13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</row>
    <row r="164" ht="15.75" customHeight="1">
      <c r="A164" s="25"/>
      <c r="B164" s="14"/>
      <c r="C164" s="14"/>
      <c r="D164" s="14"/>
      <c r="E164" s="14"/>
      <c r="F164" s="14"/>
      <c r="G164" s="26"/>
      <c r="H164" s="28"/>
      <c r="I164" s="28"/>
      <c r="J164" s="28"/>
      <c r="K164" s="26"/>
      <c r="L164" s="26"/>
      <c r="M164" s="26"/>
      <c r="N164" s="26"/>
      <c r="O164" s="26"/>
      <c r="P164" s="28"/>
      <c r="Q164" s="28"/>
      <c r="R164" s="26"/>
      <c r="S164" s="13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</row>
    <row r="165" ht="15.75" customHeight="1">
      <c r="A165" s="25"/>
      <c r="B165" s="14"/>
      <c r="C165" s="14"/>
      <c r="D165" s="14"/>
      <c r="E165" s="14"/>
      <c r="F165" s="14"/>
      <c r="G165" s="26"/>
      <c r="H165" s="28"/>
      <c r="I165" s="28"/>
      <c r="J165" s="28"/>
      <c r="K165" s="26"/>
      <c r="L165" s="26"/>
      <c r="M165" s="26"/>
      <c r="N165" s="26"/>
      <c r="O165" s="26"/>
      <c r="P165" s="28"/>
      <c r="Q165" s="28"/>
      <c r="R165" s="26"/>
      <c r="S165" s="13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</row>
    <row r="166" ht="15.75" customHeight="1">
      <c r="A166" s="25"/>
      <c r="B166" s="14"/>
      <c r="C166" s="14"/>
      <c r="D166" s="14"/>
      <c r="E166" s="14"/>
      <c r="F166" s="14"/>
      <c r="G166" s="26"/>
      <c r="H166" s="28"/>
      <c r="I166" s="28"/>
      <c r="J166" s="28"/>
      <c r="K166" s="26"/>
      <c r="L166" s="26"/>
      <c r="M166" s="26"/>
      <c r="N166" s="26"/>
      <c r="O166" s="26"/>
      <c r="P166" s="28"/>
      <c r="Q166" s="28"/>
      <c r="R166" s="26"/>
      <c r="S166" s="13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</row>
    <row r="167" ht="15.75" customHeight="1">
      <c r="A167" s="25"/>
      <c r="B167" s="14"/>
      <c r="C167" s="14"/>
      <c r="D167" s="14"/>
      <c r="E167" s="14"/>
      <c r="F167" s="14"/>
      <c r="G167" s="26"/>
      <c r="H167" s="28"/>
      <c r="I167" s="28"/>
      <c r="J167" s="28"/>
      <c r="K167" s="26"/>
      <c r="L167" s="26"/>
      <c r="M167" s="26"/>
      <c r="N167" s="26"/>
      <c r="O167" s="26"/>
      <c r="P167" s="28"/>
      <c r="Q167" s="28"/>
      <c r="R167" s="26"/>
      <c r="S167" s="13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</row>
    <row r="168" ht="15.75" customHeight="1">
      <c r="A168" s="25"/>
      <c r="B168" s="14"/>
      <c r="C168" s="14"/>
      <c r="D168" s="14"/>
      <c r="E168" s="14"/>
      <c r="F168" s="14"/>
      <c r="G168" s="26"/>
      <c r="H168" s="28"/>
      <c r="I168" s="28"/>
      <c r="J168" s="28"/>
      <c r="K168" s="26"/>
      <c r="L168" s="26"/>
      <c r="M168" s="26"/>
      <c r="N168" s="26"/>
      <c r="O168" s="26"/>
      <c r="P168" s="28"/>
      <c r="Q168" s="28"/>
      <c r="R168" s="26"/>
      <c r="S168" s="13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</row>
    <row r="169" ht="15.75" customHeight="1">
      <c r="A169" s="25"/>
      <c r="B169" s="14"/>
      <c r="C169" s="14"/>
      <c r="D169" s="14"/>
      <c r="E169" s="14"/>
      <c r="F169" s="14"/>
      <c r="G169" s="26"/>
      <c r="H169" s="28"/>
      <c r="I169" s="28"/>
      <c r="J169" s="28"/>
      <c r="K169" s="26"/>
      <c r="L169" s="26"/>
      <c r="M169" s="26"/>
      <c r="N169" s="26"/>
      <c r="O169" s="26"/>
      <c r="P169" s="28"/>
      <c r="Q169" s="28"/>
      <c r="R169" s="26"/>
      <c r="S169" s="13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</row>
    <row r="170" ht="15.75" customHeight="1">
      <c r="A170" s="25"/>
      <c r="B170" s="14"/>
      <c r="C170" s="14"/>
      <c r="D170" s="14"/>
      <c r="E170" s="14"/>
      <c r="F170" s="14"/>
      <c r="G170" s="26"/>
      <c r="H170" s="28"/>
      <c r="I170" s="28"/>
      <c r="J170" s="28"/>
      <c r="K170" s="26"/>
      <c r="L170" s="26"/>
      <c r="M170" s="26"/>
      <c r="N170" s="26"/>
      <c r="O170" s="26"/>
      <c r="P170" s="28"/>
      <c r="Q170" s="28"/>
      <c r="R170" s="26"/>
      <c r="S170" s="13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</row>
    <row r="171" ht="15.75" customHeight="1">
      <c r="A171" s="25"/>
      <c r="B171" s="14"/>
      <c r="C171" s="14"/>
      <c r="D171" s="14"/>
      <c r="E171" s="14"/>
      <c r="F171" s="14"/>
      <c r="G171" s="26"/>
      <c r="H171" s="28"/>
      <c r="I171" s="28"/>
      <c r="J171" s="28"/>
      <c r="K171" s="26"/>
      <c r="L171" s="26"/>
      <c r="M171" s="26"/>
      <c r="N171" s="26"/>
      <c r="O171" s="26"/>
      <c r="P171" s="28"/>
      <c r="Q171" s="28"/>
      <c r="R171" s="26"/>
      <c r="S171" s="13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</row>
    <row r="172" ht="15.75" customHeight="1">
      <c r="A172" s="25"/>
      <c r="B172" s="14"/>
      <c r="C172" s="14"/>
      <c r="D172" s="14"/>
      <c r="E172" s="14"/>
      <c r="F172" s="14"/>
      <c r="G172" s="26"/>
      <c r="H172" s="28"/>
      <c r="I172" s="28"/>
      <c r="J172" s="28"/>
      <c r="K172" s="26"/>
      <c r="L172" s="26"/>
      <c r="M172" s="26"/>
      <c r="N172" s="26"/>
      <c r="O172" s="26"/>
      <c r="P172" s="28"/>
      <c r="Q172" s="28"/>
      <c r="R172" s="26"/>
      <c r="S172" s="13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</row>
    <row r="173" ht="15.75" customHeight="1">
      <c r="A173" s="25"/>
      <c r="B173" s="14"/>
      <c r="C173" s="14"/>
      <c r="D173" s="14"/>
      <c r="E173" s="14"/>
      <c r="F173" s="14"/>
      <c r="G173" s="26"/>
      <c r="H173" s="28"/>
      <c r="I173" s="28"/>
      <c r="J173" s="28"/>
      <c r="K173" s="26"/>
      <c r="L173" s="26"/>
      <c r="M173" s="26"/>
      <c r="N173" s="26"/>
      <c r="O173" s="26"/>
      <c r="P173" s="28"/>
      <c r="Q173" s="28"/>
      <c r="R173" s="26"/>
      <c r="S173" s="13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</row>
    <row r="174" ht="15.75" customHeight="1">
      <c r="A174" s="25"/>
      <c r="B174" s="14"/>
      <c r="C174" s="14"/>
      <c r="D174" s="14"/>
      <c r="E174" s="14"/>
      <c r="F174" s="14"/>
      <c r="G174" s="26"/>
      <c r="H174" s="28"/>
      <c r="I174" s="28"/>
      <c r="J174" s="28"/>
      <c r="K174" s="26"/>
      <c r="L174" s="26"/>
      <c r="M174" s="26"/>
      <c r="N174" s="26"/>
      <c r="O174" s="26"/>
      <c r="P174" s="28"/>
      <c r="Q174" s="28"/>
      <c r="R174" s="26"/>
      <c r="S174" s="13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</row>
    <row r="175" ht="15.75" customHeight="1">
      <c r="A175" s="25"/>
      <c r="B175" s="14"/>
      <c r="C175" s="14"/>
      <c r="D175" s="14"/>
      <c r="E175" s="14"/>
      <c r="F175" s="14"/>
      <c r="G175" s="26"/>
      <c r="H175" s="28"/>
      <c r="I175" s="28"/>
      <c r="J175" s="28"/>
      <c r="K175" s="26"/>
      <c r="L175" s="26"/>
      <c r="M175" s="26"/>
      <c r="N175" s="26"/>
      <c r="O175" s="26"/>
      <c r="P175" s="28"/>
      <c r="Q175" s="28"/>
      <c r="R175" s="26"/>
      <c r="S175" s="13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</row>
    <row r="176" ht="15.75" customHeight="1">
      <c r="A176" s="25"/>
      <c r="B176" s="14"/>
      <c r="C176" s="14"/>
      <c r="D176" s="14"/>
      <c r="E176" s="14"/>
      <c r="F176" s="14"/>
      <c r="G176" s="26"/>
      <c r="H176" s="28"/>
      <c r="I176" s="28"/>
      <c r="J176" s="28"/>
      <c r="K176" s="26"/>
      <c r="L176" s="26"/>
      <c r="M176" s="26"/>
      <c r="N176" s="26"/>
      <c r="O176" s="26"/>
      <c r="P176" s="28"/>
      <c r="Q176" s="28"/>
      <c r="R176" s="26"/>
      <c r="S176" s="13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</row>
    <row r="177" ht="15.75" customHeight="1">
      <c r="A177" s="25"/>
      <c r="B177" s="14"/>
      <c r="C177" s="14"/>
      <c r="D177" s="14"/>
      <c r="E177" s="14"/>
      <c r="F177" s="14"/>
      <c r="G177" s="26"/>
      <c r="H177" s="28"/>
      <c r="I177" s="28"/>
      <c r="J177" s="28"/>
      <c r="K177" s="26"/>
      <c r="L177" s="26"/>
      <c r="M177" s="26"/>
      <c r="N177" s="26"/>
      <c r="O177" s="26"/>
      <c r="P177" s="28"/>
      <c r="Q177" s="28"/>
      <c r="R177" s="26"/>
      <c r="S177" s="13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</row>
    <row r="178" ht="15.75" customHeight="1">
      <c r="A178" s="25"/>
      <c r="B178" s="14"/>
      <c r="C178" s="14"/>
      <c r="D178" s="14"/>
      <c r="E178" s="14"/>
      <c r="F178" s="14"/>
      <c r="G178" s="26"/>
      <c r="H178" s="28"/>
      <c r="I178" s="28"/>
      <c r="J178" s="28"/>
      <c r="K178" s="26"/>
      <c r="L178" s="26"/>
      <c r="M178" s="26"/>
      <c r="N178" s="26"/>
      <c r="O178" s="26"/>
      <c r="P178" s="28"/>
      <c r="Q178" s="28"/>
      <c r="R178" s="26"/>
      <c r="S178" s="13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</row>
    <row r="179" ht="15.75" customHeight="1">
      <c r="A179" s="25"/>
      <c r="B179" s="14"/>
      <c r="C179" s="14"/>
      <c r="D179" s="14"/>
      <c r="E179" s="14"/>
      <c r="F179" s="14"/>
      <c r="G179" s="26"/>
      <c r="H179" s="28"/>
      <c r="I179" s="28"/>
      <c r="J179" s="28"/>
      <c r="K179" s="26"/>
      <c r="L179" s="26"/>
      <c r="M179" s="26"/>
      <c r="N179" s="26"/>
      <c r="O179" s="26"/>
      <c r="P179" s="28"/>
      <c r="Q179" s="28"/>
      <c r="R179" s="26"/>
      <c r="S179" s="13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ht="15.75" customHeight="1">
      <c r="A180" s="25"/>
      <c r="B180" s="14"/>
      <c r="C180" s="14"/>
      <c r="D180" s="14"/>
      <c r="E180" s="14"/>
      <c r="F180" s="14"/>
      <c r="G180" s="26"/>
      <c r="H180" s="28"/>
      <c r="I180" s="28"/>
      <c r="J180" s="28"/>
      <c r="K180" s="26"/>
      <c r="L180" s="26"/>
      <c r="M180" s="26"/>
      <c r="N180" s="26"/>
      <c r="O180" s="26"/>
      <c r="P180" s="28"/>
      <c r="Q180" s="28"/>
      <c r="R180" s="26"/>
      <c r="S180" s="13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ht="15.75" customHeight="1">
      <c r="A181" s="25"/>
      <c r="B181" s="14"/>
      <c r="C181" s="14"/>
      <c r="D181" s="14"/>
      <c r="E181" s="14"/>
      <c r="F181" s="14"/>
      <c r="G181" s="26"/>
      <c r="H181" s="28"/>
      <c r="I181" s="28"/>
      <c r="J181" s="28"/>
      <c r="K181" s="26"/>
      <c r="L181" s="26"/>
      <c r="M181" s="26"/>
      <c r="N181" s="26"/>
      <c r="O181" s="26"/>
      <c r="P181" s="28"/>
      <c r="Q181" s="28"/>
      <c r="R181" s="26"/>
      <c r="S181" s="13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ht="15.75" customHeight="1">
      <c r="A182" s="25"/>
      <c r="B182" s="14"/>
      <c r="C182" s="14"/>
      <c r="D182" s="14"/>
      <c r="E182" s="14"/>
      <c r="F182" s="14"/>
      <c r="G182" s="26"/>
      <c r="H182" s="28"/>
      <c r="I182" s="28"/>
      <c r="J182" s="28"/>
      <c r="K182" s="26"/>
      <c r="L182" s="26"/>
      <c r="M182" s="26"/>
      <c r="N182" s="26"/>
      <c r="O182" s="26"/>
      <c r="P182" s="28"/>
      <c r="Q182" s="28"/>
      <c r="R182" s="26"/>
      <c r="S182" s="13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ht="15.75" customHeight="1">
      <c r="A183" s="25"/>
      <c r="B183" s="14"/>
      <c r="C183" s="14"/>
      <c r="D183" s="14"/>
      <c r="E183" s="14"/>
      <c r="F183" s="14"/>
      <c r="G183" s="26"/>
      <c r="H183" s="28"/>
      <c r="I183" s="28"/>
      <c r="J183" s="28"/>
      <c r="K183" s="26"/>
      <c r="L183" s="26"/>
      <c r="M183" s="26"/>
      <c r="N183" s="26"/>
      <c r="O183" s="26"/>
      <c r="P183" s="28"/>
      <c r="Q183" s="28"/>
      <c r="R183" s="26"/>
      <c r="S183" s="13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ht="15.75" customHeight="1">
      <c r="A184" s="25"/>
      <c r="B184" s="14"/>
      <c r="C184" s="14"/>
      <c r="D184" s="14"/>
      <c r="E184" s="14"/>
      <c r="F184" s="14"/>
      <c r="G184" s="26"/>
      <c r="H184" s="28"/>
      <c r="I184" s="28"/>
      <c r="J184" s="28"/>
      <c r="K184" s="26"/>
      <c r="L184" s="26"/>
      <c r="M184" s="26"/>
      <c r="N184" s="26"/>
      <c r="O184" s="26"/>
      <c r="P184" s="28"/>
      <c r="Q184" s="28"/>
      <c r="R184" s="26"/>
      <c r="S184" s="13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ht="15.75" customHeight="1">
      <c r="A185" s="25"/>
      <c r="B185" s="14"/>
      <c r="C185" s="14"/>
      <c r="D185" s="14"/>
      <c r="E185" s="14"/>
      <c r="F185" s="14"/>
      <c r="G185" s="26"/>
      <c r="H185" s="28"/>
      <c r="I185" s="28"/>
      <c r="J185" s="28"/>
      <c r="K185" s="26"/>
      <c r="L185" s="26"/>
      <c r="M185" s="26"/>
      <c r="N185" s="26"/>
      <c r="O185" s="26"/>
      <c r="P185" s="28"/>
      <c r="Q185" s="28"/>
      <c r="R185" s="26"/>
      <c r="S185" s="13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ht="15.75" customHeight="1">
      <c r="A186" s="25"/>
      <c r="B186" s="14"/>
      <c r="C186" s="14"/>
      <c r="D186" s="14"/>
      <c r="E186" s="14"/>
      <c r="F186" s="14"/>
      <c r="G186" s="26"/>
      <c r="H186" s="28"/>
      <c r="I186" s="28"/>
      <c r="J186" s="28"/>
      <c r="K186" s="26"/>
      <c r="L186" s="26"/>
      <c r="M186" s="26"/>
      <c r="N186" s="26"/>
      <c r="O186" s="26"/>
      <c r="P186" s="28"/>
      <c r="Q186" s="28"/>
      <c r="R186" s="26"/>
      <c r="S186" s="13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ht="15.75" customHeight="1">
      <c r="A187" s="25"/>
      <c r="B187" s="14"/>
      <c r="C187" s="14"/>
      <c r="D187" s="14"/>
      <c r="E187" s="14"/>
      <c r="F187" s="14"/>
      <c r="G187" s="26"/>
      <c r="H187" s="28"/>
      <c r="I187" s="28"/>
      <c r="J187" s="28"/>
      <c r="K187" s="26"/>
      <c r="L187" s="26"/>
      <c r="M187" s="26"/>
      <c r="N187" s="26"/>
      <c r="O187" s="26"/>
      <c r="P187" s="28"/>
      <c r="Q187" s="28"/>
      <c r="R187" s="26"/>
      <c r="S187" s="13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ht="15.75" customHeight="1">
      <c r="A188" s="25"/>
      <c r="B188" s="14"/>
      <c r="C188" s="14"/>
      <c r="D188" s="14"/>
      <c r="E188" s="14"/>
      <c r="F188" s="14"/>
      <c r="G188" s="26"/>
      <c r="H188" s="28"/>
      <c r="I188" s="28"/>
      <c r="J188" s="28"/>
      <c r="K188" s="26"/>
      <c r="L188" s="26"/>
      <c r="M188" s="26"/>
      <c r="N188" s="26"/>
      <c r="O188" s="26"/>
      <c r="P188" s="28"/>
      <c r="Q188" s="28"/>
      <c r="R188" s="26"/>
      <c r="S188" s="13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ht="15.75" customHeight="1">
      <c r="A189" s="25"/>
      <c r="B189" s="14"/>
      <c r="C189" s="14"/>
      <c r="D189" s="14"/>
      <c r="E189" s="14"/>
      <c r="F189" s="14"/>
      <c r="G189" s="26"/>
      <c r="H189" s="28"/>
      <c r="I189" s="28"/>
      <c r="J189" s="28"/>
      <c r="K189" s="26"/>
      <c r="L189" s="26"/>
      <c r="M189" s="26"/>
      <c r="N189" s="26"/>
      <c r="O189" s="26"/>
      <c r="P189" s="28"/>
      <c r="Q189" s="28"/>
      <c r="R189" s="26"/>
      <c r="S189" s="13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ht="15.75" customHeight="1">
      <c r="A190" s="25"/>
      <c r="B190" s="14"/>
      <c r="C190" s="14"/>
      <c r="D190" s="14"/>
      <c r="E190" s="14"/>
      <c r="F190" s="14"/>
      <c r="G190" s="26"/>
      <c r="H190" s="28"/>
      <c r="I190" s="28"/>
      <c r="J190" s="28"/>
      <c r="K190" s="26"/>
      <c r="L190" s="26"/>
      <c r="M190" s="26"/>
      <c r="N190" s="26"/>
      <c r="O190" s="26"/>
      <c r="P190" s="28"/>
      <c r="Q190" s="28"/>
      <c r="R190" s="26"/>
      <c r="S190" s="13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ht="15.75" customHeight="1">
      <c r="A191" s="25"/>
      <c r="B191" s="14"/>
      <c r="C191" s="14"/>
      <c r="D191" s="14"/>
      <c r="E191" s="14"/>
      <c r="F191" s="14"/>
      <c r="G191" s="26"/>
      <c r="H191" s="28"/>
      <c r="I191" s="28"/>
      <c r="J191" s="28"/>
      <c r="K191" s="26"/>
      <c r="L191" s="26"/>
      <c r="M191" s="26"/>
      <c r="N191" s="26"/>
      <c r="O191" s="26"/>
      <c r="P191" s="28"/>
      <c r="Q191" s="28"/>
      <c r="R191" s="26"/>
      <c r="S191" s="13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ht="15.75" customHeight="1">
      <c r="A192" s="25"/>
      <c r="B192" s="14"/>
      <c r="C192" s="14"/>
      <c r="D192" s="14"/>
      <c r="E192" s="14"/>
      <c r="F192" s="14"/>
      <c r="G192" s="26"/>
      <c r="H192" s="28"/>
      <c r="I192" s="28"/>
      <c r="J192" s="28"/>
      <c r="K192" s="26"/>
      <c r="L192" s="26"/>
      <c r="M192" s="26"/>
      <c r="N192" s="26"/>
      <c r="O192" s="26"/>
      <c r="P192" s="28"/>
      <c r="Q192" s="28"/>
      <c r="R192" s="26"/>
      <c r="S192" s="13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ht="15.75" customHeight="1">
      <c r="A193" s="25"/>
      <c r="B193" s="14"/>
      <c r="C193" s="14"/>
      <c r="D193" s="14"/>
      <c r="E193" s="14"/>
      <c r="F193" s="14"/>
      <c r="G193" s="26"/>
      <c r="H193" s="28"/>
      <c r="I193" s="28"/>
      <c r="J193" s="28"/>
      <c r="K193" s="26"/>
      <c r="L193" s="26"/>
      <c r="M193" s="26"/>
      <c r="N193" s="26"/>
      <c r="O193" s="26"/>
      <c r="P193" s="28"/>
      <c r="Q193" s="28"/>
      <c r="R193" s="26"/>
      <c r="S193" s="13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ht="15.75" customHeight="1">
      <c r="A194" s="25"/>
      <c r="B194" s="14"/>
      <c r="C194" s="14"/>
      <c r="D194" s="14"/>
      <c r="E194" s="14"/>
      <c r="F194" s="14"/>
      <c r="G194" s="26"/>
      <c r="H194" s="28"/>
      <c r="I194" s="28"/>
      <c r="J194" s="28"/>
      <c r="K194" s="26"/>
      <c r="L194" s="26"/>
      <c r="M194" s="26"/>
      <c r="N194" s="26"/>
      <c r="O194" s="26"/>
      <c r="P194" s="28"/>
      <c r="Q194" s="28"/>
      <c r="R194" s="26"/>
      <c r="S194" s="13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ht="15.75" customHeight="1">
      <c r="A195" s="25"/>
      <c r="B195" s="14"/>
      <c r="C195" s="14"/>
      <c r="D195" s="14"/>
      <c r="E195" s="14"/>
      <c r="F195" s="14"/>
      <c r="G195" s="26"/>
      <c r="H195" s="28"/>
      <c r="I195" s="28"/>
      <c r="J195" s="28"/>
      <c r="K195" s="26"/>
      <c r="L195" s="26"/>
      <c r="M195" s="26"/>
      <c r="N195" s="26"/>
      <c r="O195" s="26"/>
      <c r="P195" s="28"/>
      <c r="Q195" s="28"/>
      <c r="R195" s="26"/>
      <c r="S195" s="13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ht="15.75" customHeight="1">
      <c r="A196" s="25"/>
      <c r="B196" s="14"/>
      <c r="C196" s="14"/>
      <c r="D196" s="14"/>
      <c r="E196" s="14"/>
      <c r="F196" s="14"/>
      <c r="G196" s="26"/>
      <c r="H196" s="28"/>
      <c r="I196" s="28"/>
      <c r="J196" s="28"/>
      <c r="K196" s="26"/>
      <c r="L196" s="26"/>
      <c r="M196" s="26"/>
      <c r="N196" s="26"/>
      <c r="O196" s="26"/>
      <c r="P196" s="28"/>
      <c r="Q196" s="28"/>
      <c r="R196" s="26"/>
      <c r="S196" s="13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ht="15.75" customHeight="1">
      <c r="A197" s="25"/>
      <c r="B197" s="14"/>
      <c r="C197" s="14"/>
      <c r="D197" s="14"/>
      <c r="E197" s="14"/>
      <c r="F197" s="14"/>
      <c r="G197" s="26"/>
      <c r="H197" s="28"/>
      <c r="I197" s="28"/>
      <c r="J197" s="28"/>
      <c r="K197" s="26"/>
      <c r="L197" s="26"/>
      <c r="M197" s="26"/>
      <c r="N197" s="26"/>
      <c r="O197" s="26"/>
      <c r="P197" s="28"/>
      <c r="Q197" s="28"/>
      <c r="R197" s="26"/>
      <c r="S197" s="13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ht="15.75" customHeight="1">
      <c r="A198" s="25"/>
      <c r="B198" s="14"/>
      <c r="C198" s="14"/>
      <c r="D198" s="14"/>
      <c r="E198" s="14"/>
      <c r="F198" s="14"/>
      <c r="G198" s="26"/>
      <c r="H198" s="28"/>
      <c r="I198" s="28"/>
      <c r="J198" s="28"/>
      <c r="K198" s="26"/>
      <c r="L198" s="26"/>
      <c r="M198" s="26"/>
      <c r="N198" s="26"/>
      <c r="O198" s="26"/>
      <c r="P198" s="28"/>
      <c r="Q198" s="28"/>
      <c r="R198" s="26"/>
      <c r="S198" s="13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ht="15.75" customHeight="1">
      <c r="A199" s="25"/>
      <c r="B199" s="14"/>
      <c r="C199" s="14"/>
      <c r="D199" s="14"/>
      <c r="E199" s="14"/>
      <c r="F199" s="14"/>
      <c r="G199" s="26"/>
      <c r="H199" s="28"/>
      <c r="I199" s="28"/>
      <c r="J199" s="28"/>
      <c r="K199" s="26"/>
      <c r="L199" s="26"/>
      <c r="M199" s="26"/>
      <c r="N199" s="26"/>
      <c r="O199" s="26"/>
      <c r="P199" s="28"/>
      <c r="Q199" s="28"/>
      <c r="R199" s="26"/>
      <c r="S199" s="13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ht="15.75" customHeight="1">
      <c r="A200" s="25"/>
      <c r="B200" s="14"/>
      <c r="C200" s="14"/>
      <c r="D200" s="14"/>
      <c r="E200" s="14"/>
      <c r="F200" s="14"/>
      <c r="G200" s="26"/>
      <c r="H200" s="28"/>
      <c r="I200" s="28"/>
      <c r="J200" s="28"/>
      <c r="K200" s="26"/>
      <c r="L200" s="26"/>
      <c r="M200" s="26"/>
      <c r="N200" s="26"/>
      <c r="O200" s="26"/>
      <c r="P200" s="28"/>
      <c r="Q200" s="28"/>
      <c r="R200" s="26"/>
      <c r="S200" s="13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ht="15.75" customHeight="1">
      <c r="A201" s="25"/>
      <c r="B201" s="14"/>
      <c r="C201" s="14"/>
      <c r="D201" s="14"/>
      <c r="E201" s="14"/>
      <c r="F201" s="14"/>
      <c r="G201" s="26"/>
      <c r="H201" s="28"/>
      <c r="I201" s="28"/>
      <c r="J201" s="28"/>
      <c r="K201" s="26"/>
      <c r="L201" s="26"/>
      <c r="M201" s="26"/>
      <c r="N201" s="26"/>
      <c r="O201" s="26"/>
      <c r="P201" s="28"/>
      <c r="Q201" s="28"/>
      <c r="R201" s="26"/>
      <c r="S201" s="13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ht="15.75" customHeight="1">
      <c r="A202" s="25"/>
      <c r="B202" s="14"/>
      <c r="C202" s="14"/>
      <c r="D202" s="14"/>
      <c r="E202" s="14"/>
      <c r="F202" s="14"/>
      <c r="G202" s="26"/>
      <c r="H202" s="28"/>
      <c r="I202" s="28"/>
      <c r="J202" s="28"/>
      <c r="K202" s="26"/>
      <c r="L202" s="26"/>
      <c r="M202" s="26"/>
      <c r="N202" s="26"/>
      <c r="O202" s="26"/>
      <c r="P202" s="28"/>
      <c r="Q202" s="28"/>
      <c r="R202" s="26"/>
      <c r="S202" s="13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ht="15.75" customHeight="1">
      <c r="A203" s="25"/>
      <c r="B203" s="14"/>
      <c r="C203" s="14"/>
      <c r="D203" s="14"/>
      <c r="E203" s="14"/>
      <c r="F203" s="14"/>
      <c r="G203" s="26"/>
      <c r="H203" s="28"/>
      <c r="I203" s="28"/>
      <c r="J203" s="28"/>
      <c r="K203" s="26"/>
      <c r="L203" s="26"/>
      <c r="M203" s="26"/>
      <c r="N203" s="26"/>
      <c r="O203" s="26"/>
      <c r="P203" s="28"/>
      <c r="Q203" s="28"/>
      <c r="R203" s="26"/>
      <c r="S203" s="13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ht="15.75" customHeight="1">
      <c r="A204" s="25"/>
      <c r="B204" s="14"/>
      <c r="C204" s="14"/>
      <c r="D204" s="14"/>
      <c r="E204" s="14"/>
      <c r="F204" s="14"/>
      <c r="G204" s="26"/>
      <c r="H204" s="28"/>
      <c r="I204" s="28"/>
      <c r="J204" s="28"/>
      <c r="K204" s="26"/>
      <c r="L204" s="26"/>
      <c r="M204" s="26"/>
      <c r="N204" s="26"/>
      <c r="O204" s="26"/>
      <c r="P204" s="28"/>
      <c r="Q204" s="28"/>
      <c r="R204" s="26"/>
      <c r="S204" s="13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ht="15.75" customHeight="1">
      <c r="A205" s="25"/>
      <c r="B205" s="14"/>
      <c r="C205" s="14"/>
      <c r="D205" s="14"/>
      <c r="E205" s="14"/>
      <c r="F205" s="14"/>
      <c r="G205" s="26"/>
      <c r="H205" s="28"/>
      <c r="I205" s="28"/>
      <c r="J205" s="28"/>
      <c r="K205" s="26"/>
      <c r="L205" s="26"/>
      <c r="M205" s="26"/>
      <c r="N205" s="26"/>
      <c r="O205" s="26"/>
      <c r="P205" s="28"/>
      <c r="Q205" s="28"/>
      <c r="R205" s="26"/>
      <c r="S205" s="13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ht="15.75" customHeight="1">
      <c r="A206" s="25"/>
      <c r="B206" s="14"/>
      <c r="C206" s="14"/>
      <c r="D206" s="14"/>
      <c r="E206" s="14"/>
      <c r="F206" s="14"/>
      <c r="G206" s="26"/>
      <c r="H206" s="28"/>
      <c r="I206" s="28"/>
      <c r="J206" s="28"/>
      <c r="K206" s="26"/>
      <c r="L206" s="26"/>
      <c r="M206" s="26"/>
      <c r="N206" s="26"/>
      <c r="O206" s="26"/>
      <c r="P206" s="28"/>
      <c r="Q206" s="28"/>
      <c r="R206" s="26"/>
      <c r="S206" s="13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ht="15.75" customHeight="1">
      <c r="A207" s="25"/>
      <c r="B207" s="14"/>
      <c r="C207" s="14"/>
      <c r="D207" s="14"/>
      <c r="E207" s="14"/>
      <c r="F207" s="14"/>
      <c r="G207" s="26"/>
      <c r="H207" s="28"/>
      <c r="I207" s="28"/>
      <c r="J207" s="28"/>
      <c r="K207" s="26"/>
      <c r="L207" s="26"/>
      <c r="M207" s="26"/>
      <c r="N207" s="26"/>
      <c r="O207" s="26"/>
      <c r="P207" s="28"/>
      <c r="Q207" s="28"/>
      <c r="R207" s="26"/>
      <c r="S207" s="13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ht="15.75" customHeight="1">
      <c r="A208" s="25"/>
      <c r="B208" s="14"/>
      <c r="C208" s="14"/>
      <c r="D208" s="14"/>
      <c r="E208" s="14"/>
      <c r="F208" s="14"/>
      <c r="G208" s="26"/>
      <c r="H208" s="28"/>
      <c r="I208" s="28"/>
      <c r="J208" s="28"/>
      <c r="K208" s="26"/>
      <c r="L208" s="26"/>
      <c r="M208" s="26"/>
      <c r="N208" s="26"/>
      <c r="O208" s="26"/>
      <c r="P208" s="28"/>
      <c r="Q208" s="28"/>
      <c r="R208" s="26"/>
      <c r="S208" s="13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ht="15.75" customHeight="1">
      <c r="A209" s="25"/>
      <c r="B209" s="14"/>
      <c r="C209" s="14"/>
      <c r="D209" s="14"/>
      <c r="E209" s="14"/>
      <c r="F209" s="14"/>
      <c r="G209" s="26"/>
      <c r="H209" s="28"/>
      <c r="I209" s="28"/>
      <c r="J209" s="28"/>
      <c r="K209" s="26"/>
      <c r="L209" s="26"/>
      <c r="M209" s="26"/>
      <c r="N209" s="26"/>
      <c r="O209" s="26"/>
      <c r="P209" s="28"/>
      <c r="Q209" s="28"/>
      <c r="R209" s="26"/>
      <c r="S209" s="13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ht="15.75" customHeight="1">
      <c r="A210" s="25"/>
      <c r="B210" s="14"/>
      <c r="C210" s="14"/>
      <c r="D210" s="14"/>
      <c r="E210" s="14"/>
      <c r="F210" s="14"/>
      <c r="G210" s="26"/>
      <c r="H210" s="28"/>
      <c r="I210" s="28"/>
      <c r="J210" s="28"/>
      <c r="K210" s="26"/>
      <c r="L210" s="26"/>
      <c r="M210" s="26"/>
      <c r="N210" s="26"/>
      <c r="O210" s="26"/>
      <c r="P210" s="28"/>
      <c r="Q210" s="28"/>
      <c r="R210" s="26"/>
      <c r="S210" s="13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ht="15.75" customHeight="1">
      <c r="A211" s="25"/>
      <c r="B211" s="14"/>
      <c r="C211" s="14"/>
      <c r="D211" s="14"/>
      <c r="E211" s="14"/>
      <c r="F211" s="14"/>
      <c r="G211" s="26"/>
      <c r="H211" s="28"/>
      <c r="I211" s="28"/>
      <c r="J211" s="28"/>
      <c r="K211" s="26"/>
      <c r="L211" s="26"/>
      <c r="M211" s="26"/>
      <c r="N211" s="26"/>
      <c r="O211" s="26"/>
      <c r="P211" s="28"/>
      <c r="Q211" s="28"/>
      <c r="R211" s="26"/>
      <c r="S211" s="13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ht="15.75" customHeight="1">
      <c r="A212" s="25"/>
      <c r="B212" s="14"/>
      <c r="C212" s="14"/>
      <c r="D212" s="14"/>
      <c r="E212" s="14"/>
      <c r="F212" s="14"/>
      <c r="G212" s="26"/>
      <c r="H212" s="28"/>
      <c r="I212" s="28"/>
      <c r="J212" s="28"/>
      <c r="K212" s="26"/>
      <c r="L212" s="26"/>
      <c r="M212" s="26"/>
      <c r="N212" s="26"/>
      <c r="O212" s="26"/>
      <c r="P212" s="28"/>
      <c r="Q212" s="28"/>
      <c r="R212" s="26"/>
      <c r="S212" s="13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ht="15.75" customHeight="1">
      <c r="A213" s="25"/>
      <c r="B213" s="14"/>
      <c r="C213" s="14"/>
      <c r="D213" s="14"/>
      <c r="E213" s="14"/>
      <c r="F213" s="14"/>
      <c r="G213" s="26"/>
      <c r="H213" s="28"/>
      <c r="I213" s="28"/>
      <c r="J213" s="28"/>
      <c r="K213" s="26"/>
      <c r="L213" s="26"/>
      <c r="M213" s="26"/>
      <c r="N213" s="26"/>
      <c r="O213" s="26"/>
      <c r="P213" s="28"/>
      <c r="Q213" s="28"/>
      <c r="R213" s="26"/>
      <c r="S213" s="13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ht="15.75" customHeight="1">
      <c r="A214" s="25"/>
      <c r="B214" s="14"/>
      <c r="C214" s="14"/>
      <c r="D214" s="14"/>
      <c r="E214" s="14"/>
      <c r="F214" s="14"/>
      <c r="G214" s="26"/>
      <c r="H214" s="28"/>
      <c r="I214" s="28"/>
      <c r="J214" s="28"/>
      <c r="K214" s="26"/>
      <c r="L214" s="26"/>
      <c r="M214" s="26"/>
      <c r="N214" s="26"/>
      <c r="O214" s="26"/>
      <c r="P214" s="28"/>
      <c r="Q214" s="28"/>
      <c r="R214" s="26"/>
      <c r="S214" s="13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ht="15.75" customHeight="1">
      <c r="A215" s="25"/>
      <c r="B215" s="14"/>
      <c r="C215" s="14"/>
      <c r="D215" s="14"/>
      <c r="E215" s="14"/>
      <c r="F215" s="14"/>
      <c r="G215" s="26"/>
      <c r="H215" s="28"/>
      <c r="I215" s="28"/>
      <c r="J215" s="28"/>
      <c r="K215" s="26"/>
      <c r="L215" s="26"/>
      <c r="M215" s="26"/>
      <c r="N215" s="26"/>
      <c r="O215" s="26"/>
      <c r="P215" s="28"/>
      <c r="Q215" s="28"/>
      <c r="R215" s="26"/>
      <c r="S215" s="13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ht="15.75" customHeight="1">
      <c r="A216" s="25"/>
      <c r="B216" s="14"/>
      <c r="C216" s="14"/>
      <c r="D216" s="14"/>
      <c r="E216" s="14"/>
      <c r="F216" s="14"/>
      <c r="G216" s="26"/>
      <c r="H216" s="28"/>
      <c r="I216" s="28"/>
      <c r="J216" s="28"/>
      <c r="K216" s="26"/>
      <c r="L216" s="26"/>
      <c r="M216" s="26"/>
      <c r="N216" s="26"/>
      <c r="O216" s="26"/>
      <c r="P216" s="28"/>
      <c r="Q216" s="28"/>
      <c r="R216" s="26"/>
      <c r="S216" s="13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ht="15.75" customHeight="1">
      <c r="A217" s="25"/>
      <c r="B217" s="14"/>
      <c r="C217" s="14"/>
      <c r="D217" s="14"/>
      <c r="E217" s="14"/>
      <c r="F217" s="14"/>
      <c r="G217" s="26"/>
      <c r="H217" s="28"/>
      <c r="I217" s="28"/>
      <c r="J217" s="28"/>
      <c r="K217" s="26"/>
      <c r="L217" s="26"/>
      <c r="M217" s="26"/>
      <c r="N217" s="26"/>
      <c r="O217" s="26"/>
      <c r="P217" s="28"/>
      <c r="Q217" s="28"/>
      <c r="R217" s="26"/>
      <c r="S217" s="13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ht="15.75" customHeight="1">
      <c r="A218" s="25"/>
      <c r="B218" s="14"/>
      <c r="C218" s="14"/>
      <c r="D218" s="14"/>
      <c r="E218" s="14"/>
      <c r="F218" s="14"/>
      <c r="G218" s="26"/>
      <c r="H218" s="28"/>
      <c r="I218" s="28"/>
      <c r="J218" s="28"/>
      <c r="K218" s="26"/>
      <c r="L218" s="26"/>
      <c r="M218" s="26"/>
      <c r="N218" s="26"/>
      <c r="O218" s="26"/>
      <c r="P218" s="28"/>
      <c r="Q218" s="28"/>
      <c r="R218" s="26"/>
      <c r="S218" s="13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ht="15.75" customHeight="1">
      <c r="A219" s="25"/>
      <c r="B219" s="14"/>
      <c r="C219" s="14"/>
      <c r="D219" s="14"/>
      <c r="E219" s="14"/>
      <c r="F219" s="14"/>
      <c r="G219" s="26"/>
      <c r="H219" s="28"/>
      <c r="I219" s="28"/>
      <c r="J219" s="28"/>
      <c r="K219" s="26"/>
      <c r="L219" s="26"/>
      <c r="M219" s="26"/>
      <c r="N219" s="26"/>
      <c r="O219" s="26"/>
      <c r="P219" s="28"/>
      <c r="Q219" s="28"/>
      <c r="R219" s="26"/>
      <c r="S219" s="13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ht="15.75" customHeight="1">
      <c r="A220" s="25"/>
      <c r="B220" s="14"/>
      <c r="C220" s="14"/>
      <c r="D220" s="14"/>
      <c r="E220" s="14"/>
      <c r="F220" s="14"/>
      <c r="G220" s="26"/>
      <c r="H220" s="28"/>
      <c r="I220" s="28"/>
      <c r="J220" s="28"/>
      <c r="K220" s="26"/>
      <c r="L220" s="26"/>
      <c r="M220" s="26"/>
      <c r="N220" s="26"/>
      <c r="O220" s="26"/>
      <c r="P220" s="28"/>
      <c r="Q220" s="28"/>
      <c r="R220" s="26"/>
      <c r="S220" s="13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ht="15.75" customHeight="1">
      <c r="A221" s="25"/>
      <c r="B221" s="14"/>
      <c r="C221" s="14"/>
      <c r="D221" s="14"/>
      <c r="E221" s="14"/>
      <c r="F221" s="14"/>
      <c r="G221" s="26"/>
      <c r="H221" s="28"/>
      <c r="I221" s="28"/>
      <c r="J221" s="28"/>
      <c r="K221" s="26"/>
      <c r="L221" s="26"/>
      <c r="M221" s="26"/>
      <c r="N221" s="26"/>
      <c r="O221" s="26"/>
      <c r="P221" s="28"/>
      <c r="Q221" s="28"/>
      <c r="R221" s="26"/>
      <c r="S221" s="13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ht="15.75" customHeight="1">
      <c r="A222" s="25"/>
      <c r="B222" s="14"/>
      <c r="C222" s="14"/>
      <c r="D222" s="14"/>
      <c r="E222" s="14"/>
      <c r="F222" s="14"/>
      <c r="G222" s="26"/>
      <c r="H222" s="28"/>
      <c r="I222" s="28"/>
      <c r="J222" s="28"/>
      <c r="K222" s="26"/>
      <c r="L222" s="26"/>
      <c r="M222" s="26"/>
      <c r="N222" s="26"/>
      <c r="O222" s="26"/>
      <c r="P222" s="28"/>
      <c r="Q222" s="28"/>
      <c r="R222" s="26"/>
      <c r="S222" s="13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ht="15.75" customHeight="1">
      <c r="A223" s="25"/>
      <c r="B223" s="14"/>
      <c r="C223" s="14"/>
      <c r="D223" s="14"/>
      <c r="E223" s="14"/>
      <c r="F223" s="14"/>
      <c r="G223" s="26"/>
      <c r="H223" s="28"/>
      <c r="I223" s="28"/>
      <c r="J223" s="28"/>
      <c r="K223" s="26"/>
      <c r="L223" s="26"/>
      <c r="M223" s="26"/>
      <c r="N223" s="26"/>
      <c r="O223" s="26"/>
      <c r="P223" s="28"/>
      <c r="Q223" s="28"/>
      <c r="R223" s="26"/>
      <c r="S223" s="13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ht="15.75" customHeight="1">
      <c r="B224" s="38"/>
      <c r="C224" s="38"/>
      <c r="D224" s="38"/>
      <c r="E224" s="38"/>
      <c r="F224" s="38"/>
    </row>
    <row r="225" ht="15.75" customHeight="1">
      <c r="B225" s="38"/>
      <c r="C225" s="38"/>
      <c r="D225" s="38"/>
      <c r="E225" s="38"/>
      <c r="F225" s="38"/>
    </row>
    <row r="226" ht="15.75" customHeight="1">
      <c r="B226" s="38"/>
      <c r="C226" s="38"/>
      <c r="D226" s="38"/>
      <c r="E226" s="38"/>
      <c r="F226" s="38"/>
    </row>
    <row r="227" ht="15.75" customHeight="1">
      <c r="B227" s="38"/>
      <c r="C227" s="38"/>
      <c r="D227" s="38"/>
      <c r="E227" s="38"/>
      <c r="F227" s="38"/>
    </row>
    <row r="228" ht="15.75" customHeight="1">
      <c r="B228" s="38"/>
      <c r="C228" s="38"/>
      <c r="D228" s="38"/>
      <c r="E228" s="38"/>
      <c r="F228" s="38"/>
    </row>
    <row r="229" ht="15.75" customHeight="1">
      <c r="B229" s="38"/>
      <c r="C229" s="38"/>
      <c r="D229" s="38"/>
      <c r="E229" s="38"/>
      <c r="F229" s="38"/>
    </row>
    <row r="230" ht="15.75" customHeight="1">
      <c r="B230" s="38"/>
      <c r="C230" s="38"/>
      <c r="D230" s="38"/>
      <c r="E230" s="38"/>
      <c r="F230" s="38"/>
    </row>
    <row r="231" ht="15.75" customHeight="1">
      <c r="B231" s="38"/>
      <c r="C231" s="38"/>
      <c r="D231" s="38"/>
      <c r="E231" s="38"/>
      <c r="F231" s="38"/>
    </row>
    <row r="232" ht="15.75" customHeight="1">
      <c r="B232" s="38"/>
      <c r="C232" s="38"/>
      <c r="D232" s="38"/>
      <c r="E232" s="38"/>
      <c r="F232" s="38"/>
    </row>
    <row r="233" ht="15.75" customHeight="1">
      <c r="B233" s="38"/>
      <c r="C233" s="38"/>
      <c r="D233" s="38"/>
      <c r="E233" s="38"/>
      <c r="F233" s="38"/>
    </row>
    <row r="234" ht="15.75" customHeight="1">
      <c r="B234" s="38"/>
      <c r="C234" s="38"/>
      <c r="D234" s="38"/>
      <c r="E234" s="38"/>
      <c r="F234" s="38"/>
    </row>
    <row r="235" ht="15.75" customHeight="1">
      <c r="B235" s="38"/>
      <c r="C235" s="38"/>
      <c r="D235" s="38"/>
      <c r="E235" s="38"/>
      <c r="F235" s="38"/>
    </row>
    <row r="236" ht="15.75" customHeight="1">
      <c r="B236" s="38"/>
      <c r="C236" s="38"/>
      <c r="D236" s="38"/>
      <c r="E236" s="38"/>
      <c r="F236" s="38"/>
    </row>
    <row r="237" ht="15.75" customHeight="1">
      <c r="B237" s="38"/>
      <c r="C237" s="38"/>
      <c r="D237" s="38"/>
      <c r="E237" s="38"/>
      <c r="F237" s="38"/>
    </row>
    <row r="238" ht="15.75" customHeight="1">
      <c r="B238" s="38"/>
      <c r="C238" s="38"/>
      <c r="D238" s="38"/>
      <c r="E238" s="38"/>
      <c r="F238" s="38"/>
    </row>
    <row r="239" ht="15.75" customHeight="1">
      <c r="B239" s="38"/>
      <c r="C239" s="38"/>
      <c r="D239" s="38"/>
      <c r="E239" s="38"/>
      <c r="F239" s="38"/>
    </row>
    <row r="240" ht="15.75" customHeight="1">
      <c r="B240" s="38"/>
      <c r="C240" s="38"/>
      <c r="D240" s="38"/>
      <c r="E240" s="38"/>
      <c r="F240" s="38"/>
    </row>
    <row r="241" ht="15.75" customHeight="1">
      <c r="B241" s="38"/>
      <c r="C241" s="38"/>
      <c r="D241" s="38"/>
      <c r="E241" s="38"/>
      <c r="F241" s="38"/>
    </row>
    <row r="242" ht="15.75" customHeight="1">
      <c r="B242" s="38"/>
      <c r="C242" s="38"/>
      <c r="D242" s="38"/>
      <c r="E242" s="38"/>
      <c r="F242" s="38"/>
    </row>
    <row r="243" ht="15.75" customHeight="1">
      <c r="B243" s="38"/>
      <c r="C243" s="38"/>
      <c r="D243" s="38"/>
      <c r="E243" s="38"/>
      <c r="F243" s="38"/>
    </row>
    <row r="244" ht="15.75" customHeight="1">
      <c r="B244" s="38"/>
      <c r="C244" s="38"/>
      <c r="D244" s="38"/>
      <c r="E244" s="38"/>
      <c r="F244" s="38"/>
    </row>
    <row r="245" ht="15.75" customHeight="1">
      <c r="B245" s="38"/>
      <c r="C245" s="38"/>
      <c r="D245" s="38"/>
      <c r="E245" s="38"/>
      <c r="F245" s="38"/>
    </row>
    <row r="246" ht="15.75" customHeight="1">
      <c r="B246" s="38"/>
      <c r="C246" s="38"/>
      <c r="D246" s="38"/>
      <c r="E246" s="38"/>
      <c r="F246" s="38"/>
    </row>
    <row r="247" ht="15.75" customHeight="1">
      <c r="B247" s="38"/>
      <c r="C247" s="38"/>
      <c r="D247" s="38"/>
      <c r="E247" s="38"/>
      <c r="F247" s="38"/>
    </row>
    <row r="248" ht="15.75" customHeight="1">
      <c r="B248" s="38"/>
      <c r="C248" s="38"/>
      <c r="D248" s="38"/>
      <c r="E248" s="38"/>
      <c r="F248" s="38"/>
    </row>
    <row r="249" ht="15.75" customHeight="1">
      <c r="B249" s="38"/>
      <c r="C249" s="38"/>
      <c r="D249" s="38"/>
      <c r="E249" s="38"/>
      <c r="F249" s="38"/>
    </row>
    <row r="250" ht="15.75" customHeight="1">
      <c r="B250" s="38"/>
      <c r="C250" s="38"/>
      <c r="D250" s="38"/>
      <c r="E250" s="38"/>
      <c r="F250" s="38"/>
    </row>
    <row r="251" ht="15.75" customHeight="1">
      <c r="B251" s="38"/>
      <c r="C251" s="38"/>
      <c r="D251" s="38"/>
      <c r="E251" s="38"/>
      <c r="F251" s="38"/>
    </row>
    <row r="252" ht="15.75" customHeight="1">
      <c r="B252" s="38"/>
      <c r="C252" s="38"/>
      <c r="D252" s="38"/>
      <c r="E252" s="38"/>
      <c r="F252" s="38"/>
    </row>
    <row r="253" ht="15.75" customHeight="1">
      <c r="B253" s="38"/>
      <c r="C253" s="38"/>
      <c r="D253" s="38"/>
      <c r="E253" s="38"/>
      <c r="F253" s="38"/>
    </row>
    <row r="254" ht="15.75" customHeight="1">
      <c r="B254" s="38"/>
      <c r="C254" s="38"/>
      <c r="D254" s="38"/>
      <c r="E254" s="38"/>
      <c r="F254" s="38"/>
    </row>
    <row r="255" ht="15.75" customHeight="1">
      <c r="B255" s="38"/>
      <c r="C255" s="38"/>
      <c r="D255" s="38"/>
      <c r="E255" s="38"/>
      <c r="F255" s="38"/>
    </row>
    <row r="256" ht="15.75" customHeight="1">
      <c r="B256" s="38"/>
      <c r="C256" s="38"/>
      <c r="D256" s="38"/>
      <c r="E256" s="38"/>
      <c r="F256" s="38"/>
    </row>
    <row r="257" ht="15.75" customHeight="1">
      <c r="B257" s="38"/>
      <c r="C257" s="38"/>
      <c r="D257" s="38"/>
      <c r="E257" s="38"/>
      <c r="F257" s="38"/>
    </row>
    <row r="258" ht="15.75" customHeight="1">
      <c r="B258" s="38"/>
      <c r="C258" s="38"/>
      <c r="D258" s="38"/>
      <c r="E258" s="38"/>
      <c r="F258" s="38"/>
    </row>
    <row r="259" ht="15.75" customHeight="1">
      <c r="B259" s="38"/>
      <c r="C259" s="38"/>
      <c r="D259" s="38"/>
      <c r="E259" s="38"/>
      <c r="F259" s="38"/>
    </row>
    <row r="260" ht="15.75" customHeight="1">
      <c r="B260" s="38"/>
      <c r="C260" s="38"/>
      <c r="D260" s="38"/>
      <c r="E260" s="38"/>
      <c r="F260" s="38"/>
    </row>
    <row r="261" ht="15.75" customHeight="1">
      <c r="B261" s="38"/>
      <c r="C261" s="38"/>
      <c r="D261" s="38"/>
      <c r="E261" s="38"/>
      <c r="F261" s="38"/>
    </row>
    <row r="262" ht="15.75" customHeight="1">
      <c r="B262" s="38"/>
      <c r="C262" s="38"/>
      <c r="D262" s="38"/>
      <c r="E262" s="38"/>
      <c r="F262" s="38"/>
    </row>
    <row r="263" ht="15.75" customHeight="1">
      <c r="B263" s="38"/>
      <c r="C263" s="38"/>
      <c r="D263" s="38"/>
      <c r="E263" s="38"/>
      <c r="F263" s="38"/>
    </row>
    <row r="264" ht="15.75" customHeight="1">
      <c r="B264" s="38"/>
      <c r="C264" s="38"/>
      <c r="D264" s="38"/>
      <c r="E264" s="38"/>
      <c r="F264" s="38"/>
    </row>
    <row r="265" ht="15.75" customHeight="1">
      <c r="B265" s="38"/>
      <c r="C265" s="38"/>
      <c r="D265" s="38"/>
      <c r="E265" s="38"/>
      <c r="F265" s="38"/>
    </row>
    <row r="266" ht="15.75" customHeight="1">
      <c r="B266" s="38"/>
      <c r="C266" s="38"/>
      <c r="D266" s="38"/>
      <c r="E266" s="38"/>
      <c r="F266" s="38"/>
    </row>
    <row r="267" ht="15.75" customHeight="1">
      <c r="B267" s="38"/>
      <c r="C267" s="38"/>
      <c r="D267" s="38"/>
      <c r="E267" s="38"/>
      <c r="F267" s="38"/>
    </row>
    <row r="268" ht="15.75" customHeight="1">
      <c r="B268" s="38"/>
      <c r="C268" s="38"/>
      <c r="D268" s="38"/>
      <c r="E268" s="38"/>
      <c r="F268" s="38"/>
    </row>
    <row r="269" ht="15.75" customHeight="1">
      <c r="B269" s="38"/>
      <c r="C269" s="38"/>
      <c r="D269" s="38"/>
      <c r="E269" s="38"/>
      <c r="F269" s="38"/>
    </row>
    <row r="270" ht="15.75" customHeight="1">
      <c r="B270" s="38"/>
      <c r="C270" s="38"/>
      <c r="D270" s="38"/>
      <c r="E270" s="38"/>
      <c r="F270" s="38"/>
    </row>
    <row r="271" ht="15.75" customHeight="1">
      <c r="B271" s="38"/>
      <c r="C271" s="38"/>
      <c r="D271" s="38"/>
      <c r="E271" s="38"/>
      <c r="F271" s="38"/>
    </row>
    <row r="272" ht="15.75" customHeight="1">
      <c r="B272" s="38"/>
      <c r="C272" s="38"/>
      <c r="D272" s="38"/>
      <c r="E272" s="38"/>
      <c r="F272" s="38"/>
    </row>
    <row r="273" ht="15.75" customHeight="1">
      <c r="B273" s="38"/>
      <c r="C273" s="38"/>
      <c r="D273" s="38"/>
      <c r="E273" s="38"/>
      <c r="F273" s="38"/>
    </row>
    <row r="274" ht="15.75" customHeight="1">
      <c r="B274" s="38"/>
      <c r="C274" s="38"/>
      <c r="D274" s="38"/>
      <c r="E274" s="38"/>
      <c r="F274" s="38"/>
    </row>
    <row r="275" ht="15.75" customHeight="1">
      <c r="B275" s="38"/>
      <c r="C275" s="38"/>
      <c r="D275" s="38"/>
      <c r="E275" s="38"/>
      <c r="F275" s="38"/>
    </row>
    <row r="276" ht="15.75" customHeight="1">
      <c r="B276" s="38"/>
      <c r="C276" s="38"/>
      <c r="D276" s="38"/>
      <c r="E276" s="38"/>
      <c r="F276" s="38"/>
    </row>
    <row r="277" ht="15.75" customHeight="1">
      <c r="B277" s="38"/>
      <c r="C277" s="38"/>
      <c r="D277" s="38"/>
      <c r="E277" s="38"/>
      <c r="F277" s="38"/>
    </row>
    <row r="278" ht="15.75" customHeight="1">
      <c r="B278" s="38"/>
      <c r="C278" s="38"/>
      <c r="D278" s="38"/>
      <c r="E278" s="38"/>
      <c r="F278" s="38"/>
    </row>
    <row r="279" ht="15.75" customHeight="1">
      <c r="B279" s="38"/>
      <c r="C279" s="38"/>
      <c r="D279" s="38"/>
      <c r="E279" s="38"/>
      <c r="F279" s="38"/>
    </row>
    <row r="280" ht="15.75" customHeight="1">
      <c r="B280" s="38"/>
      <c r="C280" s="38"/>
      <c r="D280" s="38"/>
      <c r="E280" s="38"/>
      <c r="F280" s="38"/>
    </row>
    <row r="281" ht="15.75" customHeight="1">
      <c r="B281" s="38"/>
      <c r="C281" s="38"/>
      <c r="D281" s="38"/>
      <c r="E281" s="38"/>
      <c r="F281" s="38"/>
    </row>
    <row r="282" ht="15.75" customHeight="1">
      <c r="B282" s="38"/>
      <c r="C282" s="38"/>
      <c r="D282" s="38"/>
      <c r="E282" s="38"/>
      <c r="F282" s="38"/>
    </row>
    <row r="283" ht="15.75" customHeight="1">
      <c r="B283" s="38"/>
      <c r="C283" s="38"/>
      <c r="D283" s="38"/>
      <c r="E283" s="38"/>
      <c r="F283" s="38"/>
    </row>
    <row r="284" ht="15.75" customHeight="1">
      <c r="B284" s="38"/>
      <c r="C284" s="38"/>
      <c r="D284" s="38"/>
      <c r="E284" s="38"/>
      <c r="F284" s="38"/>
    </row>
    <row r="285" ht="15.75" customHeight="1">
      <c r="B285" s="38"/>
      <c r="C285" s="38"/>
      <c r="D285" s="38"/>
      <c r="E285" s="38"/>
      <c r="F285" s="38"/>
    </row>
    <row r="286" ht="15.75" customHeight="1">
      <c r="B286" s="38"/>
      <c r="C286" s="38"/>
      <c r="D286" s="38"/>
      <c r="E286" s="38"/>
      <c r="F286" s="38"/>
    </row>
    <row r="287" ht="15.75" customHeight="1">
      <c r="B287" s="38"/>
      <c r="C287" s="38"/>
      <c r="D287" s="38"/>
      <c r="E287" s="38"/>
      <c r="F287" s="38"/>
    </row>
    <row r="288" ht="15.75" customHeight="1">
      <c r="B288" s="38"/>
      <c r="C288" s="38"/>
      <c r="D288" s="38"/>
      <c r="E288" s="38"/>
      <c r="F288" s="38"/>
    </row>
    <row r="289" ht="15.75" customHeight="1">
      <c r="B289" s="38"/>
      <c r="C289" s="38"/>
      <c r="D289" s="38"/>
      <c r="E289" s="38"/>
      <c r="F289" s="38"/>
    </row>
    <row r="290" ht="15.75" customHeight="1">
      <c r="B290" s="38"/>
      <c r="C290" s="38"/>
      <c r="D290" s="38"/>
      <c r="E290" s="38"/>
      <c r="F290" s="38"/>
    </row>
    <row r="291" ht="15.75" customHeight="1">
      <c r="B291" s="38"/>
      <c r="C291" s="38"/>
      <c r="D291" s="38"/>
      <c r="E291" s="38"/>
      <c r="F291" s="38"/>
    </row>
    <row r="292" ht="15.75" customHeight="1">
      <c r="B292" s="38"/>
      <c r="C292" s="38"/>
      <c r="D292" s="38"/>
      <c r="E292" s="38"/>
      <c r="F292" s="38"/>
    </row>
    <row r="293" ht="15.75" customHeight="1">
      <c r="B293" s="38"/>
      <c r="C293" s="38"/>
      <c r="D293" s="38"/>
      <c r="E293" s="38"/>
      <c r="F293" s="38"/>
    </row>
    <row r="294" ht="15.75" customHeight="1">
      <c r="B294" s="38"/>
      <c r="C294" s="38"/>
      <c r="D294" s="38"/>
      <c r="E294" s="38"/>
      <c r="F294" s="38"/>
    </row>
    <row r="295" ht="15.75" customHeight="1">
      <c r="B295" s="38"/>
      <c r="C295" s="38"/>
      <c r="D295" s="38"/>
      <c r="E295" s="38"/>
      <c r="F295" s="38"/>
    </row>
    <row r="296" ht="15.75" customHeight="1">
      <c r="B296" s="38"/>
      <c r="C296" s="38"/>
      <c r="D296" s="38"/>
      <c r="E296" s="38"/>
      <c r="F296" s="38"/>
    </row>
    <row r="297" ht="15.75" customHeight="1">
      <c r="B297" s="38"/>
      <c r="C297" s="38"/>
      <c r="D297" s="38"/>
      <c r="E297" s="38"/>
      <c r="F297" s="38"/>
    </row>
    <row r="298" ht="15.75" customHeight="1">
      <c r="B298" s="38"/>
      <c r="C298" s="38"/>
      <c r="D298" s="38"/>
      <c r="E298" s="38"/>
      <c r="F298" s="38"/>
    </row>
    <row r="299" ht="15.75" customHeight="1">
      <c r="B299" s="38"/>
      <c r="C299" s="38"/>
      <c r="D299" s="38"/>
      <c r="E299" s="38"/>
      <c r="F299" s="38"/>
    </row>
    <row r="300" ht="15.75" customHeight="1">
      <c r="B300" s="38"/>
      <c r="C300" s="38"/>
      <c r="D300" s="38"/>
      <c r="E300" s="38"/>
      <c r="F300" s="38"/>
    </row>
    <row r="301" ht="15.75" customHeight="1">
      <c r="B301" s="38"/>
      <c r="C301" s="38"/>
      <c r="D301" s="38"/>
      <c r="E301" s="38"/>
      <c r="F301" s="38"/>
    </row>
    <row r="302" ht="15.75" customHeight="1">
      <c r="B302" s="38"/>
      <c r="C302" s="38"/>
      <c r="D302" s="38"/>
      <c r="E302" s="38"/>
      <c r="F302" s="38"/>
    </row>
    <row r="303" ht="15.75" customHeight="1">
      <c r="B303" s="38"/>
      <c r="C303" s="38"/>
      <c r="D303" s="38"/>
      <c r="E303" s="38"/>
      <c r="F303" s="38"/>
    </row>
    <row r="304" ht="15.75" customHeight="1">
      <c r="B304" s="38"/>
      <c r="C304" s="38"/>
      <c r="D304" s="38"/>
      <c r="E304" s="38"/>
      <c r="F304" s="38"/>
    </row>
    <row r="305" ht="15.75" customHeight="1">
      <c r="B305" s="38"/>
      <c r="C305" s="38"/>
      <c r="D305" s="38"/>
      <c r="E305" s="38"/>
      <c r="F305" s="38"/>
    </row>
    <row r="306" ht="15.75" customHeight="1">
      <c r="B306" s="38"/>
      <c r="C306" s="38"/>
      <c r="D306" s="38"/>
      <c r="E306" s="38"/>
      <c r="F306" s="38"/>
    </row>
    <row r="307" ht="15.75" customHeight="1">
      <c r="B307" s="38"/>
      <c r="C307" s="38"/>
      <c r="D307" s="38"/>
      <c r="E307" s="38"/>
      <c r="F307" s="38"/>
    </row>
    <row r="308" ht="15.75" customHeight="1">
      <c r="B308" s="38"/>
      <c r="C308" s="38"/>
      <c r="D308" s="38"/>
      <c r="E308" s="38"/>
      <c r="F308" s="38"/>
    </row>
    <row r="309" ht="15.75" customHeight="1">
      <c r="B309" s="38"/>
      <c r="C309" s="38"/>
      <c r="D309" s="38"/>
      <c r="E309" s="38"/>
      <c r="F309" s="38"/>
    </row>
    <row r="310" ht="15.75" customHeight="1">
      <c r="B310" s="38"/>
      <c r="C310" s="38"/>
      <c r="D310" s="38"/>
      <c r="E310" s="38"/>
      <c r="F310" s="38"/>
    </row>
    <row r="311" ht="15.75" customHeight="1">
      <c r="B311" s="38"/>
      <c r="C311" s="38"/>
      <c r="D311" s="38"/>
      <c r="E311" s="38"/>
      <c r="F311" s="38"/>
    </row>
    <row r="312" ht="15.75" customHeight="1">
      <c r="B312" s="38"/>
      <c r="C312" s="38"/>
      <c r="D312" s="38"/>
      <c r="E312" s="38"/>
      <c r="F312" s="38"/>
    </row>
    <row r="313" ht="15.75" customHeight="1">
      <c r="B313" s="38"/>
      <c r="C313" s="38"/>
      <c r="D313" s="38"/>
      <c r="E313" s="38"/>
      <c r="F313" s="38"/>
    </row>
    <row r="314" ht="15.75" customHeight="1">
      <c r="B314" s="38"/>
      <c r="C314" s="38"/>
      <c r="D314" s="38"/>
      <c r="E314" s="38"/>
      <c r="F314" s="38"/>
    </row>
    <row r="315" ht="15.75" customHeight="1">
      <c r="B315" s="38"/>
      <c r="C315" s="38"/>
      <c r="D315" s="38"/>
      <c r="E315" s="38"/>
      <c r="F315" s="38"/>
    </row>
    <row r="316" ht="15.75" customHeight="1">
      <c r="B316" s="38"/>
      <c r="C316" s="38"/>
      <c r="D316" s="38"/>
      <c r="E316" s="38"/>
      <c r="F316" s="38"/>
    </row>
    <row r="317" ht="15.75" customHeight="1">
      <c r="B317" s="38"/>
      <c r="C317" s="38"/>
      <c r="D317" s="38"/>
      <c r="E317" s="38"/>
      <c r="F317" s="38"/>
    </row>
    <row r="318" ht="15.75" customHeight="1">
      <c r="B318" s="38"/>
      <c r="C318" s="38"/>
      <c r="D318" s="38"/>
      <c r="E318" s="38"/>
      <c r="F318" s="38"/>
    </row>
    <row r="319" ht="15.75" customHeight="1">
      <c r="B319" s="38"/>
      <c r="C319" s="38"/>
      <c r="D319" s="38"/>
      <c r="E319" s="38"/>
      <c r="F319" s="38"/>
    </row>
    <row r="320" ht="15.75" customHeight="1">
      <c r="B320" s="38"/>
      <c r="C320" s="38"/>
      <c r="D320" s="38"/>
      <c r="E320" s="38"/>
      <c r="F320" s="38"/>
    </row>
    <row r="321" ht="15.75" customHeight="1">
      <c r="B321" s="38"/>
      <c r="C321" s="38"/>
      <c r="D321" s="38"/>
      <c r="E321" s="38"/>
      <c r="F321" s="38"/>
    </row>
    <row r="322" ht="15.75" customHeight="1">
      <c r="B322" s="38"/>
      <c r="C322" s="38"/>
      <c r="D322" s="38"/>
      <c r="E322" s="38"/>
      <c r="F322" s="38"/>
    </row>
    <row r="323" ht="15.75" customHeight="1">
      <c r="B323" s="38"/>
      <c r="C323" s="38"/>
      <c r="D323" s="38"/>
      <c r="E323" s="38"/>
      <c r="F323" s="38"/>
    </row>
    <row r="324" ht="15.75" customHeight="1">
      <c r="B324" s="38"/>
      <c r="C324" s="38"/>
      <c r="D324" s="38"/>
      <c r="E324" s="38"/>
      <c r="F324" s="38"/>
    </row>
    <row r="325" ht="15.75" customHeight="1">
      <c r="B325" s="38"/>
      <c r="C325" s="38"/>
      <c r="D325" s="38"/>
      <c r="E325" s="38"/>
      <c r="F325" s="38"/>
    </row>
    <row r="326" ht="15.75" customHeight="1">
      <c r="B326" s="38"/>
      <c r="C326" s="38"/>
      <c r="D326" s="38"/>
      <c r="E326" s="38"/>
      <c r="F326" s="38"/>
    </row>
    <row r="327" ht="15.75" customHeight="1">
      <c r="B327" s="38"/>
      <c r="C327" s="38"/>
      <c r="D327" s="38"/>
      <c r="E327" s="38"/>
      <c r="F327" s="38"/>
    </row>
    <row r="328" ht="15.75" customHeight="1">
      <c r="B328" s="38"/>
      <c r="C328" s="38"/>
      <c r="D328" s="38"/>
      <c r="E328" s="38"/>
      <c r="F328" s="38"/>
    </row>
    <row r="329" ht="15.75" customHeight="1">
      <c r="B329" s="38"/>
      <c r="C329" s="38"/>
      <c r="D329" s="38"/>
      <c r="E329" s="38"/>
      <c r="F329" s="38"/>
    </row>
    <row r="330" ht="15.75" customHeight="1">
      <c r="B330" s="38"/>
      <c r="C330" s="38"/>
      <c r="D330" s="38"/>
      <c r="E330" s="38"/>
      <c r="F330" s="38"/>
    </row>
    <row r="331" ht="15.75" customHeight="1">
      <c r="B331" s="38"/>
      <c r="C331" s="38"/>
      <c r="D331" s="38"/>
      <c r="E331" s="38"/>
      <c r="F331" s="38"/>
    </row>
    <row r="332" ht="15.75" customHeight="1">
      <c r="B332" s="38"/>
      <c r="C332" s="38"/>
      <c r="D332" s="38"/>
      <c r="E332" s="38"/>
      <c r="F332" s="38"/>
    </row>
    <row r="333" ht="15.75" customHeight="1">
      <c r="B333" s="38"/>
      <c r="C333" s="38"/>
      <c r="D333" s="38"/>
      <c r="E333" s="38"/>
      <c r="F333" s="38"/>
    </row>
    <row r="334" ht="15.75" customHeight="1">
      <c r="B334" s="38"/>
      <c r="C334" s="38"/>
      <c r="D334" s="38"/>
      <c r="E334" s="38"/>
      <c r="F334" s="38"/>
    </row>
    <row r="335" ht="15.75" customHeight="1">
      <c r="B335" s="38"/>
      <c r="C335" s="38"/>
      <c r="D335" s="38"/>
      <c r="E335" s="38"/>
      <c r="F335" s="38"/>
    </row>
    <row r="336" ht="15.75" customHeight="1">
      <c r="B336" s="38"/>
      <c r="C336" s="38"/>
      <c r="D336" s="38"/>
      <c r="E336" s="38"/>
      <c r="F336" s="38"/>
    </row>
    <row r="337" ht="15.75" customHeight="1">
      <c r="B337" s="38"/>
      <c r="C337" s="38"/>
      <c r="D337" s="38"/>
      <c r="E337" s="38"/>
      <c r="F337" s="38"/>
    </row>
    <row r="338" ht="15.75" customHeight="1">
      <c r="B338" s="38"/>
      <c r="C338" s="38"/>
      <c r="D338" s="38"/>
      <c r="E338" s="38"/>
      <c r="F338" s="38"/>
    </row>
    <row r="339" ht="15.75" customHeight="1">
      <c r="B339" s="38"/>
      <c r="C339" s="38"/>
      <c r="D339" s="38"/>
      <c r="E339" s="38"/>
      <c r="F339" s="38"/>
    </row>
    <row r="340" ht="15.75" customHeight="1">
      <c r="B340" s="38"/>
      <c r="C340" s="38"/>
      <c r="D340" s="38"/>
      <c r="E340" s="38"/>
      <c r="F340" s="38"/>
    </row>
    <row r="341" ht="15.75" customHeight="1">
      <c r="B341" s="38"/>
      <c r="C341" s="38"/>
      <c r="D341" s="38"/>
      <c r="E341" s="38"/>
      <c r="F341" s="38"/>
    </row>
    <row r="342" ht="15.75" customHeight="1">
      <c r="B342" s="38"/>
      <c r="C342" s="38"/>
      <c r="D342" s="38"/>
      <c r="E342" s="38"/>
      <c r="F342" s="38"/>
    </row>
    <row r="343" ht="15.75" customHeight="1">
      <c r="B343" s="38"/>
      <c r="C343" s="38"/>
      <c r="D343" s="38"/>
      <c r="E343" s="38"/>
      <c r="F343" s="38"/>
    </row>
    <row r="344" ht="15.75" customHeight="1">
      <c r="B344" s="38"/>
      <c r="C344" s="38"/>
      <c r="D344" s="38"/>
      <c r="E344" s="38"/>
      <c r="F344" s="38"/>
    </row>
    <row r="345" ht="15.75" customHeight="1">
      <c r="B345" s="38"/>
      <c r="C345" s="38"/>
      <c r="D345" s="38"/>
      <c r="E345" s="38"/>
      <c r="F345" s="38"/>
    </row>
    <row r="346" ht="15.75" customHeight="1">
      <c r="B346" s="38"/>
      <c r="C346" s="38"/>
      <c r="D346" s="38"/>
      <c r="E346" s="38"/>
      <c r="F346" s="38"/>
    </row>
    <row r="347" ht="15.75" customHeight="1">
      <c r="B347" s="38"/>
      <c r="C347" s="38"/>
      <c r="D347" s="38"/>
      <c r="E347" s="38"/>
      <c r="F347" s="38"/>
    </row>
    <row r="348" ht="15.75" customHeight="1">
      <c r="B348" s="38"/>
      <c r="C348" s="38"/>
      <c r="D348" s="38"/>
      <c r="E348" s="38"/>
      <c r="F348" s="38"/>
    </row>
    <row r="349" ht="15.75" customHeight="1">
      <c r="B349" s="38"/>
      <c r="C349" s="38"/>
      <c r="D349" s="38"/>
      <c r="E349" s="38"/>
      <c r="F349" s="38"/>
    </row>
    <row r="350" ht="15.75" customHeight="1">
      <c r="B350" s="38"/>
      <c r="C350" s="38"/>
      <c r="D350" s="38"/>
      <c r="E350" s="38"/>
      <c r="F350" s="38"/>
    </row>
    <row r="351" ht="15.75" customHeight="1">
      <c r="B351" s="38"/>
      <c r="C351" s="38"/>
      <c r="D351" s="38"/>
      <c r="E351" s="38"/>
      <c r="F351" s="38"/>
    </row>
    <row r="352" ht="15.75" customHeight="1">
      <c r="B352" s="38"/>
      <c r="C352" s="38"/>
      <c r="D352" s="38"/>
      <c r="E352" s="38"/>
      <c r="F352" s="38"/>
    </row>
    <row r="353" ht="15.75" customHeight="1">
      <c r="B353" s="38"/>
      <c r="C353" s="38"/>
      <c r="D353" s="38"/>
      <c r="E353" s="38"/>
      <c r="F353" s="38"/>
    </row>
    <row r="354" ht="15.75" customHeight="1">
      <c r="B354" s="38"/>
      <c r="C354" s="38"/>
      <c r="D354" s="38"/>
      <c r="E354" s="38"/>
      <c r="F354" s="38"/>
    </row>
    <row r="355" ht="15.75" customHeight="1">
      <c r="B355" s="38"/>
      <c r="C355" s="38"/>
      <c r="D355" s="38"/>
      <c r="E355" s="38"/>
      <c r="F355" s="38"/>
    </row>
    <row r="356" ht="15.75" customHeight="1">
      <c r="B356" s="38"/>
      <c r="C356" s="38"/>
      <c r="D356" s="38"/>
      <c r="E356" s="38"/>
      <c r="F356" s="38"/>
    </row>
    <row r="357" ht="15.75" customHeight="1">
      <c r="B357" s="38"/>
      <c r="C357" s="38"/>
      <c r="D357" s="38"/>
      <c r="E357" s="38"/>
      <c r="F357" s="38"/>
    </row>
    <row r="358" ht="15.75" customHeight="1">
      <c r="B358" s="38"/>
      <c r="C358" s="38"/>
      <c r="D358" s="38"/>
      <c r="E358" s="38"/>
      <c r="F358" s="38"/>
    </row>
    <row r="359" ht="15.75" customHeight="1">
      <c r="B359" s="38"/>
      <c r="C359" s="38"/>
      <c r="D359" s="38"/>
      <c r="E359" s="38"/>
      <c r="F359" s="38"/>
    </row>
    <row r="360" ht="15.75" customHeight="1">
      <c r="B360" s="38"/>
      <c r="C360" s="38"/>
      <c r="D360" s="38"/>
      <c r="E360" s="38"/>
      <c r="F360" s="38"/>
    </row>
    <row r="361" ht="15.75" customHeight="1">
      <c r="B361" s="38"/>
      <c r="C361" s="38"/>
      <c r="D361" s="38"/>
      <c r="E361" s="38"/>
      <c r="F361" s="38"/>
    </row>
    <row r="362" ht="15.75" customHeight="1">
      <c r="B362" s="38"/>
      <c r="C362" s="38"/>
      <c r="D362" s="38"/>
      <c r="E362" s="38"/>
      <c r="F362" s="38"/>
    </row>
    <row r="363" ht="15.75" customHeight="1">
      <c r="B363" s="38"/>
      <c r="C363" s="38"/>
      <c r="D363" s="38"/>
      <c r="E363" s="38"/>
      <c r="F363" s="38"/>
    </row>
    <row r="364" ht="15.75" customHeight="1">
      <c r="B364" s="38"/>
      <c r="C364" s="38"/>
      <c r="D364" s="38"/>
      <c r="E364" s="38"/>
      <c r="F364" s="38"/>
    </row>
    <row r="365" ht="15.75" customHeight="1">
      <c r="B365" s="38"/>
      <c r="C365" s="38"/>
      <c r="D365" s="38"/>
      <c r="E365" s="38"/>
      <c r="F365" s="38"/>
    </row>
    <row r="366" ht="15.75" customHeight="1">
      <c r="B366" s="38"/>
      <c r="C366" s="38"/>
      <c r="D366" s="38"/>
      <c r="E366" s="38"/>
      <c r="F366" s="38"/>
    </row>
    <row r="367" ht="15.75" customHeight="1">
      <c r="B367" s="38"/>
      <c r="C367" s="38"/>
      <c r="D367" s="38"/>
      <c r="E367" s="38"/>
      <c r="F367" s="38"/>
    </row>
    <row r="368" ht="15.75" customHeight="1">
      <c r="B368" s="38"/>
      <c r="C368" s="38"/>
      <c r="D368" s="38"/>
      <c r="E368" s="38"/>
      <c r="F368" s="38"/>
    </row>
    <row r="369" ht="15.75" customHeight="1">
      <c r="B369" s="38"/>
      <c r="C369" s="38"/>
      <c r="D369" s="38"/>
      <c r="E369" s="38"/>
      <c r="F369" s="38"/>
    </row>
    <row r="370" ht="15.75" customHeight="1">
      <c r="B370" s="38"/>
      <c r="C370" s="38"/>
      <c r="D370" s="38"/>
      <c r="E370" s="38"/>
      <c r="F370" s="38"/>
    </row>
    <row r="371" ht="15.75" customHeight="1">
      <c r="B371" s="38"/>
      <c r="C371" s="38"/>
      <c r="D371" s="38"/>
      <c r="E371" s="38"/>
      <c r="F371" s="38"/>
    </row>
    <row r="372" ht="15.75" customHeight="1">
      <c r="B372" s="38"/>
      <c r="C372" s="38"/>
      <c r="D372" s="38"/>
      <c r="E372" s="38"/>
      <c r="F372" s="38"/>
    </row>
    <row r="373" ht="15.75" customHeight="1">
      <c r="B373" s="38"/>
      <c r="C373" s="38"/>
      <c r="D373" s="38"/>
      <c r="E373" s="38"/>
      <c r="F373" s="38"/>
    </row>
    <row r="374" ht="15.75" customHeight="1">
      <c r="B374" s="38"/>
      <c r="C374" s="38"/>
      <c r="D374" s="38"/>
      <c r="E374" s="38"/>
      <c r="F374" s="38"/>
    </row>
    <row r="375" ht="15.75" customHeight="1">
      <c r="B375" s="38"/>
      <c r="C375" s="38"/>
      <c r="D375" s="38"/>
      <c r="E375" s="38"/>
      <c r="F375" s="38"/>
    </row>
    <row r="376" ht="15.75" customHeight="1">
      <c r="B376" s="38"/>
      <c r="C376" s="38"/>
      <c r="D376" s="38"/>
      <c r="E376" s="38"/>
      <c r="F376" s="38"/>
    </row>
    <row r="377" ht="15.75" customHeight="1">
      <c r="B377" s="38"/>
      <c r="C377" s="38"/>
      <c r="D377" s="38"/>
      <c r="E377" s="38"/>
      <c r="F377" s="38"/>
    </row>
    <row r="378" ht="15.75" customHeight="1">
      <c r="B378" s="38"/>
      <c r="C378" s="38"/>
      <c r="D378" s="38"/>
      <c r="E378" s="38"/>
      <c r="F378" s="38"/>
    </row>
    <row r="379" ht="15.75" customHeight="1">
      <c r="B379" s="38"/>
      <c r="C379" s="38"/>
      <c r="D379" s="38"/>
      <c r="E379" s="38"/>
      <c r="F379" s="38"/>
    </row>
    <row r="380" ht="15.75" customHeight="1">
      <c r="B380" s="38"/>
      <c r="C380" s="38"/>
      <c r="D380" s="38"/>
      <c r="E380" s="38"/>
      <c r="F380" s="38"/>
    </row>
    <row r="381" ht="15.75" customHeight="1">
      <c r="B381" s="38"/>
      <c r="C381" s="38"/>
      <c r="D381" s="38"/>
      <c r="E381" s="38"/>
      <c r="F381" s="38"/>
    </row>
    <row r="382" ht="15.75" customHeight="1">
      <c r="B382" s="38"/>
      <c r="C382" s="38"/>
      <c r="D382" s="38"/>
      <c r="E382" s="38"/>
      <c r="F382" s="38"/>
    </row>
    <row r="383" ht="15.75" customHeight="1">
      <c r="B383" s="38"/>
      <c r="C383" s="38"/>
      <c r="D383" s="38"/>
      <c r="E383" s="38"/>
      <c r="F383" s="38"/>
    </row>
    <row r="384" ht="15.75" customHeight="1">
      <c r="B384" s="38"/>
      <c r="C384" s="38"/>
      <c r="D384" s="38"/>
      <c r="E384" s="38"/>
      <c r="F384" s="38"/>
    </row>
    <row r="385" ht="15.75" customHeight="1">
      <c r="B385" s="38"/>
      <c r="C385" s="38"/>
      <c r="D385" s="38"/>
      <c r="E385" s="38"/>
      <c r="F385" s="38"/>
    </row>
    <row r="386" ht="15.75" customHeight="1">
      <c r="B386" s="38"/>
      <c r="C386" s="38"/>
      <c r="D386" s="38"/>
      <c r="E386" s="38"/>
      <c r="F386" s="38"/>
    </row>
    <row r="387" ht="15.75" customHeight="1">
      <c r="B387" s="38"/>
      <c r="C387" s="38"/>
      <c r="D387" s="38"/>
      <c r="E387" s="38"/>
      <c r="F387" s="38"/>
    </row>
    <row r="388" ht="15.75" customHeight="1">
      <c r="B388" s="38"/>
      <c r="C388" s="38"/>
      <c r="D388" s="38"/>
      <c r="E388" s="38"/>
      <c r="F388" s="38"/>
    </row>
    <row r="389" ht="15.75" customHeight="1">
      <c r="B389" s="38"/>
      <c r="C389" s="38"/>
      <c r="D389" s="38"/>
      <c r="E389" s="38"/>
      <c r="F389" s="38"/>
    </row>
    <row r="390" ht="15.75" customHeight="1">
      <c r="B390" s="38"/>
      <c r="C390" s="38"/>
      <c r="D390" s="38"/>
      <c r="E390" s="38"/>
      <c r="F390" s="38"/>
    </row>
    <row r="391" ht="15.75" customHeight="1">
      <c r="B391" s="38"/>
      <c r="C391" s="38"/>
      <c r="D391" s="38"/>
      <c r="E391" s="38"/>
      <c r="F391" s="38"/>
    </row>
    <row r="392" ht="15.75" customHeight="1">
      <c r="B392" s="38"/>
      <c r="C392" s="38"/>
      <c r="D392" s="38"/>
      <c r="E392" s="38"/>
      <c r="F392" s="38"/>
    </row>
    <row r="393" ht="15.75" customHeight="1">
      <c r="B393" s="38"/>
      <c r="C393" s="38"/>
      <c r="D393" s="38"/>
      <c r="E393" s="38"/>
      <c r="F393" s="38"/>
    </row>
    <row r="394" ht="15.75" customHeight="1">
      <c r="B394" s="38"/>
      <c r="C394" s="38"/>
      <c r="D394" s="38"/>
      <c r="E394" s="38"/>
      <c r="F394" s="38"/>
    </row>
    <row r="395" ht="15.75" customHeight="1">
      <c r="B395" s="38"/>
      <c r="C395" s="38"/>
      <c r="D395" s="38"/>
      <c r="E395" s="38"/>
      <c r="F395" s="38"/>
    </row>
    <row r="396" ht="15.75" customHeight="1">
      <c r="B396" s="38"/>
      <c r="C396" s="38"/>
      <c r="D396" s="38"/>
      <c r="E396" s="38"/>
      <c r="F396" s="38"/>
    </row>
    <row r="397" ht="15.75" customHeight="1">
      <c r="B397" s="38"/>
      <c r="C397" s="38"/>
      <c r="D397" s="38"/>
      <c r="E397" s="38"/>
      <c r="F397" s="38"/>
    </row>
    <row r="398" ht="15.75" customHeight="1">
      <c r="B398" s="38"/>
      <c r="C398" s="38"/>
      <c r="D398" s="38"/>
      <c r="E398" s="38"/>
      <c r="F398" s="38"/>
    </row>
    <row r="399" ht="15.75" customHeight="1">
      <c r="B399" s="38"/>
      <c r="C399" s="38"/>
      <c r="D399" s="38"/>
      <c r="E399" s="38"/>
      <c r="F399" s="38"/>
    </row>
    <row r="400" ht="15.75" customHeight="1">
      <c r="B400" s="38"/>
      <c r="C400" s="38"/>
      <c r="D400" s="38"/>
      <c r="E400" s="38"/>
      <c r="F400" s="38"/>
    </row>
    <row r="401" ht="15.75" customHeight="1">
      <c r="B401" s="38"/>
      <c r="C401" s="38"/>
      <c r="D401" s="38"/>
      <c r="E401" s="38"/>
      <c r="F401" s="38"/>
    </row>
    <row r="402" ht="15.75" customHeight="1">
      <c r="B402" s="38"/>
      <c r="C402" s="38"/>
      <c r="D402" s="38"/>
      <c r="E402" s="38"/>
      <c r="F402" s="38"/>
    </row>
    <row r="403" ht="15.75" customHeight="1">
      <c r="B403" s="38"/>
      <c r="C403" s="38"/>
      <c r="D403" s="38"/>
      <c r="E403" s="38"/>
      <c r="F403" s="38"/>
    </row>
    <row r="404" ht="15.75" customHeight="1">
      <c r="B404" s="38"/>
      <c r="C404" s="38"/>
      <c r="D404" s="38"/>
      <c r="E404" s="38"/>
      <c r="F404" s="38"/>
    </row>
    <row r="405" ht="15.75" customHeight="1">
      <c r="B405" s="38"/>
      <c r="C405" s="38"/>
      <c r="D405" s="38"/>
      <c r="E405" s="38"/>
      <c r="F405" s="38"/>
    </row>
    <row r="406" ht="15.75" customHeight="1">
      <c r="B406" s="38"/>
      <c r="C406" s="38"/>
      <c r="D406" s="38"/>
      <c r="E406" s="38"/>
      <c r="F406" s="38"/>
    </row>
    <row r="407" ht="15.75" customHeight="1">
      <c r="B407" s="38"/>
      <c r="C407" s="38"/>
      <c r="D407" s="38"/>
      <c r="E407" s="38"/>
      <c r="F407" s="38"/>
    </row>
    <row r="408" ht="15.75" customHeight="1">
      <c r="B408" s="38"/>
      <c r="C408" s="38"/>
      <c r="D408" s="38"/>
      <c r="E408" s="38"/>
      <c r="F408" s="38"/>
    </row>
    <row r="409" ht="15.75" customHeight="1">
      <c r="B409" s="38"/>
      <c r="C409" s="38"/>
      <c r="D409" s="38"/>
      <c r="E409" s="38"/>
      <c r="F409" s="38"/>
    </row>
    <row r="410" ht="15.75" customHeight="1">
      <c r="B410" s="38"/>
      <c r="C410" s="38"/>
      <c r="D410" s="38"/>
      <c r="E410" s="38"/>
      <c r="F410" s="38"/>
    </row>
    <row r="411" ht="15.75" customHeight="1">
      <c r="B411" s="38"/>
      <c r="C411" s="38"/>
      <c r="D411" s="38"/>
      <c r="E411" s="38"/>
      <c r="F411" s="38"/>
    </row>
    <row r="412" ht="15.75" customHeight="1">
      <c r="B412" s="38"/>
      <c r="C412" s="38"/>
      <c r="D412" s="38"/>
      <c r="E412" s="38"/>
      <c r="F412" s="38"/>
    </row>
    <row r="413" ht="15.75" customHeight="1">
      <c r="B413" s="38"/>
      <c r="C413" s="38"/>
      <c r="D413" s="38"/>
      <c r="E413" s="38"/>
      <c r="F413" s="38"/>
    </row>
    <row r="414" ht="15.75" customHeight="1">
      <c r="B414" s="38"/>
      <c r="C414" s="38"/>
      <c r="D414" s="38"/>
      <c r="E414" s="38"/>
      <c r="F414" s="38"/>
    </row>
    <row r="415" ht="15.75" customHeight="1">
      <c r="B415" s="38"/>
      <c r="C415" s="38"/>
      <c r="D415" s="38"/>
      <c r="E415" s="38"/>
      <c r="F415" s="38"/>
    </row>
    <row r="416" ht="15.75" customHeight="1">
      <c r="B416" s="38"/>
      <c r="C416" s="38"/>
      <c r="D416" s="38"/>
      <c r="E416" s="38"/>
      <c r="F416" s="38"/>
    </row>
    <row r="417" ht="15.75" customHeight="1">
      <c r="B417" s="38"/>
      <c r="C417" s="38"/>
      <c r="D417" s="38"/>
      <c r="E417" s="38"/>
      <c r="F417" s="38"/>
    </row>
    <row r="418" ht="15.75" customHeight="1">
      <c r="B418" s="38"/>
      <c r="C418" s="38"/>
      <c r="D418" s="38"/>
      <c r="E418" s="38"/>
      <c r="F418" s="38"/>
    </row>
    <row r="419" ht="15.75" customHeight="1">
      <c r="B419" s="38"/>
      <c r="C419" s="38"/>
      <c r="D419" s="38"/>
      <c r="E419" s="38"/>
      <c r="F419" s="38"/>
    </row>
    <row r="420" ht="15.75" customHeight="1">
      <c r="B420" s="38"/>
      <c r="C420" s="38"/>
      <c r="D420" s="38"/>
      <c r="E420" s="38"/>
      <c r="F420" s="38"/>
    </row>
    <row r="421" ht="15.75" customHeight="1">
      <c r="B421" s="38"/>
      <c r="C421" s="38"/>
      <c r="D421" s="38"/>
      <c r="E421" s="38"/>
      <c r="F421" s="38"/>
    </row>
    <row r="422" ht="15.75" customHeight="1">
      <c r="B422" s="38"/>
      <c r="C422" s="38"/>
      <c r="D422" s="38"/>
      <c r="E422" s="38"/>
      <c r="F422" s="38"/>
    </row>
    <row r="423" ht="15.75" customHeight="1">
      <c r="B423" s="38"/>
      <c r="C423" s="38"/>
      <c r="D423" s="38"/>
      <c r="E423" s="38"/>
      <c r="F423" s="38"/>
    </row>
    <row r="424" ht="15.75" customHeight="1">
      <c r="B424" s="38"/>
      <c r="C424" s="38"/>
      <c r="D424" s="38"/>
      <c r="E424" s="38"/>
      <c r="F424" s="38"/>
    </row>
    <row r="425" ht="15.75" customHeight="1">
      <c r="B425" s="38"/>
      <c r="C425" s="38"/>
      <c r="D425" s="38"/>
      <c r="E425" s="38"/>
      <c r="F425" s="38"/>
    </row>
    <row r="426" ht="15.75" customHeight="1">
      <c r="B426" s="38"/>
      <c r="C426" s="38"/>
      <c r="D426" s="38"/>
      <c r="E426" s="38"/>
      <c r="F426" s="38"/>
    </row>
    <row r="427" ht="15.75" customHeight="1">
      <c r="B427" s="38"/>
      <c r="C427" s="38"/>
      <c r="D427" s="38"/>
      <c r="E427" s="38"/>
      <c r="F427" s="38"/>
    </row>
    <row r="428" ht="15.75" customHeight="1">
      <c r="B428" s="38"/>
      <c r="C428" s="38"/>
      <c r="D428" s="38"/>
      <c r="E428" s="38"/>
      <c r="F428" s="38"/>
    </row>
    <row r="429" ht="15.75" customHeight="1">
      <c r="B429" s="38"/>
      <c r="C429" s="38"/>
      <c r="D429" s="38"/>
      <c r="E429" s="38"/>
      <c r="F429" s="38"/>
    </row>
    <row r="430" ht="15.75" customHeight="1">
      <c r="B430" s="38"/>
      <c r="C430" s="38"/>
      <c r="D430" s="38"/>
      <c r="E430" s="38"/>
      <c r="F430" s="38"/>
    </row>
    <row r="431" ht="15.75" customHeight="1">
      <c r="B431" s="38"/>
      <c r="C431" s="38"/>
      <c r="D431" s="38"/>
      <c r="E431" s="38"/>
      <c r="F431" s="38"/>
    </row>
    <row r="432" ht="15.75" customHeight="1">
      <c r="B432" s="38"/>
      <c r="C432" s="38"/>
      <c r="D432" s="38"/>
      <c r="E432" s="38"/>
      <c r="F432" s="38"/>
    </row>
    <row r="433" ht="15.75" customHeight="1">
      <c r="B433" s="38"/>
      <c r="C433" s="38"/>
      <c r="D433" s="38"/>
      <c r="E433" s="38"/>
      <c r="F433" s="38"/>
    </row>
    <row r="434" ht="15.75" customHeight="1">
      <c r="B434" s="38"/>
      <c r="C434" s="38"/>
      <c r="D434" s="38"/>
      <c r="E434" s="38"/>
      <c r="F434" s="38"/>
    </row>
    <row r="435" ht="15.75" customHeight="1">
      <c r="B435" s="38"/>
      <c r="C435" s="38"/>
      <c r="D435" s="38"/>
      <c r="E435" s="38"/>
      <c r="F435" s="38"/>
    </row>
    <row r="436" ht="15.75" customHeight="1">
      <c r="B436" s="38"/>
      <c r="C436" s="38"/>
      <c r="D436" s="38"/>
      <c r="E436" s="38"/>
      <c r="F436" s="38"/>
    </row>
    <row r="437" ht="15.75" customHeight="1">
      <c r="B437" s="38"/>
      <c r="C437" s="38"/>
      <c r="D437" s="38"/>
      <c r="E437" s="38"/>
      <c r="F437" s="38"/>
    </row>
    <row r="438" ht="15.75" customHeight="1">
      <c r="B438" s="38"/>
      <c r="C438" s="38"/>
      <c r="D438" s="38"/>
      <c r="E438" s="38"/>
      <c r="F438" s="38"/>
    </row>
    <row r="439" ht="15.75" customHeight="1">
      <c r="B439" s="38"/>
      <c r="C439" s="38"/>
      <c r="D439" s="38"/>
      <c r="E439" s="38"/>
      <c r="F439" s="38"/>
    </row>
    <row r="440" ht="15.75" customHeight="1">
      <c r="B440" s="38"/>
      <c r="C440" s="38"/>
      <c r="D440" s="38"/>
      <c r="E440" s="38"/>
      <c r="F440" s="38"/>
    </row>
    <row r="441" ht="15.75" customHeight="1">
      <c r="B441" s="38"/>
      <c r="C441" s="38"/>
      <c r="D441" s="38"/>
      <c r="E441" s="38"/>
      <c r="F441" s="38"/>
    </row>
    <row r="442" ht="15.75" customHeight="1">
      <c r="B442" s="38"/>
      <c r="C442" s="38"/>
      <c r="D442" s="38"/>
      <c r="E442" s="38"/>
      <c r="F442" s="38"/>
    </row>
    <row r="443" ht="15.75" customHeight="1">
      <c r="B443" s="38"/>
      <c r="C443" s="38"/>
      <c r="D443" s="38"/>
      <c r="E443" s="38"/>
      <c r="F443" s="38"/>
    </row>
    <row r="444" ht="15.75" customHeight="1">
      <c r="B444" s="38"/>
      <c r="C444" s="38"/>
      <c r="D444" s="38"/>
      <c r="E444" s="38"/>
      <c r="F444" s="38"/>
    </row>
    <row r="445" ht="15.75" customHeight="1">
      <c r="B445" s="38"/>
      <c r="C445" s="38"/>
      <c r="D445" s="38"/>
      <c r="E445" s="38"/>
      <c r="F445" s="38"/>
    </row>
    <row r="446" ht="15.75" customHeight="1">
      <c r="B446" s="38"/>
      <c r="C446" s="38"/>
      <c r="D446" s="38"/>
      <c r="E446" s="38"/>
      <c r="F446" s="38"/>
    </row>
    <row r="447" ht="15.75" customHeight="1">
      <c r="B447" s="38"/>
      <c r="C447" s="38"/>
      <c r="D447" s="38"/>
      <c r="E447" s="38"/>
      <c r="F447" s="38"/>
    </row>
    <row r="448" ht="15.75" customHeight="1">
      <c r="B448" s="38"/>
      <c r="C448" s="38"/>
      <c r="D448" s="38"/>
      <c r="E448" s="38"/>
      <c r="F448" s="38"/>
    </row>
    <row r="449" ht="15.75" customHeight="1">
      <c r="B449" s="38"/>
      <c r="C449" s="38"/>
      <c r="D449" s="38"/>
      <c r="E449" s="38"/>
      <c r="F449" s="38"/>
    </row>
    <row r="450" ht="15.75" customHeight="1">
      <c r="B450" s="38"/>
      <c r="C450" s="38"/>
      <c r="D450" s="38"/>
      <c r="E450" s="38"/>
      <c r="F450" s="38"/>
    </row>
    <row r="451" ht="15.75" customHeight="1">
      <c r="B451" s="38"/>
      <c r="C451" s="38"/>
      <c r="D451" s="38"/>
      <c r="E451" s="38"/>
      <c r="F451" s="38"/>
    </row>
    <row r="452" ht="15.75" customHeight="1">
      <c r="B452" s="38"/>
      <c r="C452" s="38"/>
      <c r="D452" s="38"/>
      <c r="E452" s="38"/>
      <c r="F452" s="38"/>
    </row>
    <row r="453" ht="15.75" customHeight="1">
      <c r="B453" s="38"/>
      <c r="C453" s="38"/>
      <c r="D453" s="38"/>
      <c r="E453" s="38"/>
      <c r="F453" s="38"/>
    </row>
    <row r="454" ht="15.75" customHeight="1">
      <c r="B454" s="38"/>
      <c r="C454" s="38"/>
      <c r="D454" s="38"/>
      <c r="E454" s="38"/>
      <c r="F454" s="38"/>
    </row>
    <row r="455" ht="15.75" customHeight="1">
      <c r="B455" s="38"/>
      <c r="C455" s="38"/>
      <c r="D455" s="38"/>
      <c r="E455" s="38"/>
      <c r="F455" s="38"/>
    </row>
    <row r="456" ht="15.75" customHeight="1">
      <c r="B456" s="38"/>
      <c r="C456" s="38"/>
      <c r="D456" s="38"/>
      <c r="E456" s="38"/>
      <c r="F456" s="38"/>
    </row>
    <row r="457" ht="15.75" customHeight="1">
      <c r="B457" s="38"/>
      <c r="C457" s="38"/>
      <c r="D457" s="38"/>
      <c r="E457" s="38"/>
      <c r="F457" s="38"/>
    </row>
    <row r="458" ht="15.75" customHeight="1">
      <c r="B458" s="38"/>
      <c r="C458" s="38"/>
      <c r="D458" s="38"/>
      <c r="E458" s="38"/>
      <c r="F458" s="38"/>
    </row>
    <row r="459" ht="15.75" customHeight="1">
      <c r="B459" s="38"/>
      <c r="C459" s="38"/>
      <c r="D459" s="38"/>
      <c r="E459" s="38"/>
      <c r="F459" s="38"/>
    </row>
    <row r="460" ht="15.75" customHeight="1">
      <c r="B460" s="38"/>
      <c r="C460" s="38"/>
      <c r="D460" s="38"/>
      <c r="E460" s="38"/>
      <c r="F460" s="38"/>
    </row>
    <row r="461" ht="15.75" customHeight="1">
      <c r="B461" s="38"/>
      <c r="C461" s="38"/>
      <c r="D461" s="38"/>
      <c r="E461" s="38"/>
      <c r="F461" s="38"/>
    </row>
    <row r="462" ht="15.75" customHeight="1">
      <c r="B462" s="38"/>
      <c r="C462" s="38"/>
      <c r="D462" s="38"/>
      <c r="E462" s="38"/>
      <c r="F462" s="38"/>
    </row>
    <row r="463" ht="15.75" customHeight="1">
      <c r="B463" s="38"/>
      <c r="C463" s="38"/>
      <c r="D463" s="38"/>
      <c r="E463" s="38"/>
      <c r="F463" s="38"/>
    </row>
    <row r="464" ht="15.75" customHeight="1">
      <c r="B464" s="38"/>
      <c r="C464" s="38"/>
      <c r="D464" s="38"/>
      <c r="E464" s="38"/>
      <c r="F464" s="38"/>
    </row>
    <row r="465" ht="15.75" customHeight="1">
      <c r="B465" s="38"/>
      <c r="C465" s="38"/>
      <c r="D465" s="38"/>
      <c r="E465" s="38"/>
      <c r="F465" s="38"/>
    </row>
    <row r="466" ht="15.75" customHeight="1">
      <c r="B466" s="38"/>
      <c r="C466" s="38"/>
      <c r="D466" s="38"/>
      <c r="E466" s="38"/>
      <c r="F466" s="38"/>
    </row>
    <row r="467" ht="15.75" customHeight="1">
      <c r="B467" s="38"/>
      <c r="C467" s="38"/>
      <c r="D467" s="38"/>
      <c r="E467" s="38"/>
      <c r="F467" s="38"/>
    </row>
    <row r="468" ht="15.75" customHeight="1">
      <c r="B468" s="38"/>
      <c r="C468" s="38"/>
      <c r="D468" s="38"/>
      <c r="E468" s="38"/>
      <c r="F468" s="38"/>
    </row>
    <row r="469" ht="15.75" customHeight="1">
      <c r="B469" s="38"/>
      <c r="C469" s="38"/>
      <c r="D469" s="38"/>
      <c r="E469" s="38"/>
      <c r="F469" s="38"/>
    </row>
    <row r="470" ht="15.75" customHeight="1">
      <c r="B470" s="38"/>
      <c r="C470" s="38"/>
      <c r="D470" s="38"/>
      <c r="E470" s="38"/>
      <c r="F470" s="38"/>
    </row>
    <row r="471" ht="15.75" customHeight="1">
      <c r="B471" s="38"/>
      <c r="C471" s="38"/>
      <c r="D471" s="38"/>
      <c r="E471" s="38"/>
      <c r="F471" s="38"/>
    </row>
    <row r="472" ht="15.75" customHeight="1">
      <c r="B472" s="38"/>
      <c r="C472" s="38"/>
      <c r="D472" s="38"/>
      <c r="E472" s="38"/>
      <c r="F472" s="38"/>
    </row>
    <row r="473" ht="15.75" customHeight="1">
      <c r="B473" s="38"/>
      <c r="C473" s="38"/>
      <c r="D473" s="38"/>
      <c r="E473" s="38"/>
      <c r="F473" s="38"/>
    </row>
    <row r="474" ht="15.75" customHeight="1">
      <c r="B474" s="38"/>
      <c r="C474" s="38"/>
      <c r="D474" s="38"/>
      <c r="E474" s="38"/>
      <c r="F474" s="38"/>
    </row>
    <row r="475" ht="15.75" customHeight="1">
      <c r="B475" s="38"/>
      <c r="C475" s="38"/>
      <c r="D475" s="38"/>
      <c r="E475" s="38"/>
      <c r="F475" s="38"/>
    </row>
    <row r="476" ht="15.75" customHeight="1">
      <c r="B476" s="38"/>
      <c r="C476" s="38"/>
      <c r="D476" s="38"/>
      <c r="E476" s="38"/>
      <c r="F476" s="38"/>
    </row>
    <row r="477" ht="15.75" customHeight="1">
      <c r="B477" s="38"/>
      <c r="C477" s="38"/>
      <c r="D477" s="38"/>
      <c r="E477" s="38"/>
      <c r="F477" s="38"/>
    </row>
    <row r="478" ht="15.75" customHeight="1">
      <c r="B478" s="38"/>
      <c r="C478" s="38"/>
      <c r="D478" s="38"/>
      <c r="E478" s="38"/>
      <c r="F478" s="38"/>
    </row>
    <row r="479" ht="15.75" customHeight="1">
      <c r="B479" s="38"/>
      <c r="C479" s="38"/>
      <c r="D479" s="38"/>
      <c r="E479" s="38"/>
      <c r="F479" s="38"/>
    </row>
    <row r="480" ht="15.75" customHeight="1">
      <c r="B480" s="38"/>
      <c r="C480" s="38"/>
      <c r="D480" s="38"/>
      <c r="E480" s="38"/>
      <c r="F480" s="38"/>
    </row>
    <row r="481" ht="15.75" customHeight="1">
      <c r="B481" s="38"/>
      <c r="C481" s="38"/>
      <c r="D481" s="38"/>
      <c r="E481" s="38"/>
      <c r="F481" s="38"/>
    </row>
    <row r="482" ht="15.75" customHeight="1">
      <c r="B482" s="38"/>
      <c r="C482" s="38"/>
      <c r="D482" s="38"/>
      <c r="E482" s="38"/>
      <c r="F482" s="38"/>
    </row>
    <row r="483" ht="15.75" customHeight="1">
      <c r="B483" s="38"/>
      <c r="C483" s="38"/>
      <c r="D483" s="38"/>
      <c r="E483" s="38"/>
      <c r="F483" s="38"/>
    </row>
    <row r="484" ht="15.75" customHeight="1">
      <c r="B484" s="38"/>
      <c r="C484" s="38"/>
      <c r="D484" s="38"/>
      <c r="E484" s="38"/>
      <c r="F484" s="38"/>
    </row>
    <row r="485" ht="15.75" customHeight="1">
      <c r="B485" s="38"/>
      <c r="C485" s="38"/>
      <c r="D485" s="38"/>
      <c r="E485" s="38"/>
      <c r="F485" s="38"/>
    </row>
    <row r="486" ht="15.75" customHeight="1">
      <c r="B486" s="38"/>
      <c r="C486" s="38"/>
      <c r="D486" s="38"/>
      <c r="E486" s="38"/>
      <c r="F486" s="38"/>
    </row>
    <row r="487" ht="15.75" customHeight="1">
      <c r="B487" s="38"/>
      <c r="C487" s="38"/>
      <c r="D487" s="38"/>
      <c r="E487" s="38"/>
      <c r="F487" s="38"/>
    </row>
    <row r="488" ht="15.75" customHeight="1">
      <c r="B488" s="38"/>
      <c r="C488" s="38"/>
      <c r="D488" s="38"/>
      <c r="E488" s="38"/>
      <c r="F488" s="38"/>
    </row>
    <row r="489" ht="15.75" customHeight="1">
      <c r="B489" s="38"/>
      <c r="C489" s="38"/>
      <c r="D489" s="38"/>
      <c r="E489" s="38"/>
      <c r="F489" s="38"/>
    </row>
    <row r="490" ht="15.75" customHeight="1">
      <c r="B490" s="38"/>
      <c r="C490" s="38"/>
      <c r="D490" s="38"/>
      <c r="E490" s="38"/>
      <c r="F490" s="38"/>
    </row>
    <row r="491" ht="15.75" customHeight="1">
      <c r="B491" s="38"/>
      <c r="C491" s="38"/>
      <c r="D491" s="38"/>
      <c r="E491" s="38"/>
      <c r="F491" s="38"/>
    </row>
    <row r="492" ht="15.75" customHeight="1">
      <c r="B492" s="38"/>
      <c r="C492" s="38"/>
      <c r="D492" s="38"/>
      <c r="E492" s="38"/>
      <c r="F492" s="38"/>
    </row>
    <row r="493" ht="15.75" customHeight="1">
      <c r="B493" s="38"/>
      <c r="C493" s="38"/>
      <c r="D493" s="38"/>
      <c r="E493" s="38"/>
      <c r="F493" s="38"/>
    </row>
    <row r="494" ht="15.75" customHeight="1">
      <c r="B494" s="38"/>
      <c r="C494" s="38"/>
      <c r="D494" s="38"/>
      <c r="E494" s="38"/>
      <c r="F494" s="38"/>
    </row>
    <row r="495" ht="15.75" customHeight="1">
      <c r="B495" s="38"/>
      <c r="C495" s="38"/>
      <c r="D495" s="38"/>
      <c r="E495" s="38"/>
      <c r="F495" s="38"/>
    </row>
    <row r="496" ht="15.75" customHeight="1">
      <c r="B496" s="38"/>
      <c r="C496" s="38"/>
      <c r="D496" s="38"/>
      <c r="E496" s="38"/>
      <c r="F496" s="38"/>
    </row>
    <row r="497" ht="15.75" customHeight="1">
      <c r="B497" s="38"/>
      <c r="C497" s="38"/>
      <c r="D497" s="38"/>
      <c r="E497" s="38"/>
      <c r="F497" s="38"/>
    </row>
    <row r="498" ht="15.75" customHeight="1">
      <c r="B498" s="38"/>
      <c r="C498" s="38"/>
      <c r="D498" s="38"/>
      <c r="E498" s="38"/>
      <c r="F498" s="38"/>
    </row>
    <row r="499" ht="15.75" customHeight="1">
      <c r="B499" s="38"/>
      <c r="C499" s="38"/>
      <c r="D499" s="38"/>
      <c r="E499" s="38"/>
      <c r="F499" s="38"/>
    </row>
    <row r="500" ht="15.75" customHeight="1">
      <c r="B500" s="38"/>
      <c r="C500" s="38"/>
      <c r="D500" s="38"/>
      <c r="E500" s="38"/>
      <c r="F500" s="38"/>
    </row>
    <row r="501" ht="15.75" customHeight="1">
      <c r="B501" s="38"/>
      <c r="C501" s="38"/>
      <c r="D501" s="38"/>
      <c r="E501" s="38"/>
      <c r="F501" s="38"/>
    </row>
    <row r="502" ht="15.75" customHeight="1">
      <c r="B502" s="38"/>
      <c r="C502" s="38"/>
      <c r="D502" s="38"/>
      <c r="E502" s="38"/>
      <c r="F502" s="38"/>
    </row>
    <row r="503" ht="15.75" customHeight="1">
      <c r="B503" s="38"/>
      <c r="C503" s="38"/>
      <c r="D503" s="38"/>
      <c r="E503" s="38"/>
      <c r="F503" s="38"/>
    </row>
    <row r="504" ht="15.75" customHeight="1">
      <c r="B504" s="38"/>
      <c r="C504" s="38"/>
      <c r="D504" s="38"/>
      <c r="E504" s="38"/>
      <c r="F504" s="38"/>
    </row>
    <row r="505" ht="15.75" customHeight="1">
      <c r="B505" s="38"/>
      <c r="C505" s="38"/>
      <c r="D505" s="38"/>
      <c r="E505" s="38"/>
      <c r="F505" s="38"/>
    </row>
    <row r="506" ht="15.75" customHeight="1">
      <c r="B506" s="38"/>
      <c r="C506" s="38"/>
      <c r="D506" s="38"/>
      <c r="E506" s="38"/>
      <c r="F506" s="38"/>
    </row>
    <row r="507" ht="15.75" customHeight="1">
      <c r="B507" s="38"/>
      <c r="C507" s="38"/>
      <c r="D507" s="38"/>
      <c r="E507" s="38"/>
      <c r="F507" s="38"/>
    </row>
    <row r="508" ht="15.75" customHeight="1">
      <c r="B508" s="38"/>
      <c r="C508" s="38"/>
      <c r="D508" s="38"/>
      <c r="E508" s="38"/>
      <c r="F508" s="38"/>
    </row>
    <row r="509" ht="15.75" customHeight="1">
      <c r="B509" s="38"/>
      <c r="C509" s="38"/>
      <c r="D509" s="38"/>
      <c r="E509" s="38"/>
      <c r="F509" s="38"/>
    </row>
    <row r="510" ht="15.75" customHeight="1">
      <c r="B510" s="38"/>
      <c r="C510" s="38"/>
      <c r="D510" s="38"/>
      <c r="E510" s="38"/>
      <c r="F510" s="38"/>
    </row>
    <row r="511" ht="15.75" customHeight="1">
      <c r="B511" s="38"/>
      <c r="C511" s="38"/>
      <c r="D511" s="38"/>
      <c r="E511" s="38"/>
      <c r="F511" s="38"/>
    </row>
    <row r="512" ht="15.75" customHeight="1">
      <c r="B512" s="38"/>
      <c r="C512" s="38"/>
      <c r="D512" s="38"/>
      <c r="E512" s="38"/>
      <c r="F512" s="38"/>
    </row>
    <row r="513" ht="15.75" customHeight="1">
      <c r="B513" s="38"/>
      <c r="C513" s="38"/>
      <c r="D513" s="38"/>
      <c r="E513" s="38"/>
      <c r="F513" s="38"/>
    </row>
    <row r="514" ht="15.75" customHeight="1">
      <c r="B514" s="38"/>
      <c r="C514" s="38"/>
      <c r="D514" s="38"/>
      <c r="E514" s="38"/>
      <c r="F514" s="38"/>
    </row>
    <row r="515" ht="15.75" customHeight="1">
      <c r="B515" s="38"/>
      <c r="C515" s="38"/>
      <c r="D515" s="38"/>
      <c r="E515" s="38"/>
      <c r="F515" s="38"/>
    </row>
    <row r="516" ht="15.75" customHeight="1">
      <c r="B516" s="38"/>
      <c r="C516" s="38"/>
      <c r="D516" s="38"/>
      <c r="E516" s="38"/>
      <c r="F516" s="38"/>
    </row>
    <row r="517" ht="15.75" customHeight="1">
      <c r="B517" s="38"/>
      <c r="C517" s="38"/>
      <c r="D517" s="38"/>
      <c r="E517" s="38"/>
      <c r="F517" s="38"/>
    </row>
    <row r="518" ht="15.75" customHeight="1">
      <c r="B518" s="38"/>
      <c r="C518" s="38"/>
      <c r="D518" s="38"/>
      <c r="E518" s="38"/>
      <c r="F518" s="38"/>
    </row>
    <row r="519" ht="15.75" customHeight="1">
      <c r="B519" s="38"/>
      <c r="C519" s="38"/>
      <c r="D519" s="38"/>
      <c r="E519" s="38"/>
      <c r="F519" s="38"/>
    </row>
    <row r="520" ht="15.75" customHeight="1">
      <c r="B520" s="38"/>
      <c r="C520" s="38"/>
      <c r="D520" s="38"/>
      <c r="E520" s="38"/>
      <c r="F520" s="38"/>
    </row>
    <row r="521" ht="15.75" customHeight="1">
      <c r="B521" s="38"/>
      <c r="C521" s="38"/>
      <c r="D521" s="38"/>
      <c r="E521" s="38"/>
      <c r="F521" s="38"/>
    </row>
    <row r="522" ht="15.75" customHeight="1">
      <c r="B522" s="38"/>
      <c r="C522" s="38"/>
      <c r="D522" s="38"/>
      <c r="E522" s="38"/>
      <c r="F522" s="38"/>
    </row>
    <row r="523" ht="15.75" customHeight="1">
      <c r="B523" s="38"/>
      <c r="C523" s="38"/>
      <c r="D523" s="38"/>
      <c r="E523" s="38"/>
      <c r="F523" s="38"/>
    </row>
    <row r="524" ht="15.75" customHeight="1">
      <c r="B524" s="38"/>
      <c r="C524" s="38"/>
      <c r="D524" s="38"/>
      <c r="E524" s="38"/>
      <c r="F524" s="38"/>
    </row>
    <row r="525" ht="15.75" customHeight="1">
      <c r="B525" s="38"/>
      <c r="C525" s="38"/>
      <c r="D525" s="38"/>
      <c r="E525" s="38"/>
      <c r="F525" s="38"/>
    </row>
    <row r="526" ht="15.75" customHeight="1">
      <c r="B526" s="38"/>
      <c r="C526" s="38"/>
      <c r="D526" s="38"/>
      <c r="E526" s="38"/>
      <c r="F526" s="38"/>
    </row>
    <row r="527" ht="15.75" customHeight="1">
      <c r="B527" s="38"/>
      <c r="C527" s="38"/>
      <c r="D527" s="38"/>
      <c r="E527" s="38"/>
      <c r="F527" s="38"/>
    </row>
    <row r="528" ht="15.75" customHeight="1">
      <c r="B528" s="38"/>
      <c r="C528" s="38"/>
      <c r="D528" s="38"/>
      <c r="E528" s="38"/>
      <c r="F528" s="38"/>
    </row>
    <row r="529" ht="15.75" customHeight="1">
      <c r="B529" s="38"/>
      <c r="C529" s="38"/>
      <c r="D529" s="38"/>
      <c r="E529" s="38"/>
      <c r="F529" s="38"/>
    </row>
    <row r="530" ht="15.75" customHeight="1">
      <c r="B530" s="38"/>
      <c r="C530" s="38"/>
      <c r="D530" s="38"/>
      <c r="E530" s="38"/>
      <c r="F530" s="38"/>
    </row>
    <row r="531" ht="15.75" customHeight="1">
      <c r="B531" s="38"/>
      <c r="C531" s="38"/>
      <c r="D531" s="38"/>
      <c r="E531" s="38"/>
      <c r="F531" s="38"/>
    </row>
    <row r="532" ht="15.75" customHeight="1">
      <c r="B532" s="38"/>
      <c r="C532" s="38"/>
      <c r="D532" s="38"/>
      <c r="E532" s="38"/>
      <c r="F532" s="38"/>
    </row>
    <row r="533" ht="15.75" customHeight="1">
      <c r="B533" s="38"/>
      <c r="C533" s="38"/>
      <c r="D533" s="38"/>
      <c r="E533" s="38"/>
      <c r="F533" s="38"/>
    </row>
    <row r="534" ht="15.75" customHeight="1">
      <c r="B534" s="38"/>
      <c r="C534" s="38"/>
      <c r="D534" s="38"/>
      <c r="E534" s="38"/>
      <c r="F534" s="38"/>
    </row>
    <row r="535" ht="15.75" customHeight="1">
      <c r="B535" s="38"/>
      <c r="C535" s="38"/>
      <c r="D535" s="38"/>
      <c r="E535" s="38"/>
      <c r="F535" s="38"/>
    </row>
    <row r="536" ht="15.75" customHeight="1">
      <c r="B536" s="38"/>
      <c r="C536" s="38"/>
      <c r="D536" s="38"/>
      <c r="E536" s="38"/>
      <c r="F536" s="38"/>
    </row>
    <row r="537" ht="15.75" customHeight="1">
      <c r="B537" s="38"/>
      <c r="C537" s="38"/>
      <c r="D537" s="38"/>
      <c r="E537" s="38"/>
      <c r="F537" s="38"/>
    </row>
    <row r="538" ht="15.75" customHeight="1">
      <c r="B538" s="38"/>
      <c r="C538" s="38"/>
      <c r="D538" s="38"/>
      <c r="E538" s="38"/>
      <c r="F538" s="38"/>
    </row>
    <row r="539" ht="15.75" customHeight="1">
      <c r="B539" s="38"/>
      <c r="C539" s="38"/>
      <c r="D539" s="38"/>
      <c r="E539" s="38"/>
      <c r="F539" s="38"/>
    </row>
    <row r="540" ht="15.75" customHeight="1">
      <c r="B540" s="38"/>
      <c r="C540" s="38"/>
      <c r="D540" s="38"/>
      <c r="E540" s="38"/>
      <c r="F540" s="38"/>
    </row>
    <row r="541" ht="15.75" customHeight="1">
      <c r="B541" s="38"/>
      <c r="C541" s="38"/>
      <c r="D541" s="38"/>
      <c r="E541" s="38"/>
      <c r="F541" s="38"/>
    </row>
    <row r="542" ht="15.75" customHeight="1">
      <c r="B542" s="38"/>
      <c r="C542" s="38"/>
      <c r="D542" s="38"/>
      <c r="E542" s="38"/>
      <c r="F542" s="38"/>
    </row>
    <row r="543" ht="15.75" customHeight="1">
      <c r="B543" s="38"/>
      <c r="C543" s="38"/>
      <c r="D543" s="38"/>
      <c r="E543" s="38"/>
      <c r="F543" s="38"/>
    </row>
    <row r="544" ht="15.75" customHeight="1">
      <c r="B544" s="38"/>
      <c r="C544" s="38"/>
      <c r="D544" s="38"/>
      <c r="E544" s="38"/>
      <c r="F544" s="38"/>
    </row>
    <row r="545" ht="15.75" customHeight="1">
      <c r="B545" s="38"/>
      <c r="C545" s="38"/>
      <c r="D545" s="38"/>
      <c r="E545" s="38"/>
      <c r="F545" s="38"/>
    </row>
    <row r="546" ht="15.75" customHeight="1">
      <c r="B546" s="38"/>
      <c r="C546" s="38"/>
      <c r="D546" s="38"/>
      <c r="E546" s="38"/>
      <c r="F546" s="38"/>
    </row>
    <row r="547" ht="15.75" customHeight="1">
      <c r="B547" s="38"/>
      <c r="C547" s="38"/>
      <c r="D547" s="38"/>
      <c r="E547" s="38"/>
      <c r="F547" s="38"/>
    </row>
    <row r="548" ht="15.75" customHeight="1">
      <c r="B548" s="38"/>
      <c r="C548" s="38"/>
      <c r="D548" s="38"/>
      <c r="E548" s="38"/>
      <c r="F548" s="38"/>
    </row>
    <row r="549" ht="15.75" customHeight="1">
      <c r="B549" s="38"/>
      <c r="C549" s="38"/>
      <c r="D549" s="38"/>
      <c r="E549" s="38"/>
      <c r="F549" s="38"/>
    </row>
    <row r="550" ht="15.75" customHeight="1">
      <c r="B550" s="38"/>
      <c r="C550" s="38"/>
      <c r="D550" s="38"/>
      <c r="E550" s="38"/>
      <c r="F550" s="38"/>
    </row>
    <row r="551" ht="15.75" customHeight="1">
      <c r="B551" s="38"/>
      <c r="C551" s="38"/>
      <c r="D551" s="38"/>
      <c r="E551" s="38"/>
      <c r="F551" s="38"/>
    </row>
    <row r="552" ht="15.75" customHeight="1">
      <c r="B552" s="38"/>
      <c r="C552" s="38"/>
      <c r="D552" s="38"/>
      <c r="E552" s="38"/>
      <c r="F552" s="38"/>
    </row>
    <row r="553" ht="15.75" customHeight="1">
      <c r="B553" s="38"/>
      <c r="C553" s="38"/>
      <c r="D553" s="38"/>
      <c r="E553" s="38"/>
      <c r="F553" s="38"/>
    </row>
    <row r="554" ht="15.75" customHeight="1">
      <c r="B554" s="38"/>
      <c r="C554" s="38"/>
      <c r="D554" s="38"/>
      <c r="E554" s="38"/>
      <c r="F554" s="38"/>
    </row>
    <row r="555" ht="15.75" customHeight="1">
      <c r="B555" s="38"/>
      <c r="C555" s="38"/>
      <c r="D555" s="38"/>
      <c r="E555" s="38"/>
      <c r="F555" s="38"/>
    </row>
    <row r="556" ht="15.75" customHeight="1">
      <c r="B556" s="38"/>
      <c r="C556" s="38"/>
      <c r="D556" s="38"/>
      <c r="E556" s="38"/>
      <c r="F556" s="38"/>
    </row>
    <row r="557" ht="15.75" customHeight="1">
      <c r="B557" s="38"/>
      <c r="C557" s="38"/>
      <c r="D557" s="38"/>
      <c r="E557" s="38"/>
      <c r="F557" s="38"/>
    </row>
    <row r="558" ht="15.75" customHeight="1">
      <c r="B558" s="38"/>
      <c r="C558" s="38"/>
      <c r="D558" s="38"/>
      <c r="E558" s="38"/>
      <c r="F558" s="38"/>
    </row>
    <row r="559" ht="15.75" customHeight="1">
      <c r="B559" s="38"/>
      <c r="C559" s="38"/>
      <c r="D559" s="38"/>
      <c r="E559" s="38"/>
      <c r="F559" s="38"/>
    </row>
    <row r="560" ht="15.75" customHeight="1">
      <c r="B560" s="38"/>
      <c r="C560" s="38"/>
      <c r="D560" s="38"/>
      <c r="E560" s="38"/>
      <c r="F560" s="38"/>
    </row>
    <row r="561" ht="15.75" customHeight="1">
      <c r="B561" s="38"/>
      <c r="C561" s="38"/>
      <c r="D561" s="38"/>
      <c r="E561" s="38"/>
      <c r="F561" s="38"/>
    </row>
    <row r="562" ht="15.75" customHeight="1">
      <c r="B562" s="38"/>
      <c r="C562" s="38"/>
      <c r="D562" s="38"/>
      <c r="E562" s="38"/>
      <c r="F562" s="38"/>
    </row>
    <row r="563" ht="15.75" customHeight="1">
      <c r="B563" s="38"/>
      <c r="C563" s="38"/>
      <c r="D563" s="38"/>
      <c r="E563" s="38"/>
      <c r="F563" s="38"/>
    </row>
    <row r="564" ht="15.75" customHeight="1">
      <c r="B564" s="38"/>
      <c r="C564" s="38"/>
      <c r="D564" s="38"/>
      <c r="E564" s="38"/>
      <c r="F564" s="38"/>
    </row>
    <row r="565" ht="15.75" customHeight="1">
      <c r="B565" s="38"/>
      <c r="C565" s="38"/>
      <c r="D565" s="38"/>
      <c r="E565" s="38"/>
      <c r="F565" s="38"/>
    </row>
    <row r="566" ht="15.75" customHeight="1">
      <c r="B566" s="38"/>
      <c r="C566" s="38"/>
      <c r="D566" s="38"/>
      <c r="E566" s="38"/>
      <c r="F566" s="38"/>
    </row>
    <row r="567" ht="15.75" customHeight="1">
      <c r="B567" s="38"/>
      <c r="C567" s="38"/>
      <c r="D567" s="38"/>
      <c r="E567" s="38"/>
      <c r="F567" s="38"/>
    </row>
    <row r="568" ht="15.75" customHeight="1">
      <c r="B568" s="38"/>
      <c r="C568" s="38"/>
      <c r="D568" s="38"/>
      <c r="E568" s="38"/>
      <c r="F568" s="38"/>
    </row>
    <row r="569" ht="15.75" customHeight="1">
      <c r="B569" s="38"/>
      <c r="C569" s="38"/>
      <c r="D569" s="38"/>
      <c r="E569" s="38"/>
      <c r="F569" s="38"/>
    </row>
    <row r="570" ht="15.75" customHeight="1">
      <c r="B570" s="38"/>
      <c r="C570" s="38"/>
      <c r="D570" s="38"/>
      <c r="E570" s="38"/>
      <c r="F570" s="38"/>
    </row>
    <row r="571" ht="15.75" customHeight="1">
      <c r="B571" s="38"/>
      <c r="C571" s="38"/>
      <c r="D571" s="38"/>
      <c r="E571" s="38"/>
      <c r="F571" s="38"/>
    </row>
    <row r="572" ht="15.75" customHeight="1">
      <c r="B572" s="38"/>
      <c r="C572" s="38"/>
      <c r="D572" s="38"/>
      <c r="E572" s="38"/>
      <c r="F572" s="38"/>
    </row>
    <row r="573" ht="15.75" customHeight="1">
      <c r="B573" s="38"/>
      <c r="C573" s="38"/>
      <c r="D573" s="38"/>
      <c r="E573" s="38"/>
      <c r="F573" s="38"/>
    </row>
    <row r="574" ht="15.75" customHeight="1">
      <c r="B574" s="38"/>
      <c r="C574" s="38"/>
      <c r="D574" s="38"/>
      <c r="E574" s="38"/>
      <c r="F574" s="38"/>
    </row>
    <row r="575" ht="15.75" customHeight="1">
      <c r="B575" s="38"/>
      <c r="C575" s="38"/>
      <c r="D575" s="38"/>
      <c r="E575" s="38"/>
      <c r="F575" s="38"/>
    </row>
    <row r="576" ht="15.75" customHeight="1">
      <c r="B576" s="38"/>
      <c r="C576" s="38"/>
      <c r="D576" s="38"/>
      <c r="E576" s="38"/>
      <c r="F576" s="38"/>
    </row>
    <row r="577" ht="15.75" customHeight="1">
      <c r="B577" s="38"/>
      <c r="C577" s="38"/>
      <c r="D577" s="38"/>
      <c r="E577" s="38"/>
      <c r="F577" s="38"/>
    </row>
    <row r="578" ht="15.75" customHeight="1">
      <c r="B578" s="38"/>
      <c r="C578" s="38"/>
      <c r="D578" s="38"/>
      <c r="E578" s="38"/>
      <c r="F578" s="38"/>
    </row>
    <row r="579" ht="15.75" customHeight="1">
      <c r="B579" s="38"/>
      <c r="C579" s="38"/>
      <c r="D579" s="38"/>
      <c r="E579" s="38"/>
      <c r="F579" s="38"/>
    </row>
    <row r="580" ht="15.75" customHeight="1">
      <c r="B580" s="38"/>
      <c r="C580" s="38"/>
      <c r="D580" s="38"/>
      <c r="E580" s="38"/>
      <c r="F580" s="38"/>
    </row>
    <row r="581" ht="15.75" customHeight="1">
      <c r="B581" s="38"/>
      <c r="C581" s="38"/>
      <c r="D581" s="38"/>
      <c r="E581" s="38"/>
      <c r="F581" s="38"/>
    </row>
    <row r="582" ht="15.75" customHeight="1">
      <c r="B582" s="38"/>
      <c r="C582" s="38"/>
      <c r="D582" s="38"/>
      <c r="E582" s="38"/>
      <c r="F582" s="38"/>
    </row>
    <row r="583" ht="15.75" customHeight="1">
      <c r="B583" s="38"/>
      <c r="C583" s="38"/>
      <c r="D583" s="38"/>
      <c r="E583" s="38"/>
      <c r="F583" s="38"/>
    </row>
    <row r="584" ht="15.75" customHeight="1">
      <c r="B584" s="38"/>
      <c r="C584" s="38"/>
      <c r="D584" s="38"/>
      <c r="E584" s="38"/>
      <c r="F584" s="38"/>
    </row>
    <row r="585" ht="15.75" customHeight="1">
      <c r="B585" s="38"/>
      <c r="C585" s="38"/>
      <c r="D585" s="38"/>
      <c r="E585" s="38"/>
      <c r="F585" s="38"/>
    </row>
    <row r="586" ht="15.75" customHeight="1">
      <c r="B586" s="38"/>
      <c r="C586" s="38"/>
      <c r="D586" s="38"/>
      <c r="E586" s="38"/>
      <c r="F586" s="38"/>
    </row>
    <row r="587" ht="15.75" customHeight="1">
      <c r="B587" s="38"/>
      <c r="C587" s="38"/>
      <c r="D587" s="38"/>
      <c r="E587" s="38"/>
      <c r="F587" s="38"/>
    </row>
    <row r="588" ht="15.75" customHeight="1">
      <c r="B588" s="38"/>
      <c r="C588" s="38"/>
      <c r="D588" s="38"/>
      <c r="E588" s="38"/>
      <c r="F588" s="38"/>
    </row>
    <row r="589" ht="15.75" customHeight="1">
      <c r="B589" s="38"/>
      <c r="C589" s="38"/>
      <c r="D589" s="38"/>
      <c r="E589" s="38"/>
      <c r="F589" s="38"/>
    </row>
    <row r="590" ht="15.75" customHeight="1">
      <c r="B590" s="38"/>
      <c r="C590" s="38"/>
      <c r="D590" s="38"/>
      <c r="E590" s="38"/>
      <c r="F590" s="38"/>
    </row>
    <row r="591" ht="15.75" customHeight="1">
      <c r="B591" s="38"/>
      <c r="C591" s="38"/>
      <c r="D591" s="38"/>
      <c r="E591" s="38"/>
      <c r="F591" s="38"/>
    </row>
    <row r="592" ht="15.75" customHeight="1">
      <c r="B592" s="38"/>
      <c r="C592" s="38"/>
      <c r="D592" s="38"/>
      <c r="E592" s="38"/>
      <c r="F592" s="38"/>
    </row>
    <row r="593" ht="15.75" customHeight="1">
      <c r="B593" s="38"/>
      <c r="C593" s="38"/>
      <c r="D593" s="38"/>
      <c r="E593" s="38"/>
      <c r="F593" s="38"/>
    </row>
    <row r="594" ht="15.75" customHeight="1">
      <c r="B594" s="38"/>
      <c r="C594" s="38"/>
      <c r="D594" s="38"/>
      <c r="E594" s="38"/>
      <c r="F594" s="38"/>
    </row>
    <row r="595" ht="15.75" customHeight="1">
      <c r="B595" s="38"/>
      <c r="C595" s="38"/>
      <c r="D595" s="38"/>
      <c r="E595" s="38"/>
      <c r="F595" s="38"/>
    </row>
    <row r="596" ht="15.75" customHeight="1">
      <c r="B596" s="38"/>
      <c r="C596" s="38"/>
      <c r="D596" s="38"/>
      <c r="E596" s="38"/>
      <c r="F596" s="38"/>
    </row>
    <row r="597" ht="15.75" customHeight="1">
      <c r="B597" s="38"/>
      <c r="C597" s="38"/>
      <c r="D597" s="38"/>
      <c r="E597" s="38"/>
      <c r="F597" s="38"/>
    </row>
    <row r="598" ht="15.75" customHeight="1">
      <c r="B598" s="38"/>
      <c r="C598" s="38"/>
      <c r="D598" s="38"/>
      <c r="E598" s="38"/>
      <c r="F598" s="38"/>
    </row>
    <row r="599" ht="15.75" customHeight="1">
      <c r="B599" s="38"/>
      <c r="C599" s="38"/>
      <c r="D599" s="38"/>
      <c r="E599" s="38"/>
      <c r="F599" s="38"/>
    </row>
    <row r="600" ht="15.75" customHeight="1">
      <c r="B600" s="38"/>
      <c r="C600" s="38"/>
      <c r="D600" s="38"/>
      <c r="E600" s="38"/>
      <c r="F600" s="38"/>
    </row>
    <row r="601" ht="15.75" customHeight="1">
      <c r="B601" s="38"/>
      <c r="C601" s="38"/>
      <c r="D601" s="38"/>
      <c r="E601" s="38"/>
      <c r="F601" s="38"/>
    </row>
    <row r="602" ht="15.75" customHeight="1">
      <c r="B602" s="38"/>
      <c r="C602" s="38"/>
      <c r="D602" s="38"/>
      <c r="E602" s="38"/>
      <c r="F602" s="38"/>
    </row>
    <row r="603" ht="15.75" customHeight="1">
      <c r="B603" s="38"/>
      <c r="C603" s="38"/>
      <c r="D603" s="38"/>
      <c r="E603" s="38"/>
      <c r="F603" s="38"/>
    </row>
    <row r="604" ht="15.75" customHeight="1">
      <c r="B604" s="38"/>
      <c r="C604" s="38"/>
      <c r="D604" s="38"/>
      <c r="E604" s="38"/>
      <c r="F604" s="38"/>
    </row>
    <row r="605" ht="15.75" customHeight="1">
      <c r="B605" s="38"/>
      <c r="C605" s="38"/>
      <c r="D605" s="38"/>
      <c r="E605" s="38"/>
      <c r="F605" s="38"/>
    </row>
    <row r="606" ht="15.75" customHeight="1">
      <c r="B606" s="38"/>
      <c r="C606" s="38"/>
      <c r="D606" s="38"/>
      <c r="E606" s="38"/>
      <c r="F606" s="38"/>
    </row>
    <row r="607" ht="15.75" customHeight="1">
      <c r="B607" s="38"/>
      <c r="C607" s="38"/>
      <c r="D607" s="38"/>
      <c r="E607" s="38"/>
      <c r="F607" s="38"/>
    </row>
    <row r="608" ht="15.75" customHeight="1">
      <c r="B608" s="38"/>
      <c r="C608" s="38"/>
      <c r="D608" s="38"/>
      <c r="E608" s="38"/>
      <c r="F608" s="38"/>
    </row>
    <row r="609" ht="15.75" customHeight="1">
      <c r="B609" s="38"/>
      <c r="C609" s="38"/>
      <c r="D609" s="38"/>
      <c r="E609" s="38"/>
      <c r="F609" s="38"/>
    </row>
    <row r="610" ht="15.75" customHeight="1">
      <c r="B610" s="38"/>
      <c r="C610" s="38"/>
      <c r="D610" s="38"/>
      <c r="E610" s="38"/>
      <c r="F610" s="38"/>
    </row>
    <row r="611" ht="15.75" customHeight="1">
      <c r="B611" s="38"/>
      <c r="C611" s="38"/>
      <c r="D611" s="38"/>
      <c r="E611" s="38"/>
      <c r="F611" s="38"/>
    </row>
    <row r="612" ht="15.75" customHeight="1">
      <c r="B612" s="38"/>
      <c r="C612" s="38"/>
      <c r="D612" s="38"/>
      <c r="E612" s="38"/>
      <c r="F612" s="38"/>
    </row>
    <row r="613" ht="15.75" customHeight="1">
      <c r="B613" s="38"/>
      <c r="C613" s="38"/>
      <c r="D613" s="38"/>
      <c r="E613" s="38"/>
      <c r="F613" s="38"/>
    </row>
    <row r="614" ht="15.75" customHeight="1">
      <c r="B614" s="38"/>
      <c r="C614" s="38"/>
      <c r="D614" s="38"/>
      <c r="E614" s="38"/>
      <c r="F614" s="38"/>
    </row>
    <row r="615" ht="15.75" customHeight="1">
      <c r="B615" s="38"/>
      <c r="C615" s="38"/>
      <c r="D615" s="38"/>
      <c r="E615" s="38"/>
      <c r="F615" s="38"/>
    </row>
    <row r="616" ht="15.75" customHeight="1">
      <c r="B616" s="38"/>
      <c r="C616" s="38"/>
      <c r="D616" s="38"/>
      <c r="E616" s="38"/>
      <c r="F616" s="38"/>
    </row>
    <row r="617" ht="15.75" customHeight="1">
      <c r="B617" s="38"/>
      <c r="C617" s="38"/>
      <c r="D617" s="38"/>
      <c r="E617" s="38"/>
      <c r="F617" s="38"/>
    </row>
    <row r="618" ht="15.75" customHeight="1">
      <c r="B618" s="38"/>
      <c r="C618" s="38"/>
      <c r="D618" s="38"/>
      <c r="E618" s="38"/>
      <c r="F618" s="38"/>
    </row>
    <row r="619" ht="15.75" customHeight="1">
      <c r="B619" s="38"/>
      <c r="C619" s="38"/>
      <c r="D619" s="38"/>
      <c r="E619" s="38"/>
      <c r="F619" s="38"/>
    </row>
    <row r="620" ht="15.75" customHeight="1">
      <c r="B620" s="38"/>
      <c r="C620" s="38"/>
      <c r="D620" s="38"/>
      <c r="E620" s="38"/>
      <c r="F620" s="38"/>
    </row>
    <row r="621" ht="15.75" customHeight="1">
      <c r="B621" s="38"/>
      <c r="C621" s="38"/>
      <c r="D621" s="38"/>
      <c r="E621" s="38"/>
      <c r="F621" s="38"/>
    </row>
    <row r="622" ht="15.75" customHeight="1">
      <c r="B622" s="38"/>
      <c r="C622" s="38"/>
      <c r="D622" s="38"/>
      <c r="E622" s="38"/>
      <c r="F622" s="38"/>
    </row>
    <row r="623" ht="15.75" customHeight="1">
      <c r="B623" s="38"/>
      <c r="C623" s="38"/>
      <c r="D623" s="38"/>
      <c r="E623" s="38"/>
      <c r="F623" s="38"/>
    </row>
    <row r="624" ht="15.75" customHeight="1">
      <c r="B624" s="38"/>
      <c r="C624" s="38"/>
      <c r="D624" s="38"/>
      <c r="E624" s="38"/>
      <c r="F624" s="38"/>
    </row>
    <row r="625" ht="15.75" customHeight="1">
      <c r="B625" s="38"/>
      <c r="C625" s="38"/>
      <c r="D625" s="38"/>
      <c r="E625" s="38"/>
      <c r="F625" s="38"/>
    </row>
    <row r="626" ht="15.75" customHeight="1">
      <c r="B626" s="38"/>
      <c r="C626" s="38"/>
      <c r="D626" s="38"/>
      <c r="E626" s="38"/>
      <c r="F626" s="38"/>
    </row>
    <row r="627" ht="15.75" customHeight="1">
      <c r="B627" s="38"/>
      <c r="C627" s="38"/>
      <c r="D627" s="38"/>
      <c r="E627" s="38"/>
      <c r="F627" s="38"/>
    </row>
    <row r="628" ht="15.75" customHeight="1">
      <c r="B628" s="38"/>
      <c r="C628" s="38"/>
      <c r="D628" s="38"/>
      <c r="E628" s="38"/>
      <c r="F628" s="38"/>
    </row>
    <row r="629" ht="15.75" customHeight="1">
      <c r="B629" s="38"/>
      <c r="C629" s="38"/>
      <c r="D629" s="38"/>
      <c r="E629" s="38"/>
      <c r="F629" s="38"/>
    </row>
    <row r="630" ht="15.75" customHeight="1">
      <c r="B630" s="38"/>
      <c r="C630" s="38"/>
      <c r="D630" s="38"/>
      <c r="E630" s="38"/>
      <c r="F630" s="38"/>
    </row>
    <row r="631" ht="15.75" customHeight="1">
      <c r="B631" s="38"/>
      <c r="C631" s="38"/>
      <c r="D631" s="38"/>
      <c r="E631" s="38"/>
      <c r="F631" s="38"/>
    </row>
    <row r="632" ht="15.75" customHeight="1">
      <c r="B632" s="38"/>
      <c r="C632" s="38"/>
      <c r="D632" s="38"/>
      <c r="E632" s="38"/>
      <c r="F632" s="38"/>
    </row>
    <row r="633" ht="15.75" customHeight="1">
      <c r="B633" s="38"/>
      <c r="C633" s="38"/>
      <c r="D633" s="38"/>
      <c r="E633" s="38"/>
      <c r="F633" s="38"/>
    </row>
    <row r="634" ht="15.75" customHeight="1">
      <c r="B634" s="38"/>
      <c r="C634" s="38"/>
      <c r="D634" s="38"/>
      <c r="E634" s="38"/>
      <c r="F634" s="38"/>
    </row>
    <row r="635" ht="15.75" customHeight="1">
      <c r="B635" s="38"/>
      <c r="C635" s="38"/>
      <c r="D635" s="38"/>
      <c r="E635" s="38"/>
      <c r="F635" s="38"/>
    </row>
    <row r="636" ht="15.75" customHeight="1">
      <c r="B636" s="38"/>
      <c r="C636" s="38"/>
      <c r="D636" s="38"/>
      <c r="E636" s="38"/>
      <c r="F636" s="38"/>
    </row>
    <row r="637" ht="15.75" customHeight="1">
      <c r="B637" s="38"/>
      <c r="C637" s="38"/>
      <c r="D637" s="38"/>
      <c r="E637" s="38"/>
      <c r="F637" s="38"/>
    </row>
    <row r="638" ht="15.75" customHeight="1">
      <c r="B638" s="38"/>
      <c r="C638" s="38"/>
      <c r="D638" s="38"/>
      <c r="E638" s="38"/>
      <c r="F638" s="38"/>
    </row>
    <row r="639" ht="15.75" customHeight="1">
      <c r="B639" s="38"/>
      <c r="C639" s="38"/>
      <c r="D639" s="38"/>
      <c r="E639" s="38"/>
      <c r="F639" s="38"/>
    </row>
    <row r="640" ht="15.75" customHeight="1">
      <c r="B640" s="38"/>
      <c r="C640" s="38"/>
      <c r="D640" s="38"/>
      <c r="E640" s="38"/>
      <c r="F640" s="38"/>
    </row>
    <row r="641" ht="15.75" customHeight="1">
      <c r="B641" s="38"/>
      <c r="C641" s="38"/>
      <c r="D641" s="38"/>
      <c r="E641" s="38"/>
      <c r="F641" s="38"/>
    </row>
    <row r="642" ht="15.75" customHeight="1">
      <c r="B642" s="38"/>
      <c r="C642" s="38"/>
      <c r="D642" s="38"/>
      <c r="E642" s="38"/>
      <c r="F642" s="38"/>
    </row>
    <row r="643" ht="15.75" customHeight="1">
      <c r="B643" s="38"/>
      <c r="C643" s="38"/>
      <c r="D643" s="38"/>
      <c r="E643" s="38"/>
      <c r="F643" s="38"/>
    </row>
    <row r="644" ht="15.75" customHeight="1">
      <c r="B644" s="38"/>
      <c r="C644" s="38"/>
      <c r="D644" s="38"/>
      <c r="E644" s="38"/>
      <c r="F644" s="38"/>
    </row>
    <row r="645" ht="15.75" customHeight="1">
      <c r="B645" s="38"/>
      <c r="C645" s="38"/>
      <c r="D645" s="38"/>
      <c r="E645" s="38"/>
      <c r="F645" s="38"/>
    </row>
    <row r="646" ht="15.75" customHeight="1">
      <c r="B646" s="38"/>
      <c r="C646" s="38"/>
      <c r="D646" s="38"/>
      <c r="E646" s="38"/>
      <c r="F646" s="38"/>
    </row>
    <row r="647" ht="15.75" customHeight="1">
      <c r="B647" s="38"/>
      <c r="C647" s="38"/>
      <c r="D647" s="38"/>
      <c r="E647" s="38"/>
      <c r="F647" s="38"/>
    </row>
    <row r="648" ht="15.75" customHeight="1">
      <c r="B648" s="38"/>
      <c r="C648" s="38"/>
      <c r="D648" s="38"/>
      <c r="E648" s="38"/>
      <c r="F648" s="38"/>
    </row>
    <row r="649" ht="15.75" customHeight="1">
      <c r="B649" s="38"/>
      <c r="C649" s="38"/>
      <c r="D649" s="38"/>
      <c r="E649" s="38"/>
      <c r="F649" s="38"/>
    </row>
    <row r="650" ht="15.75" customHeight="1">
      <c r="B650" s="38"/>
      <c r="C650" s="38"/>
      <c r="D650" s="38"/>
      <c r="E650" s="38"/>
      <c r="F650" s="38"/>
    </row>
    <row r="651" ht="15.75" customHeight="1">
      <c r="B651" s="38"/>
      <c r="C651" s="38"/>
      <c r="D651" s="38"/>
      <c r="E651" s="38"/>
      <c r="F651" s="38"/>
    </row>
    <row r="652" ht="15.75" customHeight="1">
      <c r="B652" s="38"/>
      <c r="C652" s="38"/>
      <c r="D652" s="38"/>
      <c r="E652" s="38"/>
      <c r="F652" s="38"/>
    </row>
    <row r="653" ht="15.75" customHeight="1">
      <c r="B653" s="38"/>
      <c r="C653" s="38"/>
      <c r="D653" s="38"/>
      <c r="E653" s="38"/>
      <c r="F653" s="38"/>
    </row>
    <row r="654" ht="15.75" customHeight="1">
      <c r="B654" s="38"/>
      <c r="C654" s="38"/>
      <c r="D654" s="38"/>
      <c r="E654" s="38"/>
      <c r="F654" s="38"/>
    </row>
    <row r="655" ht="15.75" customHeight="1">
      <c r="B655" s="38"/>
      <c r="C655" s="38"/>
      <c r="D655" s="38"/>
      <c r="E655" s="38"/>
      <c r="F655" s="38"/>
    </row>
    <row r="656" ht="15.75" customHeight="1">
      <c r="B656" s="38"/>
      <c r="C656" s="38"/>
      <c r="D656" s="38"/>
      <c r="E656" s="38"/>
      <c r="F656" s="38"/>
    </row>
    <row r="657" ht="15.75" customHeight="1">
      <c r="B657" s="38"/>
      <c r="C657" s="38"/>
      <c r="D657" s="38"/>
      <c r="E657" s="38"/>
      <c r="F657" s="38"/>
    </row>
    <row r="658" ht="15.75" customHeight="1">
      <c r="B658" s="38"/>
      <c r="C658" s="38"/>
      <c r="D658" s="38"/>
      <c r="E658" s="38"/>
      <c r="F658" s="38"/>
    </row>
    <row r="659" ht="15.75" customHeight="1">
      <c r="B659" s="38"/>
      <c r="C659" s="38"/>
      <c r="D659" s="38"/>
      <c r="E659" s="38"/>
      <c r="F659" s="38"/>
    </row>
    <row r="660" ht="15.75" customHeight="1">
      <c r="B660" s="38"/>
      <c r="C660" s="38"/>
      <c r="D660" s="38"/>
      <c r="E660" s="38"/>
      <c r="F660" s="38"/>
    </row>
    <row r="661" ht="15.75" customHeight="1">
      <c r="B661" s="38"/>
      <c r="C661" s="38"/>
      <c r="D661" s="38"/>
      <c r="E661" s="38"/>
      <c r="F661" s="38"/>
    </row>
    <row r="662" ht="15.75" customHeight="1">
      <c r="B662" s="38"/>
      <c r="C662" s="38"/>
      <c r="D662" s="38"/>
      <c r="E662" s="38"/>
      <c r="F662" s="38"/>
    </row>
    <row r="663" ht="15.75" customHeight="1">
      <c r="B663" s="38"/>
      <c r="C663" s="38"/>
      <c r="D663" s="38"/>
      <c r="E663" s="38"/>
      <c r="F663" s="38"/>
    </row>
    <row r="664" ht="15.75" customHeight="1">
      <c r="B664" s="38"/>
      <c r="C664" s="38"/>
      <c r="D664" s="38"/>
      <c r="E664" s="38"/>
      <c r="F664" s="38"/>
    </row>
    <row r="665" ht="15.75" customHeight="1">
      <c r="B665" s="38"/>
      <c r="C665" s="38"/>
      <c r="D665" s="38"/>
      <c r="E665" s="38"/>
      <c r="F665" s="38"/>
    </row>
    <row r="666" ht="15.75" customHeight="1">
      <c r="B666" s="38"/>
      <c r="C666" s="38"/>
      <c r="D666" s="38"/>
      <c r="E666" s="38"/>
      <c r="F666" s="38"/>
    </row>
    <row r="667" ht="15.75" customHeight="1">
      <c r="B667" s="38"/>
      <c r="C667" s="38"/>
      <c r="D667" s="38"/>
      <c r="E667" s="38"/>
      <c r="F667" s="38"/>
    </row>
    <row r="668" ht="15.75" customHeight="1">
      <c r="B668" s="38"/>
      <c r="C668" s="38"/>
      <c r="D668" s="38"/>
      <c r="E668" s="38"/>
      <c r="F668" s="38"/>
    </row>
    <row r="669" ht="15.75" customHeight="1">
      <c r="B669" s="38"/>
      <c r="C669" s="38"/>
      <c r="D669" s="38"/>
      <c r="E669" s="38"/>
      <c r="F669" s="38"/>
    </row>
    <row r="670" ht="15.75" customHeight="1">
      <c r="B670" s="38"/>
      <c r="C670" s="38"/>
      <c r="D670" s="38"/>
      <c r="E670" s="38"/>
      <c r="F670" s="38"/>
    </row>
    <row r="671" ht="15.75" customHeight="1">
      <c r="B671" s="38"/>
      <c r="C671" s="38"/>
      <c r="D671" s="38"/>
      <c r="E671" s="38"/>
      <c r="F671" s="38"/>
    </row>
    <row r="672" ht="15.75" customHeight="1">
      <c r="B672" s="38"/>
      <c r="C672" s="38"/>
      <c r="D672" s="38"/>
      <c r="E672" s="38"/>
      <c r="F672" s="38"/>
    </row>
    <row r="673" ht="15.75" customHeight="1">
      <c r="B673" s="38"/>
      <c r="C673" s="38"/>
      <c r="D673" s="38"/>
      <c r="E673" s="38"/>
      <c r="F673" s="38"/>
    </row>
    <row r="674" ht="15.75" customHeight="1">
      <c r="B674" s="38"/>
      <c r="C674" s="38"/>
      <c r="D674" s="38"/>
      <c r="E674" s="38"/>
      <c r="F674" s="38"/>
    </row>
    <row r="675" ht="15.75" customHeight="1">
      <c r="B675" s="38"/>
      <c r="C675" s="38"/>
      <c r="D675" s="38"/>
      <c r="E675" s="38"/>
      <c r="F675" s="38"/>
    </row>
    <row r="676" ht="15.75" customHeight="1">
      <c r="B676" s="38"/>
      <c r="C676" s="38"/>
      <c r="D676" s="38"/>
      <c r="E676" s="38"/>
      <c r="F676" s="38"/>
    </row>
    <row r="677" ht="15.75" customHeight="1">
      <c r="B677" s="38"/>
      <c r="C677" s="38"/>
      <c r="D677" s="38"/>
      <c r="E677" s="38"/>
      <c r="F677" s="38"/>
    </row>
    <row r="678" ht="15.75" customHeight="1">
      <c r="B678" s="38"/>
      <c r="C678" s="38"/>
      <c r="D678" s="38"/>
      <c r="E678" s="38"/>
      <c r="F678" s="38"/>
    </row>
    <row r="679" ht="15.75" customHeight="1">
      <c r="B679" s="38"/>
      <c r="C679" s="38"/>
      <c r="D679" s="38"/>
      <c r="E679" s="38"/>
      <c r="F679" s="38"/>
    </row>
    <row r="680" ht="15.75" customHeight="1">
      <c r="B680" s="38"/>
      <c r="C680" s="38"/>
      <c r="D680" s="38"/>
      <c r="E680" s="38"/>
      <c r="F680" s="38"/>
    </row>
    <row r="681" ht="15.75" customHeight="1">
      <c r="B681" s="38"/>
      <c r="C681" s="38"/>
      <c r="D681" s="38"/>
      <c r="E681" s="38"/>
      <c r="F681" s="38"/>
    </row>
    <row r="682" ht="15.75" customHeight="1">
      <c r="B682" s="38"/>
      <c r="C682" s="38"/>
      <c r="D682" s="38"/>
      <c r="E682" s="38"/>
      <c r="F682" s="38"/>
    </row>
    <row r="683" ht="15.75" customHeight="1">
      <c r="B683" s="38"/>
      <c r="C683" s="38"/>
      <c r="D683" s="38"/>
      <c r="E683" s="38"/>
      <c r="F683" s="38"/>
    </row>
    <row r="684" ht="15.75" customHeight="1">
      <c r="B684" s="38"/>
      <c r="C684" s="38"/>
      <c r="D684" s="38"/>
      <c r="E684" s="38"/>
      <c r="F684" s="38"/>
    </row>
    <row r="685" ht="15.75" customHeight="1">
      <c r="B685" s="38"/>
      <c r="C685" s="38"/>
      <c r="D685" s="38"/>
      <c r="E685" s="38"/>
      <c r="F685" s="38"/>
    </row>
    <row r="686" ht="15.75" customHeight="1">
      <c r="B686" s="38"/>
      <c r="C686" s="38"/>
      <c r="D686" s="38"/>
      <c r="E686" s="38"/>
      <c r="F686" s="38"/>
    </row>
    <row r="687" ht="15.75" customHeight="1">
      <c r="B687" s="38"/>
      <c r="C687" s="38"/>
      <c r="D687" s="38"/>
      <c r="E687" s="38"/>
      <c r="F687" s="38"/>
    </row>
    <row r="688" ht="15.75" customHeight="1">
      <c r="B688" s="38"/>
      <c r="C688" s="38"/>
      <c r="D688" s="38"/>
      <c r="E688" s="38"/>
      <c r="F688" s="38"/>
    </row>
    <row r="689" ht="15.75" customHeight="1">
      <c r="B689" s="38"/>
      <c r="C689" s="38"/>
      <c r="D689" s="38"/>
      <c r="E689" s="38"/>
      <c r="F689" s="38"/>
    </row>
    <row r="690" ht="15.75" customHeight="1">
      <c r="B690" s="38"/>
      <c r="C690" s="38"/>
      <c r="D690" s="38"/>
      <c r="E690" s="38"/>
      <c r="F690" s="38"/>
    </row>
    <row r="691" ht="15.75" customHeight="1">
      <c r="B691" s="38"/>
      <c r="C691" s="38"/>
      <c r="D691" s="38"/>
      <c r="E691" s="38"/>
      <c r="F691" s="38"/>
    </row>
    <row r="692" ht="15.75" customHeight="1">
      <c r="B692" s="38"/>
      <c r="C692" s="38"/>
      <c r="D692" s="38"/>
      <c r="E692" s="38"/>
      <c r="F692" s="38"/>
    </row>
    <row r="693" ht="15.75" customHeight="1">
      <c r="B693" s="38"/>
      <c r="C693" s="38"/>
      <c r="D693" s="38"/>
      <c r="E693" s="38"/>
      <c r="F693" s="38"/>
    </row>
    <row r="694" ht="15.75" customHeight="1">
      <c r="B694" s="38"/>
      <c r="C694" s="38"/>
      <c r="D694" s="38"/>
      <c r="E694" s="38"/>
      <c r="F694" s="38"/>
    </row>
    <row r="695" ht="15.75" customHeight="1">
      <c r="B695" s="38"/>
      <c r="C695" s="38"/>
      <c r="D695" s="38"/>
      <c r="E695" s="38"/>
      <c r="F695" s="38"/>
    </row>
    <row r="696" ht="15.75" customHeight="1">
      <c r="B696" s="38"/>
      <c r="C696" s="38"/>
      <c r="D696" s="38"/>
      <c r="E696" s="38"/>
      <c r="F696" s="38"/>
    </row>
    <row r="697" ht="15.75" customHeight="1">
      <c r="B697" s="38"/>
      <c r="C697" s="38"/>
      <c r="D697" s="38"/>
      <c r="E697" s="38"/>
      <c r="F697" s="38"/>
    </row>
    <row r="698" ht="15.75" customHeight="1">
      <c r="B698" s="38"/>
      <c r="C698" s="38"/>
      <c r="D698" s="38"/>
      <c r="E698" s="38"/>
      <c r="F698" s="38"/>
    </row>
    <row r="699" ht="15.75" customHeight="1">
      <c r="B699" s="38"/>
      <c r="C699" s="38"/>
      <c r="D699" s="38"/>
      <c r="E699" s="38"/>
      <c r="F699" s="38"/>
    </row>
    <row r="700" ht="15.75" customHeight="1">
      <c r="B700" s="38"/>
      <c r="C700" s="38"/>
      <c r="D700" s="38"/>
      <c r="E700" s="38"/>
      <c r="F700" s="38"/>
    </row>
    <row r="701" ht="15.75" customHeight="1">
      <c r="B701" s="38"/>
      <c r="C701" s="38"/>
      <c r="D701" s="38"/>
      <c r="E701" s="38"/>
      <c r="F701" s="38"/>
    </row>
    <row r="702" ht="15.75" customHeight="1">
      <c r="B702" s="38"/>
      <c r="C702" s="38"/>
      <c r="D702" s="38"/>
      <c r="E702" s="38"/>
      <c r="F702" s="38"/>
    </row>
    <row r="703" ht="15.75" customHeight="1">
      <c r="B703" s="38"/>
      <c r="C703" s="38"/>
      <c r="D703" s="38"/>
      <c r="E703" s="38"/>
      <c r="F703" s="38"/>
    </row>
    <row r="704" ht="15.75" customHeight="1">
      <c r="B704" s="38"/>
      <c r="C704" s="38"/>
      <c r="D704" s="38"/>
      <c r="E704" s="38"/>
      <c r="F704" s="38"/>
    </row>
    <row r="705" ht="15.75" customHeight="1">
      <c r="B705" s="38"/>
      <c r="C705" s="38"/>
      <c r="D705" s="38"/>
      <c r="E705" s="38"/>
      <c r="F705" s="38"/>
    </row>
    <row r="706" ht="15.75" customHeight="1">
      <c r="B706" s="38"/>
      <c r="C706" s="38"/>
      <c r="D706" s="38"/>
      <c r="E706" s="38"/>
      <c r="F706" s="38"/>
    </row>
    <row r="707" ht="15.75" customHeight="1">
      <c r="B707" s="38"/>
      <c r="C707" s="38"/>
      <c r="D707" s="38"/>
      <c r="E707" s="38"/>
      <c r="F707" s="38"/>
    </row>
    <row r="708" ht="15.75" customHeight="1">
      <c r="B708" s="38"/>
      <c r="C708" s="38"/>
      <c r="D708" s="38"/>
      <c r="E708" s="38"/>
      <c r="F708" s="38"/>
    </row>
    <row r="709" ht="15.75" customHeight="1">
      <c r="B709" s="38"/>
      <c r="C709" s="38"/>
      <c r="D709" s="38"/>
      <c r="E709" s="38"/>
      <c r="F709" s="38"/>
    </row>
    <row r="710" ht="15.75" customHeight="1">
      <c r="B710" s="38"/>
      <c r="C710" s="38"/>
      <c r="D710" s="38"/>
      <c r="E710" s="38"/>
      <c r="F710" s="38"/>
    </row>
    <row r="711" ht="15.75" customHeight="1">
      <c r="B711" s="38"/>
      <c r="C711" s="38"/>
      <c r="D711" s="38"/>
      <c r="E711" s="38"/>
      <c r="F711" s="38"/>
    </row>
    <row r="712" ht="15.75" customHeight="1">
      <c r="B712" s="38"/>
      <c r="C712" s="38"/>
      <c r="D712" s="38"/>
      <c r="E712" s="38"/>
      <c r="F712" s="38"/>
    </row>
    <row r="713" ht="15.75" customHeight="1">
      <c r="B713" s="38"/>
      <c r="C713" s="38"/>
      <c r="D713" s="38"/>
      <c r="E713" s="38"/>
      <c r="F713" s="38"/>
    </row>
    <row r="714" ht="15.75" customHeight="1">
      <c r="B714" s="38"/>
      <c r="C714" s="38"/>
      <c r="D714" s="38"/>
      <c r="E714" s="38"/>
      <c r="F714" s="38"/>
    </row>
    <row r="715" ht="15.75" customHeight="1">
      <c r="B715" s="38"/>
      <c r="C715" s="38"/>
      <c r="D715" s="38"/>
      <c r="E715" s="38"/>
      <c r="F715" s="38"/>
    </row>
    <row r="716" ht="15.75" customHeight="1">
      <c r="B716" s="38"/>
      <c r="C716" s="38"/>
      <c r="D716" s="38"/>
      <c r="E716" s="38"/>
      <c r="F716" s="38"/>
    </row>
    <row r="717" ht="15.75" customHeight="1">
      <c r="B717" s="38"/>
      <c r="C717" s="38"/>
      <c r="D717" s="38"/>
      <c r="E717" s="38"/>
      <c r="F717" s="38"/>
    </row>
    <row r="718" ht="15.75" customHeight="1">
      <c r="B718" s="38"/>
      <c r="C718" s="38"/>
      <c r="D718" s="38"/>
      <c r="E718" s="38"/>
      <c r="F718" s="38"/>
    </row>
    <row r="719" ht="15.75" customHeight="1">
      <c r="B719" s="38"/>
      <c r="C719" s="38"/>
      <c r="D719" s="38"/>
      <c r="E719" s="38"/>
      <c r="F719" s="38"/>
    </row>
    <row r="720" ht="15.75" customHeight="1">
      <c r="B720" s="38"/>
      <c r="C720" s="38"/>
      <c r="D720" s="38"/>
      <c r="E720" s="38"/>
      <c r="F720" s="38"/>
    </row>
    <row r="721" ht="15.75" customHeight="1">
      <c r="B721" s="38"/>
      <c r="C721" s="38"/>
      <c r="D721" s="38"/>
      <c r="E721" s="38"/>
      <c r="F721" s="38"/>
    </row>
    <row r="722" ht="15.75" customHeight="1">
      <c r="B722" s="38"/>
      <c r="C722" s="38"/>
      <c r="D722" s="38"/>
      <c r="E722" s="38"/>
      <c r="F722" s="38"/>
    </row>
    <row r="723" ht="15.75" customHeight="1">
      <c r="B723" s="38"/>
      <c r="C723" s="38"/>
      <c r="D723" s="38"/>
      <c r="E723" s="38"/>
      <c r="F723" s="38"/>
    </row>
    <row r="724" ht="15.75" customHeight="1">
      <c r="B724" s="38"/>
      <c r="C724" s="38"/>
      <c r="D724" s="38"/>
      <c r="E724" s="38"/>
      <c r="F724" s="38"/>
    </row>
    <row r="725" ht="15.75" customHeight="1">
      <c r="B725" s="38"/>
      <c r="C725" s="38"/>
      <c r="D725" s="38"/>
      <c r="E725" s="38"/>
      <c r="F725" s="38"/>
    </row>
    <row r="726" ht="15.75" customHeight="1">
      <c r="B726" s="38"/>
      <c r="C726" s="38"/>
      <c r="D726" s="38"/>
      <c r="E726" s="38"/>
      <c r="F726" s="38"/>
    </row>
    <row r="727" ht="15.75" customHeight="1">
      <c r="B727" s="38"/>
      <c r="C727" s="38"/>
      <c r="D727" s="38"/>
      <c r="E727" s="38"/>
      <c r="F727" s="38"/>
    </row>
    <row r="728" ht="15.75" customHeight="1">
      <c r="B728" s="38"/>
      <c r="C728" s="38"/>
      <c r="D728" s="38"/>
      <c r="E728" s="38"/>
      <c r="F728" s="38"/>
    </row>
    <row r="729" ht="15.75" customHeight="1">
      <c r="B729" s="38"/>
      <c r="C729" s="38"/>
      <c r="D729" s="38"/>
      <c r="E729" s="38"/>
      <c r="F729" s="38"/>
    </row>
    <row r="730" ht="15.75" customHeight="1">
      <c r="B730" s="38"/>
      <c r="C730" s="38"/>
      <c r="D730" s="38"/>
      <c r="E730" s="38"/>
      <c r="F730" s="38"/>
    </row>
    <row r="731" ht="15.75" customHeight="1">
      <c r="B731" s="38"/>
      <c r="C731" s="38"/>
      <c r="D731" s="38"/>
      <c r="E731" s="38"/>
      <c r="F731" s="38"/>
    </row>
    <row r="732" ht="15.75" customHeight="1">
      <c r="B732" s="38"/>
      <c r="C732" s="38"/>
      <c r="D732" s="38"/>
      <c r="E732" s="38"/>
      <c r="F732" s="38"/>
    </row>
    <row r="733" ht="15.75" customHeight="1">
      <c r="B733" s="38"/>
      <c r="C733" s="38"/>
      <c r="D733" s="38"/>
      <c r="E733" s="38"/>
      <c r="F733" s="38"/>
    </row>
    <row r="734" ht="15.75" customHeight="1">
      <c r="B734" s="38"/>
      <c r="C734" s="38"/>
      <c r="D734" s="38"/>
      <c r="E734" s="38"/>
      <c r="F734" s="38"/>
    </row>
    <row r="735" ht="15.75" customHeight="1">
      <c r="B735" s="38"/>
      <c r="C735" s="38"/>
      <c r="D735" s="38"/>
      <c r="E735" s="38"/>
      <c r="F735" s="38"/>
    </row>
    <row r="736" ht="15.75" customHeight="1">
      <c r="B736" s="38"/>
      <c r="C736" s="38"/>
      <c r="D736" s="38"/>
      <c r="E736" s="38"/>
      <c r="F736" s="38"/>
    </row>
    <row r="737" ht="15.75" customHeight="1">
      <c r="B737" s="38"/>
      <c r="C737" s="38"/>
      <c r="D737" s="38"/>
      <c r="E737" s="38"/>
      <c r="F737" s="38"/>
    </row>
    <row r="738" ht="15.75" customHeight="1">
      <c r="B738" s="38"/>
      <c r="C738" s="38"/>
      <c r="D738" s="38"/>
      <c r="E738" s="38"/>
      <c r="F738" s="38"/>
    </row>
    <row r="739" ht="15.75" customHeight="1">
      <c r="B739" s="38"/>
      <c r="C739" s="38"/>
      <c r="D739" s="38"/>
      <c r="E739" s="38"/>
      <c r="F739" s="38"/>
    </row>
    <row r="740" ht="15.75" customHeight="1">
      <c r="B740" s="38"/>
      <c r="C740" s="38"/>
      <c r="D740" s="38"/>
      <c r="E740" s="38"/>
      <c r="F740" s="38"/>
    </row>
    <row r="741" ht="15.75" customHeight="1">
      <c r="B741" s="38"/>
      <c r="C741" s="38"/>
      <c r="D741" s="38"/>
      <c r="E741" s="38"/>
      <c r="F741" s="38"/>
    </row>
    <row r="742" ht="15.75" customHeight="1">
      <c r="B742" s="38"/>
      <c r="C742" s="38"/>
      <c r="D742" s="38"/>
      <c r="E742" s="38"/>
      <c r="F742" s="38"/>
    </row>
    <row r="743" ht="15.75" customHeight="1">
      <c r="B743" s="38"/>
      <c r="C743" s="38"/>
      <c r="D743" s="38"/>
      <c r="E743" s="38"/>
      <c r="F743" s="38"/>
    </row>
    <row r="744" ht="15.75" customHeight="1">
      <c r="B744" s="38"/>
      <c r="C744" s="38"/>
      <c r="D744" s="38"/>
      <c r="E744" s="38"/>
      <c r="F744" s="38"/>
    </row>
    <row r="745" ht="15.75" customHeight="1">
      <c r="B745" s="38"/>
      <c r="C745" s="38"/>
      <c r="D745" s="38"/>
      <c r="E745" s="38"/>
      <c r="F745" s="38"/>
    </row>
    <row r="746" ht="15.75" customHeight="1">
      <c r="B746" s="38"/>
      <c r="C746" s="38"/>
      <c r="D746" s="38"/>
      <c r="E746" s="38"/>
      <c r="F746" s="38"/>
    </row>
    <row r="747" ht="15.75" customHeight="1">
      <c r="B747" s="38"/>
      <c r="C747" s="38"/>
      <c r="D747" s="38"/>
      <c r="E747" s="38"/>
      <c r="F747" s="38"/>
    </row>
    <row r="748" ht="15.75" customHeight="1">
      <c r="B748" s="38"/>
      <c r="C748" s="38"/>
      <c r="D748" s="38"/>
      <c r="E748" s="38"/>
      <c r="F748" s="38"/>
    </row>
    <row r="749" ht="15.75" customHeight="1">
      <c r="B749" s="38"/>
      <c r="C749" s="38"/>
      <c r="D749" s="38"/>
      <c r="E749" s="38"/>
      <c r="F749" s="38"/>
    </row>
    <row r="750" ht="15.75" customHeight="1">
      <c r="B750" s="38"/>
      <c r="C750" s="38"/>
      <c r="D750" s="38"/>
      <c r="E750" s="38"/>
      <c r="F750" s="38"/>
    </row>
    <row r="751" ht="15.75" customHeight="1">
      <c r="B751" s="38"/>
      <c r="C751" s="38"/>
      <c r="D751" s="38"/>
      <c r="E751" s="38"/>
      <c r="F751" s="38"/>
    </row>
    <row r="752" ht="15.75" customHeight="1">
      <c r="B752" s="38"/>
      <c r="C752" s="38"/>
      <c r="D752" s="38"/>
      <c r="E752" s="38"/>
      <c r="F752" s="38"/>
    </row>
    <row r="753" ht="15.75" customHeight="1">
      <c r="B753" s="38"/>
      <c r="C753" s="38"/>
      <c r="D753" s="38"/>
      <c r="E753" s="38"/>
      <c r="F753" s="38"/>
    </row>
    <row r="754" ht="15.75" customHeight="1">
      <c r="B754" s="38"/>
      <c r="C754" s="38"/>
      <c r="D754" s="38"/>
      <c r="E754" s="38"/>
      <c r="F754" s="38"/>
    </row>
    <row r="755" ht="15.75" customHeight="1">
      <c r="B755" s="38"/>
      <c r="C755" s="38"/>
      <c r="D755" s="38"/>
      <c r="E755" s="38"/>
      <c r="F755" s="38"/>
    </row>
    <row r="756" ht="15.75" customHeight="1">
      <c r="B756" s="38"/>
      <c r="C756" s="38"/>
      <c r="D756" s="38"/>
      <c r="E756" s="38"/>
      <c r="F756" s="38"/>
    </row>
    <row r="757" ht="15.75" customHeight="1">
      <c r="B757" s="38"/>
      <c r="C757" s="38"/>
      <c r="D757" s="38"/>
      <c r="E757" s="38"/>
      <c r="F757" s="38"/>
    </row>
    <row r="758" ht="15.75" customHeight="1">
      <c r="B758" s="38"/>
      <c r="C758" s="38"/>
      <c r="D758" s="38"/>
      <c r="E758" s="38"/>
      <c r="F758" s="38"/>
    </row>
    <row r="759" ht="15.75" customHeight="1">
      <c r="B759" s="38"/>
      <c r="C759" s="38"/>
      <c r="D759" s="38"/>
      <c r="E759" s="38"/>
      <c r="F759" s="38"/>
    </row>
    <row r="760" ht="15.75" customHeight="1">
      <c r="B760" s="38"/>
      <c r="C760" s="38"/>
      <c r="D760" s="38"/>
      <c r="E760" s="38"/>
      <c r="F760" s="38"/>
    </row>
    <row r="761" ht="15.75" customHeight="1">
      <c r="B761" s="38"/>
      <c r="C761" s="38"/>
      <c r="D761" s="38"/>
      <c r="E761" s="38"/>
      <c r="F761" s="38"/>
    </row>
    <row r="762" ht="15.75" customHeight="1">
      <c r="B762" s="38"/>
      <c r="C762" s="38"/>
      <c r="D762" s="38"/>
      <c r="E762" s="38"/>
      <c r="F762" s="38"/>
    </row>
    <row r="763" ht="15.75" customHeight="1">
      <c r="B763" s="38"/>
      <c r="C763" s="38"/>
      <c r="D763" s="38"/>
      <c r="E763" s="38"/>
      <c r="F763" s="38"/>
    </row>
    <row r="764" ht="15.75" customHeight="1">
      <c r="B764" s="38"/>
      <c r="C764" s="38"/>
      <c r="D764" s="38"/>
      <c r="E764" s="38"/>
      <c r="F764" s="38"/>
    </row>
    <row r="765" ht="15.75" customHeight="1">
      <c r="B765" s="38"/>
      <c r="C765" s="38"/>
      <c r="D765" s="38"/>
      <c r="E765" s="38"/>
      <c r="F765" s="38"/>
    </row>
    <row r="766" ht="15.75" customHeight="1">
      <c r="B766" s="38"/>
      <c r="C766" s="38"/>
      <c r="D766" s="38"/>
      <c r="E766" s="38"/>
      <c r="F766" s="38"/>
    </row>
    <row r="767" ht="15.75" customHeight="1">
      <c r="B767" s="38"/>
      <c r="C767" s="38"/>
      <c r="D767" s="38"/>
      <c r="E767" s="38"/>
      <c r="F767" s="38"/>
    </row>
    <row r="768" ht="15.75" customHeight="1">
      <c r="B768" s="38"/>
      <c r="C768" s="38"/>
      <c r="D768" s="38"/>
      <c r="E768" s="38"/>
      <c r="F768" s="38"/>
    </row>
    <row r="769" ht="15.75" customHeight="1">
      <c r="B769" s="38"/>
      <c r="C769" s="38"/>
      <c r="D769" s="38"/>
      <c r="E769" s="38"/>
      <c r="F769" s="38"/>
    </row>
    <row r="770" ht="15.75" customHeight="1">
      <c r="B770" s="38"/>
      <c r="C770" s="38"/>
      <c r="D770" s="38"/>
      <c r="E770" s="38"/>
      <c r="F770" s="38"/>
    </row>
    <row r="771" ht="15.75" customHeight="1">
      <c r="B771" s="38"/>
      <c r="C771" s="38"/>
      <c r="D771" s="38"/>
      <c r="E771" s="38"/>
      <c r="F771" s="38"/>
    </row>
    <row r="772" ht="15.75" customHeight="1">
      <c r="B772" s="38"/>
      <c r="C772" s="38"/>
      <c r="D772" s="38"/>
      <c r="E772" s="38"/>
      <c r="F772" s="38"/>
    </row>
    <row r="773" ht="15.75" customHeight="1">
      <c r="B773" s="38"/>
      <c r="C773" s="38"/>
      <c r="D773" s="38"/>
      <c r="E773" s="38"/>
      <c r="F773" s="38"/>
    </row>
    <row r="774" ht="15.75" customHeight="1">
      <c r="B774" s="38"/>
      <c r="C774" s="38"/>
      <c r="D774" s="38"/>
      <c r="E774" s="38"/>
      <c r="F774" s="38"/>
    </row>
    <row r="775" ht="15.75" customHeight="1">
      <c r="B775" s="38"/>
      <c r="C775" s="38"/>
      <c r="D775" s="38"/>
      <c r="E775" s="38"/>
      <c r="F775" s="38"/>
    </row>
    <row r="776" ht="15.75" customHeight="1">
      <c r="B776" s="38"/>
      <c r="C776" s="38"/>
      <c r="D776" s="38"/>
      <c r="E776" s="38"/>
      <c r="F776" s="38"/>
    </row>
    <row r="777" ht="15.75" customHeight="1">
      <c r="B777" s="38"/>
      <c r="C777" s="38"/>
      <c r="D777" s="38"/>
      <c r="E777" s="38"/>
      <c r="F777" s="38"/>
    </row>
    <row r="778" ht="15.75" customHeight="1">
      <c r="B778" s="38"/>
      <c r="C778" s="38"/>
      <c r="D778" s="38"/>
      <c r="E778" s="38"/>
      <c r="F778" s="38"/>
    </row>
    <row r="779" ht="15.75" customHeight="1">
      <c r="B779" s="38"/>
      <c r="C779" s="38"/>
      <c r="D779" s="38"/>
      <c r="E779" s="38"/>
      <c r="F779" s="38"/>
    </row>
    <row r="780" ht="15.75" customHeight="1">
      <c r="B780" s="38"/>
      <c r="C780" s="38"/>
      <c r="D780" s="38"/>
      <c r="E780" s="38"/>
      <c r="F780" s="38"/>
    </row>
    <row r="781" ht="15.75" customHeight="1">
      <c r="B781" s="38"/>
      <c r="C781" s="38"/>
      <c r="D781" s="38"/>
      <c r="E781" s="38"/>
      <c r="F781" s="38"/>
    </row>
    <row r="782" ht="15.75" customHeight="1">
      <c r="B782" s="38"/>
      <c r="C782" s="38"/>
      <c r="D782" s="38"/>
      <c r="E782" s="38"/>
      <c r="F782" s="38"/>
    </row>
    <row r="783" ht="15.75" customHeight="1">
      <c r="B783" s="38"/>
      <c r="C783" s="38"/>
      <c r="D783" s="38"/>
      <c r="E783" s="38"/>
      <c r="F783" s="38"/>
    </row>
    <row r="784" ht="15.75" customHeight="1">
      <c r="B784" s="38"/>
      <c r="C784" s="38"/>
      <c r="D784" s="38"/>
      <c r="E784" s="38"/>
      <c r="F784" s="38"/>
    </row>
    <row r="785" ht="15.75" customHeight="1">
      <c r="B785" s="38"/>
      <c r="C785" s="38"/>
      <c r="D785" s="38"/>
      <c r="E785" s="38"/>
      <c r="F785" s="38"/>
    </row>
    <row r="786" ht="15.75" customHeight="1">
      <c r="B786" s="38"/>
      <c r="C786" s="38"/>
      <c r="D786" s="38"/>
      <c r="E786" s="38"/>
      <c r="F786" s="38"/>
    </row>
    <row r="787" ht="15.75" customHeight="1">
      <c r="B787" s="38"/>
      <c r="C787" s="38"/>
      <c r="D787" s="38"/>
      <c r="E787" s="38"/>
      <c r="F787" s="38"/>
    </row>
    <row r="788" ht="15.75" customHeight="1">
      <c r="B788" s="38"/>
      <c r="C788" s="38"/>
      <c r="D788" s="38"/>
      <c r="E788" s="38"/>
      <c r="F788" s="38"/>
    </row>
    <row r="789" ht="15.75" customHeight="1">
      <c r="B789" s="38"/>
      <c r="C789" s="38"/>
      <c r="D789" s="38"/>
      <c r="E789" s="38"/>
      <c r="F789" s="38"/>
    </row>
    <row r="790" ht="15.75" customHeight="1">
      <c r="B790" s="38"/>
      <c r="C790" s="38"/>
      <c r="D790" s="38"/>
      <c r="E790" s="38"/>
      <c r="F790" s="38"/>
    </row>
    <row r="791" ht="15.75" customHeight="1">
      <c r="B791" s="38"/>
      <c r="C791" s="38"/>
      <c r="D791" s="38"/>
      <c r="E791" s="38"/>
      <c r="F791" s="38"/>
    </row>
    <row r="792" ht="15.75" customHeight="1">
      <c r="B792" s="38"/>
      <c r="C792" s="38"/>
      <c r="D792" s="38"/>
      <c r="E792" s="38"/>
      <c r="F792" s="38"/>
    </row>
    <row r="793" ht="15.75" customHeight="1">
      <c r="B793" s="38"/>
      <c r="C793" s="38"/>
      <c r="D793" s="38"/>
      <c r="E793" s="38"/>
      <c r="F793" s="38"/>
    </row>
    <row r="794" ht="15.75" customHeight="1">
      <c r="B794" s="38"/>
      <c r="C794" s="38"/>
      <c r="D794" s="38"/>
      <c r="E794" s="38"/>
      <c r="F794" s="38"/>
    </row>
    <row r="795" ht="15.75" customHeight="1">
      <c r="B795" s="38"/>
      <c r="C795" s="38"/>
      <c r="D795" s="38"/>
      <c r="E795" s="38"/>
      <c r="F795" s="38"/>
    </row>
    <row r="796" ht="15.75" customHeight="1">
      <c r="B796" s="38"/>
      <c r="C796" s="38"/>
      <c r="D796" s="38"/>
      <c r="E796" s="38"/>
      <c r="F796" s="38"/>
    </row>
    <row r="797" ht="15.75" customHeight="1">
      <c r="B797" s="38"/>
      <c r="C797" s="38"/>
      <c r="D797" s="38"/>
      <c r="E797" s="38"/>
      <c r="F797" s="38"/>
    </row>
    <row r="798" ht="15.75" customHeight="1">
      <c r="B798" s="38"/>
      <c r="C798" s="38"/>
      <c r="D798" s="38"/>
      <c r="E798" s="38"/>
      <c r="F798" s="38"/>
    </row>
    <row r="799" ht="15.75" customHeight="1">
      <c r="B799" s="38"/>
      <c r="C799" s="38"/>
      <c r="D799" s="38"/>
      <c r="E799" s="38"/>
      <c r="F799" s="38"/>
    </row>
    <row r="800" ht="15.75" customHeight="1">
      <c r="B800" s="38"/>
      <c r="C800" s="38"/>
      <c r="D800" s="38"/>
      <c r="E800" s="38"/>
      <c r="F800" s="38"/>
    </row>
    <row r="801" ht="15.75" customHeight="1">
      <c r="B801" s="38"/>
      <c r="C801" s="38"/>
      <c r="D801" s="38"/>
      <c r="E801" s="38"/>
      <c r="F801" s="38"/>
    </row>
    <row r="802" ht="15.75" customHeight="1">
      <c r="B802" s="38"/>
      <c r="C802" s="38"/>
      <c r="D802" s="38"/>
      <c r="E802" s="38"/>
      <c r="F802" s="38"/>
    </row>
    <row r="803" ht="15.75" customHeight="1">
      <c r="B803" s="38"/>
      <c r="C803" s="38"/>
      <c r="D803" s="38"/>
      <c r="E803" s="38"/>
      <c r="F803" s="38"/>
    </row>
    <row r="804" ht="15.75" customHeight="1">
      <c r="B804" s="38"/>
      <c r="C804" s="38"/>
      <c r="D804" s="38"/>
      <c r="E804" s="38"/>
      <c r="F804" s="38"/>
    </row>
    <row r="805" ht="15.75" customHeight="1">
      <c r="B805" s="38"/>
      <c r="C805" s="38"/>
      <c r="D805" s="38"/>
      <c r="E805" s="38"/>
      <c r="F805" s="38"/>
    </row>
    <row r="806" ht="15.75" customHeight="1">
      <c r="B806" s="38"/>
      <c r="C806" s="38"/>
      <c r="D806" s="38"/>
      <c r="E806" s="38"/>
      <c r="F806" s="38"/>
    </row>
    <row r="807" ht="15.75" customHeight="1">
      <c r="B807" s="38"/>
      <c r="C807" s="38"/>
      <c r="D807" s="38"/>
      <c r="E807" s="38"/>
      <c r="F807" s="38"/>
    </row>
    <row r="808" ht="15.75" customHeight="1">
      <c r="B808" s="38"/>
      <c r="C808" s="38"/>
      <c r="D808" s="38"/>
      <c r="E808" s="38"/>
      <c r="F808" s="38"/>
    </row>
    <row r="809" ht="15.75" customHeight="1">
      <c r="B809" s="38"/>
      <c r="C809" s="38"/>
      <c r="D809" s="38"/>
      <c r="E809" s="38"/>
      <c r="F809" s="38"/>
    </row>
    <row r="810" ht="15.75" customHeight="1">
      <c r="B810" s="38"/>
      <c r="C810" s="38"/>
      <c r="D810" s="38"/>
      <c r="E810" s="38"/>
      <c r="F810" s="38"/>
    </row>
    <row r="811" ht="15.75" customHeight="1">
      <c r="B811" s="38"/>
      <c r="C811" s="38"/>
      <c r="D811" s="38"/>
      <c r="E811" s="38"/>
      <c r="F811" s="38"/>
    </row>
    <row r="812" ht="15.75" customHeight="1">
      <c r="B812" s="38"/>
      <c r="C812" s="38"/>
      <c r="D812" s="38"/>
      <c r="E812" s="38"/>
      <c r="F812" s="38"/>
    </row>
    <row r="813" ht="15.75" customHeight="1">
      <c r="B813" s="38"/>
      <c r="C813" s="38"/>
      <c r="D813" s="38"/>
      <c r="E813" s="38"/>
      <c r="F813" s="38"/>
    </row>
    <row r="814" ht="15.75" customHeight="1">
      <c r="B814" s="38"/>
      <c r="C814" s="38"/>
      <c r="D814" s="38"/>
      <c r="E814" s="38"/>
      <c r="F814" s="38"/>
    </row>
    <row r="815" ht="15.75" customHeight="1">
      <c r="B815" s="38"/>
      <c r="C815" s="38"/>
      <c r="D815" s="38"/>
      <c r="E815" s="38"/>
      <c r="F815" s="38"/>
    </row>
    <row r="816" ht="15.75" customHeight="1">
      <c r="B816" s="38"/>
      <c r="C816" s="38"/>
      <c r="D816" s="38"/>
      <c r="E816" s="38"/>
      <c r="F816" s="38"/>
    </row>
    <row r="817" ht="15.75" customHeight="1">
      <c r="B817" s="38"/>
      <c r="C817" s="38"/>
      <c r="D817" s="38"/>
      <c r="E817" s="38"/>
      <c r="F817" s="38"/>
    </row>
    <row r="818" ht="15.75" customHeight="1">
      <c r="B818" s="38"/>
      <c r="C818" s="38"/>
      <c r="D818" s="38"/>
      <c r="E818" s="38"/>
      <c r="F818" s="38"/>
    </row>
    <row r="819" ht="15.75" customHeight="1">
      <c r="B819" s="38"/>
      <c r="C819" s="38"/>
      <c r="D819" s="38"/>
      <c r="E819" s="38"/>
      <c r="F819" s="38"/>
    </row>
    <row r="820" ht="15.75" customHeight="1">
      <c r="B820" s="38"/>
      <c r="C820" s="38"/>
      <c r="D820" s="38"/>
      <c r="E820" s="38"/>
      <c r="F820" s="38"/>
    </row>
    <row r="821" ht="15.75" customHeight="1">
      <c r="B821" s="38"/>
      <c r="C821" s="38"/>
      <c r="D821" s="38"/>
      <c r="E821" s="38"/>
      <c r="F821" s="38"/>
    </row>
    <row r="822" ht="15.75" customHeight="1">
      <c r="B822" s="38"/>
      <c r="C822" s="38"/>
      <c r="D822" s="38"/>
      <c r="E822" s="38"/>
      <c r="F822" s="38"/>
    </row>
    <row r="823" ht="15.75" customHeight="1">
      <c r="B823" s="38"/>
      <c r="C823" s="38"/>
      <c r="D823" s="38"/>
      <c r="E823" s="38"/>
      <c r="F823" s="38"/>
    </row>
    <row r="824" ht="15.75" customHeight="1">
      <c r="B824" s="38"/>
      <c r="C824" s="38"/>
      <c r="D824" s="38"/>
      <c r="E824" s="38"/>
      <c r="F824" s="38"/>
    </row>
    <row r="825" ht="15.75" customHeight="1">
      <c r="B825" s="38"/>
      <c r="C825" s="38"/>
      <c r="D825" s="38"/>
      <c r="E825" s="38"/>
      <c r="F825" s="38"/>
    </row>
    <row r="826" ht="15.75" customHeight="1">
      <c r="B826" s="38"/>
      <c r="C826" s="38"/>
      <c r="D826" s="38"/>
      <c r="E826" s="38"/>
      <c r="F826" s="38"/>
    </row>
    <row r="827" ht="15.75" customHeight="1">
      <c r="B827" s="38"/>
      <c r="C827" s="38"/>
      <c r="D827" s="38"/>
      <c r="E827" s="38"/>
      <c r="F827" s="38"/>
    </row>
    <row r="828" ht="15.75" customHeight="1">
      <c r="B828" s="38"/>
      <c r="C828" s="38"/>
      <c r="D828" s="38"/>
      <c r="E828" s="38"/>
      <c r="F828" s="38"/>
    </row>
    <row r="829" ht="15.75" customHeight="1">
      <c r="B829" s="38"/>
      <c r="C829" s="38"/>
      <c r="D829" s="38"/>
      <c r="E829" s="38"/>
      <c r="F829" s="38"/>
    </row>
    <row r="830" ht="15.75" customHeight="1">
      <c r="B830" s="38"/>
      <c r="C830" s="38"/>
      <c r="D830" s="38"/>
      <c r="E830" s="38"/>
      <c r="F830" s="38"/>
    </row>
    <row r="831" ht="15.75" customHeight="1">
      <c r="B831" s="38"/>
      <c r="C831" s="38"/>
      <c r="D831" s="38"/>
      <c r="E831" s="38"/>
      <c r="F831" s="38"/>
    </row>
    <row r="832" ht="15.75" customHeight="1">
      <c r="B832" s="38"/>
      <c r="C832" s="38"/>
      <c r="D832" s="38"/>
      <c r="E832" s="38"/>
      <c r="F832" s="38"/>
    </row>
    <row r="833" ht="15.75" customHeight="1">
      <c r="B833" s="38"/>
      <c r="C833" s="38"/>
      <c r="D833" s="38"/>
      <c r="E833" s="38"/>
      <c r="F833" s="38"/>
    </row>
    <row r="834" ht="15.75" customHeight="1">
      <c r="B834" s="38"/>
      <c r="C834" s="38"/>
      <c r="D834" s="38"/>
      <c r="E834" s="38"/>
      <c r="F834" s="38"/>
    </row>
    <row r="835" ht="15.75" customHeight="1">
      <c r="B835" s="38"/>
      <c r="C835" s="38"/>
      <c r="D835" s="38"/>
      <c r="E835" s="38"/>
      <c r="F835" s="38"/>
    </row>
    <row r="836" ht="15.75" customHeight="1">
      <c r="B836" s="38"/>
      <c r="C836" s="38"/>
      <c r="D836" s="38"/>
      <c r="E836" s="38"/>
      <c r="F836" s="38"/>
    </row>
    <row r="837" ht="15.75" customHeight="1">
      <c r="B837" s="38"/>
      <c r="C837" s="38"/>
      <c r="D837" s="38"/>
      <c r="E837" s="38"/>
      <c r="F837" s="38"/>
    </row>
    <row r="838" ht="15.75" customHeight="1">
      <c r="B838" s="38"/>
      <c r="C838" s="38"/>
      <c r="D838" s="38"/>
      <c r="E838" s="38"/>
      <c r="F838" s="38"/>
    </row>
    <row r="839" ht="15.75" customHeight="1">
      <c r="B839" s="38"/>
      <c r="C839" s="38"/>
      <c r="D839" s="38"/>
      <c r="E839" s="38"/>
      <c r="F839" s="38"/>
    </row>
    <row r="840" ht="15.75" customHeight="1">
      <c r="B840" s="38"/>
      <c r="C840" s="38"/>
      <c r="D840" s="38"/>
      <c r="E840" s="38"/>
      <c r="F840" s="38"/>
    </row>
    <row r="841" ht="15.75" customHeight="1">
      <c r="B841" s="38"/>
      <c r="C841" s="38"/>
      <c r="D841" s="38"/>
      <c r="E841" s="38"/>
      <c r="F841" s="38"/>
    </row>
    <row r="842" ht="15.75" customHeight="1">
      <c r="B842" s="38"/>
      <c r="C842" s="38"/>
      <c r="D842" s="38"/>
      <c r="E842" s="38"/>
      <c r="F842" s="38"/>
    </row>
    <row r="843" ht="15.75" customHeight="1">
      <c r="B843" s="38"/>
      <c r="C843" s="38"/>
      <c r="D843" s="38"/>
      <c r="E843" s="38"/>
      <c r="F843" s="38"/>
    </row>
    <row r="844" ht="15.75" customHeight="1">
      <c r="B844" s="38"/>
      <c r="C844" s="38"/>
      <c r="D844" s="38"/>
      <c r="E844" s="38"/>
      <c r="F844" s="38"/>
    </row>
    <row r="845" ht="15.75" customHeight="1">
      <c r="B845" s="38"/>
      <c r="C845" s="38"/>
      <c r="D845" s="38"/>
      <c r="E845" s="38"/>
      <c r="F845" s="38"/>
    </row>
    <row r="846" ht="15.75" customHeight="1">
      <c r="B846" s="38"/>
      <c r="C846" s="38"/>
      <c r="D846" s="38"/>
      <c r="E846" s="38"/>
      <c r="F846" s="38"/>
    </row>
    <row r="847" ht="15.75" customHeight="1">
      <c r="B847" s="38"/>
      <c r="C847" s="38"/>
      <c r="D847" s="38"/>
      <c r="E847" s="38"/>
      <c r="F847" s="38"/>
    </row>
    <row r="848" ht="15.75" customHeight="1">
      <c r="B848" s="38"/>
      <c r="C848" s="38"/>
      <c r="D848" s="38"/>
      <c r="E848" s="38"/>
      <c r="F848" s="38"/>
    </row>
    <row r="849" ht="15.75" customHeight="1">
      <c r="B849" s="38"/>
      <c r="C849" s="38"/>
      <c r="D849" s="38"/>
      <c r="E849" s="38"/>
      <c r="F849" s="38"/>
    </row>
    <row r="850" ht="15.75" customHeight="1">
      <c r="B850" s="38"/>
      <c r="C850" s="38"/>
      <c r="D850" s="38"/>
      <c r="E850" s="38"/>
      <c r="F850" s="38"/>
    </row>
    <row r="851" ht="15.75" customHeight="1">
      <c r="B851" s="38"/>
      <c r="C851" s="38"/>
      <c r="D851" s="38"/>
      <c r="E851" s="38"/>
      <c r="F851" s="38"/>
    </row>
    <row r="852" ht="15.75" customHeight="1">
      <c r="B852" s="38"/>
      <c r="C852" s="38"/>
      <c r="D852" s="38"/>
      <c r="E852" s="38"/>
      <c r="F852" s="38"/>
    </row>
    <row r="853" ht="15.75" customHeight="1">
      <c r="B853" s="38"/>
      <c r="C853" s="38"/>
      <c r="D853" s="38"/>
      <c r="E853" s="38"/>
      <c r="F853" s="38"/>
    </row>
    <row r="854" ht="15.75" customHeight="1">
      <c r="B854" s="38"/>
      <c r="C854" s="38"/>
      <c r="D854" s="38"/>
      <c r="E854" s="38"/>
      <c r="F854" s="38"/>
    </row>
    <row r="855" ht="15.75" customHeight="1">
      <c r="B855" s="38"/>
      <c r="C855" s="38"/>
      <c r="D855" s="38"/>
      <c r="E855" s="38"/>
      <c r="F855" s="38"/>
    </row>
    <row r="856" ht="15.75" customHeight="1">
      <c r="B856" s="38"/>
      <c r="C856" s="38"/>
      <c r="D856" s="38"/>
      <c r="E856" s="38"/>
      <c r="F856" s="38"/>
    </row>
    <row r="857" ht="15.75" customHeight="1">
      <c r="B857" s="38"/>
      <c r="C857" s="38"/>
      <c r="D857" s="38"/>
      <c r="E857" s="38"/>
      <c r="F857" s="38"/>
    </row>
    <row r="858" ht="15.75" customHeight="1">
      <c r="B858" s="38"/>
      <c r="C858" s="38"/>
      <c r="D858" s="38"/>
      <c r="E858" s="38"/>
      <c r="F858" s="38"/>
    </row>
    <row r="859" ht="15.75" customHeight="1">
      <c r="B859" s="38"/>
      <c r="C859" s="38"/>
      <c r="D859" s="38"/>
      <c r="E859" s="38"/>
      <c r="F859" s="38"/>
    </row>
    <row r="860" ht="15.75" customHeight="1">
      <c r="B860" s="38"/>
      <c r="C860" s="38"/>
      <c r="D860" s="38"/>
      <c r="E860" s="38"/>
      <c r="F860" s="38"/>
    </row>
    <row r="861" ht="15.75" customHeight="1">
      <c r="B861" s="38"/>
      <c r="C861" s="38"/>
      <c r="D861" s="38"/>
      <c r="E861" s="38"/>
      <c r="F861" s="38"/>
    </row>
    <row r="862" ht="15.75" customHeight="1">
      <c r="B862" s="38"/>
      <c r="C862" s="38"/>
      <c r="D862" s="38"/>
      <c r="E862" s="38"/>
      <c r="F862" s="38"/>
    </row>
    <row r="863" ht="15.75" customHeight="1">
      <c r="B863" s="38"/>
      <c r="C863" s="38"/>
      <c r="D863" s="38"/>
      <c r="E863" s="38"/>
      <c r="F863" s="38"/>
    </row>
    <row r="864" ht="15.75" customHeight="1">
      <c r="B864" s="38"/>
      <c r="C864" s="38"/>
      <c r="D864" s="38"/>
      <c r="E864" s="38"/>
      <c r="F864" s="38"/>
    </row>
    <row r="865" ht="15.75" customHeight="1">
      <c r="B865" s="38"/>
      <c r="C865" s="38"/>
      <c r="D865" s="38"/>
      <c r="E865" s="38"/>
      <c r="F865" s="38"/>
    </row>
    <row r="866" ht="15.75" customHeight="1">
      <c r="B866" s="38"/>
      <c r="C866" s="38"/>
      <c r="D866" s="38"/>
      <c r="E866" s="38"/>
      <c r="F866" s="38"/>
    </row>
    <row r="867" ht="15.75" customHeight="1">
      <c r="B867" s="38"/>
      <c r="C867" s="38"/>
      <c r="D867" s="38"/>
      <c r="E867" s="38"/>
      <c r="F867" s="38"/>
    </row>
    <row r="868" ht="15.75" customHeight="1">
      <c r="B868" s="38"/>
      <c r="C868" s="38"/>
      <c r="D868" s="38"/>
      <c r="E868" s="38"/>
      <c r="F868" s="38"/>
    </row>
    <row r="869" ht="15.75" customHeight="1">
      <c r="B869" s="38"/>
      <c r="C869" s="38"/>
      <c r="D869" s="38"/>
      <c r="E869" s="38"/>
      <c r="F869" s="38"/>
    </row>
    <row r="870" ht="15.75" customHeight="1">
      <c r="B870" s="38"/>
      <c r="C870" s="38"/>
      <c r="D870" s="38"/>
      <c r="E870" s="38"/>
      <c r="F870" s="38"/>
    </row>
    <row r="871" ht="15.75" customHeight="1">
      <c r="B871" s="38"/>
      <c r="C871" s="38"/>
      <c r="D871" s="38"/>
      <c r="E871" s="38"/>
      <c r="F871" s="38"/>
    </row>
    <row r="872" ht="15.75" customHeight="1">
      <c r="B872" s="38"/>
      <c r="C872" s="38"/>
      <c r="D872" s="38"/>
      <c r="E872" s="38"/>
      <c r="F872" s="38"/>
    </row>
    <row r="873" ht="15.75" customHeight="1">
      <c r="B873" s="38"/>
      <c r="C873" s="38"/>
      <c r="D873" s="38"/>
      <c r="E873" s="38"/>
      <c r="F873" s="38"/>
    </row>
    <row r="874" ht="15.75" customHeight="1">
      <c r="B874" s="38"/>
      <c r="C874" s="38"/>
      <c r="D874" s="38"/>
      <c r="E874" s="38"/>
      <c r="F874" s="38"/>
    </row>
    <row r="875" ht="15.75" customHeight="1">
      <c r="B875" s="38"/>
      <c r="C875" s="38"/>
      <c r="D875" s="38"/>
      <c r="E875" s="38"/>
      <c r="F875" s="38"/>
    </row>
    <row r="876" ht="15.75" customHeight="1">
      <c r="B876" s="38"/>
      <c r="C876" s="38"/>
      <c r="D876" s="38"/>
      <c r="E876" s="38"/>
      <c r="F876" s="38"/>
    </row>
    <row r="877" ht="15.75" customHeight="1">
      <c r="B877" s="38"/>
      <c r="C877" s="38"/>
      <c r="D877" s="38"/>
      <c r="E877" s="38"/>
      <c r="F877" s="38"/>
    </row>
    <row r="878" ht="15.75" customHeight="1">
      <c r="B878" s="38"/>
      <c r="C878" s="38"/>
      <c r="D878" s="38"/>
      <c r="E878" s="38"/>
      <c r="F878" s="38"/>
    </row>
    <row r="879" ht="15.75" customHeight="1">
      <c r="B879" s="38"/>
      <c r="C879" s="38"/>
      <c r="D879" s="38"/>
      <c r="E879" s="38"/>
      <c r="F879" s="38"/>
    </row>
    <row r="880" ht="15.75" customHeight="1">
      <c r="B880" s="38"/>
      <c r="C880" s="38"/>
      <c r="D880" s="38"/>
      <c r="E880" s="38"/>
      <c r="F880" s="38"/>
    </row>
    <row r="881" ht="15.75" customHeight="1">
      <c r="B881" s="38"/>
      <c r="C881" s="38"/>
      <c r="D881" s="38"/>
      <c r="E881" s="38"/>
      <c r="F881" s="38"/>
    </row>
    <row r="882" ht="15.75" customHeight="1">
      <c r="B882" s="38"/>
      <c r="C882" s="38"/>
      <c r="D882" s="38"/>
      <c r="E882" s="38"/>
      <c r="F882" s="38"/>
    </row>
    <row r="883" ht="15.75" customHeight="1">
      <c r="B883" s="38"/>
      <c r="C883" s="38"/>
      <c r="D883" s="38"/>
      <c r="E883" s="38"/>
      <c r="F883" s="38"/>
    </row>
    <row r="884" ht="15.75" customHeight="1">
      <c r="B884" s="38"/>
      <c r="C884" s="38"/>
      <c r="D884" s="38"/>
      <c r="E884" s="38"/>
      <c r="F884" s="38"/>
    </row>
    <row r="885" ht="15.75" customHeight="1">
      <c r="B885" s="38"/>
      <c r="C885" s="38"/>
      <c r="D885" s="38"/>
      <c r="E885" s="38"/>
      <c r="F885" s="38"/>
    </row>
    <row r="886" ht="15.75" customHeight="1">
      <c r="B886" s="38"/>
      <c r="C886" s="38"/>
      <c r="D886" s="38"/>
      <c r="E886" s="38"/>
      <c r="F886" s="38"/>
    </row>
    <row r="887" ht="15.75" customHeight="1">
      <c r="B887" s="38"/>
      <c r="C887" s="38"/>
      <c r="D887" s="38"/>
      <c r="E887" s="38"/>
      <c r="F887" s="38"/>
    </row>
    <row r="888" ht="15.75" customHeight="1">
      <c r="B888" s="38"/>
      <c r="C888" s="38"/>
      <c r="D888" s="38"/>
      <c r="E888" s="38"/>
      <c r="F888" s="38"/>
    </row>
    <row r="889" ht="15.75" customHeight="1">
      <c r="B889" s="38"/>
      <c r="C889" s="38"/>
      <c r="D889" s="38"/>
      <c r="E889" s="38"/>
      <c r="F889" s="38"/>
    </row>
    <row r="890" ht="15.75" customHeight="1">
      <c r="B890" s="38"/>
      <c r="C890" s="38"/>
      <c r="D890" s="38"/>
      <c r="E890" s="38"/>
      <c r="F890" s="38"/>
    </row>
    <row r="891" ht="15.75" customHeight="1">
      <c r="B891" s="38"/>
      <c r="C891" s="38"/>
      <c r="D891" s="38"/>
      <c r="E891" s="38"/>
      <c r="F891" s="38"/>
    </row>
    <row r="892" ht="15.75" customHeight="1">
      <c r="B892" s="38"/>
      <c r="C892" s="38"/>
      <c r="D892" s="38"/>
      <c r="E892" s="38"/>
      <c r="F892" s="38"/>
    </row>
    <row r="893" ht="15.75" customHeight="1">
      <c r="B893" s="38"/>
      <c r="C893" s="38"/>
      <c r="D893" s="38"/>
      <c r="E893" s="38"/>
      <c r="F893" s="38"/>
    </row>
    <row r="894" ht="15.75" customHeight="1">
      <c r="B894" s="38"/>
      <c r="C894" s="38"/>
      <c r="D894" s="38"/>
      <c r="E894" s="38"/>
      <c r="F894" s="38"/>
    </row>
    <row r="895" ht="15.75" customHeight="1">
      <c r="B895" s="38"/>
      <c r="C895" s="38"/>
      <c r="D895" s="38"/>
      <c r="E895" s="38"/>
      <c r="F895" s="38"/>
    </row>
    <row r="896" ht="15.75" customHeight="1">
      <c r="B896" s="38"/>
      <c r="C896" s="38"/>
      <c r="D896" s="38"/>
      <c r="E896" s="38"/>
      <c r="F896" s="38"/>
    </row>
    <row r="897" ht="15.75" customHeight="1">
      <c r="B897" s="38"/>
      <c r="C897" s="38"/>
      <c r="D897" s="38"/>
      <c r="E897" s="38"/>
      <c r="F897" s="38"/>
    </row>
    <row r="898" ht="15.75" customHeight="1">
      <c r="B898" s="38"/>
      <c r="C898" s="38"/>
      <c r="D898" s="38"/>
      <c r="E898" s="38"/>
      <c r="F898" s="38"/>
    </row>
    <row r="899" ht="15.75" customHeight="1">
      <c r="B899" s="38"/>
      <c r="C899" s="38"/>
      <c r="D899" s="38"/>
      <c r="E899" s="38"/>
      <c r="F899" s="38"/>
    </row>
    <row r="900" ht="15.75" customHeight="1">
      <c r="B900" s="38"/>
      <c r="C900" s="38"/>
      <c r="D900" s="38"/>
      <c r="E900" s="38"/>
      <c r="F900" s="38"/>
    </row>
    <row r="901" ht="15.75" customHeight="1">
      <c r="B901" s="38"/>
      <c r="C901" s="38"/>
      <c r="D901" s="38"/>
      <c r="E901" s="38"/>
      <c r="F901" s="38"/>
    </row>
    <row r="902" ht="15.75" customHeight="1">
      <c r="B902" s="38"/>
      <c r="C902" s="38"/>
      <c r="D902" s="38"/>
      <c r="E902" s="38"/>
      <c r="F902" s="38"/>
    </row>
    <row r="903" ht="15.75" customHeight="1">
      <c r="B903" s="38"/>
      <c r="C903" s="38"/>
      <c r="D903" s="38"/>
      <c r="E903" s="38"/>
      <c r="F903" s="38"/>
    </row>
    <row r="904" ht="15.75" customHeight="1">
      <c r="B904" s="38"/>
      <c r="C904" s="38"/>
      <c r="D904" s="38"/>
      <c r="E904" s="38"/>
      <c r="F904" s="38"/>
    </row>
    <row r="905" ht="15.75" customHeight="1">
      <c r="B905" s="38"/>
      <c r="C905" s="38"/>
      <c r="D905" s="38"/>
      <c r="E905" s="38"/>
      <c r="F905" s="38"/>
    </row>
    <row r="906" ht="15.75" customHeight="1">
      <c r="B906" s="38"/>
      <c r="C906" s="38"/>
      <c r="D906" s="38"/>
      <c r="E906" s="38"/>
      <c r="F906" s="38"/>
    </row>
    <row r="907" ht="15.75" customHeight="1">
      <c r="B907" s="38"/>
      <c r="C907" s="38"/>
      <c r="D907" s="38"/>
      <c r="E907" s="38"/>
      <c r="F907" s="38"/>
    </row>
    <row r="908" ht="15.75" customHeight="1">
      <c r="B908" s="38"/>
      <c r="C908" s="38"/>
      <c r="D908" s="38"/>
      <c r="E908" s="38"/>
      <c r="F908" s="38"/>
    </row>
    <row r="909" ht="15.75" customHeight="1">
      <c r="B909" s="38"/>
      <c r="C909" s="38"/>
      <c r="D909" s="38"/>
      <c r="E909" s="38"/>
      <c r="F909" s="38"/>
    </row>
    <row r="910" ht="15.75" customHeight="1">
      <c r="B910" s="38"/>
      <c r="C910" s="38"/>
      <c r="D910" s="38"/>
      <c r="E910" s="38"/>
      <c r="F910" s="38"/>
    </row>
    <row r="911" ht="15.75" customHeight="1">
      <c r="B911" s="38"/>
      <c r="C911" s="38"/>
      <c r="D911" s="38"/>
      <c r="E911" s="38"/>
      <c r="F911" s="38"/>
    </row>
    <row r="912" ht="15.75" customHeight="1">
      <c r="B912" s="38"/>
      <c r="C912" s="38"/>
      <c r="D912" s="38"/>
      <c r="E912" s="38"/>
      <c r="F912" s="38"/>
    </row>
    <row r="913" ht="15.75" customHeight="1">
      <c r="B913" s="38"/>
      <c r="C913" s="38"/>
      <c r="D913" s="38"/>
      <c r="E913" s="38"/>
      <c r="F913" s="38"/>
    </row>
    <row r="914" ht="15.75" customHeight="1">
      <c r="B914" s="38"/>
      <c r="C914" s="38"/>
      <c r="D914" s="38"/>
      <c r="E914" s="38"/>
      <c r="F914" s="38"/>
    </row>
    <row r="915" ht="15.75" customHeight="1">
      <c r="B915" s="38"/>
      <c r="C915" s="38"/>
      <c r="D915" s="38"/>
      <c r="E915" s="38"/>
      <c r="F915" s="38"/>
    </row>
    <row r="916" ht="15.75" customHeight="1">
      <c r="B916" s="38"/>
      <c r="C916" s="38"/>
      <c r="D916" s="38"/>
      <c r="E916" s="38"/>
      <c r="F916" s="38"/>
    </row>
    <row r="917" ht="15.75" customHeight="1">
      <c r="B917" s="38"/>
      <c r="C917" s="38"/>
      <c r="D917" s="38"/>
      <c r="E917" s="38"/>
      <c r="F917" s="38"/>
    </row>
    <row r="918" ht="15.75" customHeight="1">
      <c r="B918" s="38"/>
      <c r="C918" s="38"/>
      <c r="D918" s="38"/>
      <c r="E918" s="38"/>
      <c r="F918" s="38"/>
    </row>
    <row r="919" ht="15.75" customHeight="1">
      <c r="B919" s="38"/>
      <c r="C919" s="38"/>
      <c r="D919" s="38"/>
      <c r="E919" s="38"/>
      <c r="F919" s="38"/>
    </row>
    <row r="920" ht="15.75" customHeight="1">
      <c r="B920" s="38"/>
      <c r="C920" s="38"/>
      <c r="D920" s="38"/>
      <c r="E920" s="38"/>
      <c r="F920" s="38"/>
    </row>
    <row r="921" ht="15.75" customHeight="1">
      <c r="B921" s="38"/>
      <c r="C921" s="38"/>
      <c r="D921" s="38"/>
      <c r="E921" s="38"/>
      <c r="F921" s="38"/>
    </row>
    <row r="922" ht="15.75" customHeight="1">
      <c r="B922" s="38"/>
      <c r="C922" s="38"/>
      <c r="D922" s="38"/>
      <c r="E922" s="38"/>
      <c r="F922" s="38"/>
    </row>
    <row r="923" ht="15.75" customHeight="1">
      <c r="B923" s="38"/>
      <c r="C923" s="38"/>
      <c r="D923" s="38"/>
      <c r="E923" s="38"/>
      <c r="F923" s="38"/>
    </row>
    <row r="924" ht="15.75" customHeight="1">
      <c r="B924" s="38"/>
      <c r="C924" s="38"/>
      <c r="D924" s="38"/>
      <c r="E924" s="38"/>
      <c r="F924" s="38"/>
    </row>
    <row r="925" ht="15.75" customHeight="1">
      <c r="B925" s="38"/>
      <c r="C925" s="38"/>
      <c r="D925" s="38"/>
      <c r="E925" s="38"/>
      <c r="F925" s="38"/>
    </row>
    <row r="926" ht="15.75" customHeight="1">
      <c r="B926" s="38"/>
      <c r="C926" s="38"/>
      <c r="D926" s="38"/>
      <c r="E926" s="38"/>
      <c r="F926" s="38"/>
    </row>
    <row r="927" ht="15.75" customHeight="1">
      <c r="B927" s="38"/>
      <c r="C927" s="38"/>
      <c r="D927" s="38"/>
      <c r="E927" s="38"/>
      <c r="F927" s="38"/>
    </row>
    <row r="928" ht="15.75" customHeight="1">
      <c r="B928" s="38"/>
      <c r="C928" s="38"/>
      <c r="D928" s="38"/>
      <c r="E928" s="38"/>
      <c r="F928" s="38"/>
    </row>
    <row r="929" ht="15.75" customHeight="1">
      <c r="B929" s="38"/>
      <c r="C929" s="38"/>
      <c r="D929" s="38"/>
      <c r="E929" s="38"/>
      <c r="F929" s="38"/>
    </row>
    <row r="930" ht="15.75" customHeight="1">
      <c r="B930" s="38"/>
      <c r="C930" s="38"/>
      <c r="D930" s="38"/>
      <c r="E930" s="38"/>
      <c r="F930" s="38"/>
    </row>
    <row r="931" ht="15.75" customHeight="1">
      <c r="B931" s="38"/>
      <c r="C931" s="38"/>
      <c r="D931" s="38"/>
      <c r="E931" s="38"/>
      <c r="F931" s="38"/>
    </row>
    <row r="932" ht="15.75" customHeight="1">
      <c r="B932" s="38"/>
      <c r="C932" s="38"/>
      <c r="D932" s="38"/>
      <c r="E932" s="38"/>
      <c r="F932" s="38"/>
    </row>
    <row r="933" ht="15.75" customHeight="1">
      <c r="B933" s="38"/>
      <c r="C933" s="38"/>
      <c r="D933" s="38"/>
      <c r="E933" s="38"/>
      <c r="F933" s="38"/>
    </row>
    <row r="934" ht="15.75" customHeight="1">
      <c r="B934" s="38"/>
      <c r="C934" s="38"/>
      <c r="D934" s="38"/>
      <c r="E934" s="38"/>
      <c r="F934" s="38"/>
    </row>
    <row r="935" ht="15.75" customHeight="1">
      <c r="B935" s="38"/>
      <c r="C935" s="38"/>
      <c r="D935" s="38"/>
      <c r="E935" s="38"/>
      <c r="F935" s="38"/>
    </row>
    <row r="936" ht="15.75" customHeight="1">
      <c r="B936" s="38"/>
      <c r="C936" s="38"/>
      <c r="D936" s="38"/>
      <c r="E936" s="38"/>
      <c r="F936" s="38"/>
    </row>
    <row r="937" ht="15.75" customHeight="1">
      <c r="B937" s="38"/>
      <c r="C937" s="38"/>
      <c r="D937" s="38"/>
      <c r="E937" s="38"/>
      <c r="F937" s="38"/>
    </row>
    <row r="938" ht="15.75" customHeight="1">
      <c r="B938" s="38"/>
      <c r="C938" s="38"/>
      <c r="D938" s="38"/>
      <c r="E938" s="38"/>
      <c r="F938" s="38"/>
    </row>
    <row r="939" ht="15.75" customHeight="1">
      <c r="B939" s="38"/>
      <c r="C939" s="38"/>
      <c r="D939" s="38"/>
      <c r="E939" s="38"/>
      <c r="F939" s="38"/>
    </row>
    <row r="940" ht="15.75" customHeight="1">
      <c r="B940" s="38"/>
      <c r="C940" s="38"/>
      <c r="D940" s="38"/>
      <c r="E940" s="38"/>
      <c r="F940" s="38"/>
    </row>
    <row r="941" ht="15.75" customHeight="1">
      <c r="B941" s="38"/>
      <c r="C941" s="38"/>
      <c r="D941" s="38"/>
      <c r="E941" s="38"/>
      <c r="F941" s="38"/>
    </row>
    <row r="942" ht="15.75" customHeight="1">
      <c r="B942" s="38"/>
      <c r="C942" s="38"/>
      <c r="D942" s="38"/>
      <c r="E942" s="38"/>
      <c r="F942" s="38"/>
    </row>
    <row r="943" ht="15.75" customHeight="1">
      <c r="B943" s="38"/>
      <c r="C943" s="38"/>
      <c r="D943" s="38"/>
      <c r="E943" s="38"/>
      <c r="F943" s="38"/>
    </row>
    <row r="944" ht="15.75" customHeight="1">
      <c r="B944" s="38"/>
      <c r="C944" s="38"/>
      <c r="D944" s="38"/>
      <c r="E944" s="38"/>
      <c r="F944" s="38"/>
    </row>
    <row r="945" ht="15.75" customHeight="1">
      <c r="B945" s="38"/>
      <c r="C945" s="38"/>
      <c r="D945" s="38"/>
      <c r="E945" s="38"/>
      <c r="F945" s="38"/>
    </row>
    <row r="946" ht="15.75" customHeight="1">
      <c r="B946" s="38"/>
      <c r="C946" s="38"/>
      <c r="D946" s="38"/>
      <c r="E946" s="38"/>
      <c r="F946" s="38"/>
    </row>
    <row r="947" ht="15.75" customHeight="1">
      <c r="B947" s="38"/>
      <c r="C947" s="38"/>
      <c r="D947" s="38"/>
      <c r="E947" s="38"/>
      <c r="F947" s="38"/>
    </row>
    <row r="948" ht="15.75" customHeight="1">
      <c r="B948" s="38"/>
      <c r="C948" s="38"/>
      <c r="D948" s="38"/>
      <c r="E948" s="38"/>
      <c r="F948" s="38"/>
    </row>
    <row r="949" ht="15.75" customHeight="1">
      <c r="B949" s="38"/>
      <c r="C949" s="38"/>
      <c r="D949" s="38"/>
      <c r="E949" s="38"/>
      <c r="F949" s="38"/>
    </row>
    <row r="950" ht="15.75" customHeight="1">
      <c r="B950" s="38"/>
      <c r="C950" s="38"/>
      <c r="D950" s="38"/>
      <c r="E950" s="38"/>
      <c r="F950" s="38"/>
    </row>
    <row r="951" ht="15.75" customHeight="1">
      <c r="B951" s="38"/>
      <c r="C951" s="38"/>
      <c r="D951" s="38"/>
      <c r="E951" s="38"/>
      <c r="F951" s="38"/>
    </row>
    <row r="952" ht="15.75" customHeight="1">
      <c r="B952" s="38"/>
      <c r="C952" s="38"/>
      <c r="D952" s="38"/>
      <c r="E952" s="38"/>
      <c r="F952" s="38"/>
    </row>
    <row r="953" ht="15.75" customHeight="1">
      <c r="B953" s="38"/>
      <c r="C953" s="38"/>
      <c r="D953" s="38"/>
      <c r="E953" s="38"/>
      <c r="F953" s="38"/>
    </row>
    <row r="954" ht="15.75" customHeight="1">
      <c r="B954" s="38"/>
      <c r="C954" s="38"/>
      <c r="D954" s="38"/>
      <c r="E954" s="38"/>
      <c r="F954" s="38"/>
    </row>
    <row r="955" ht="15.75" customHeight="1">
      <c r="B955" s="38"/>
      <c r="C955" s="38"/>
      <c r="D955" s="38"/>
      <c r="E955" s="38"/>
      <c r="F955" s="38"/>
    </row>
    <row r="956" ht="15.75" customHeight="1">
      <c r="B956" s="38"/>
      <c r="C956" s="38"/>
      <c r="D956" s="38"/>
      <c r="E956" s="38"/>
      <c r="F956" s="38"/>
    </row>
    <row r="957" ht="15.75" customHeight="1">
      <c r="B957" s="38"/>
      <c r="C957" s="38"/>
      <c r="D957" s="38"/>
      <c r="E957" s="38"/>
      <c r="F957" s="38"/>
    </row>
    <row r="958" ht="15.75" customHeight="1">
      <c r="B958" s="38"/>
      <c r="C958" s="38"/>
      <c r="D958" s="38"/>
      <c r="E958" s="38"/>
      <c r="F958" s="38"/>
    </row>
    <row r="959" ht="15.75" customHeight="1">
      <c r="B959" s="38"/>
      <c r="C959" s="38"/>
      <c r="D959" s="38"/>
      <c r="E959" s="38"/>
      <c r="F959" s="38"/>
    </row>
    <row r="960" ht="15.75" customHeight="1">
      <c r="B960" s="38"/>
      <c r="C960" s="38"/>
      <c r="D960" s="38"/>
      <c r="E960" s="38"/>
      <c r="F960" s="38"/>
    </row>
    <row r="961" ht="15.75" customHeight="1">
      <c r="B961" s="38"/>
      <c r="C961" s="38"/>
      <c r="D961" s="38"/>
      <c r="E961" s="38"/>
      <c r="F961" s="38"/>
    </row>
    <row r="962" ht="15.75" customHeight="1">
      <c r="B962" s="38"/>
      <c r="C962" s="38"/>
      <c r="D962" s="38"/>
      <c r="E962" s="38"/>
      <c r="F962" s="38"/>
    </row>
    <row r="963" ht="15.75" customHeight="1">
      <c r="B963" s="38"/>
      <c r="C963" s="38"/>
      <c r="D963" s="38"/>
      <c r="E963" s="38"/>
      <c r="F963" s="38"/>
    </row>
    <row r="964" ht="15.75" customHeight="1">
      <c r="B964" s="38"/>
      <c r="C964" s="38"/>
      <c r="D964" s="38"/>
      <c r="E964" s="38"/>
      <c r="F964" s="38"/>
    </row>
    <row r="965" ht="15.75" customHeight="1">
      <c r="B965" s="38"/>
      <c r="C965" s="38"/>
      <c r="D965" s="38"/>
      <c r="E965" s="38"/>
      <c r="F965" s="38"/>
    </row>
    <row r="966" ht="15.75" customHeight="1">
      <c r="B966" s="38"/>
      <c r="C966" s="38"/>
      <c r="D966" s="38"/>
      <c r="E966" s="38"/>
      <c r="F966" s="38"/>
    </row>
    <row r="967" ht="15.75" customHeight="1">
      <c r="B967" s="38"/>
      <c r="C967" s="38"/>
      <c r="D967" s="38"/>
      <c r="E967" s="38"/>
      <c r="F967" s="38"/>
    </row>
    <row r="968" ht="15.75" customHeight="1">
      <c r="B968" s="38"/>
      <c r="C968" s="38"/>
      <c r="D968" s="38"/>
      <c r="E968" s="38"/>
      <c r="F968" s="38"/>
    </row>
    <row r="969" ht="15.75" customHeight="1">
      <c r="B969" s="38"/>
      <c r="C969" s="38"/>
      <c r="D969" s="38"/>
      <c r="E969" s="38"/>
      <c r="F969" s="38"/>
    </row>
    <row r="970" ht="15.75" customHeight="1">
      <c r="B970" s="38"/>
      <c r="C970" s="38"/>
      <c r="D970" s="38"/>
      <c r="E970" s="38"/>
      <c r="F970" s="38"/>
    </row>
    <row r="971" ht="15.75" customHeight="1">
      <c r="B971" s="38"/>
      <c r="C971" s="38"/>
      <c r="D971" s="38"/>
      <c r="E971" s="38"/>
      <c r="F971" s="38"/>
    </row>
    <row r="972" ht="15.75" customHeight="1">
      <c r="B972" s="38"/>
      <c r="C972" s="38"/>
      <c r="D972" s="38"/>
      <c r="E972" s="38"/>
      <c r="F972" s="38"/>
    </row>
    <row r="973" ht="15.75" customHeight="1">
      <c r="B973" s="38"/>
      <c r="C973" s="38"/>
      <c r="D973" s="38"/>
      <c r="E973" s="38"/>
      <c r="F973" s="38"/>
    </row>
    <row r="974" ht="15.75" customHeight="1">
      <c r="B974" s="38"/>
      <c r="C974" s="38"/>
      <c r="D974" s="38"/>
      <c r="E974" s="38"/>
      <c r="F974" s="38"/>
    </row>
    <row r="975" ht="15.75" customHeight="1">
      <c r="B975" s="38"/>
      <c r="C975" s="38"/>
      <c r="D975" s="38"/>
      <c r="E975" s="38"/>
      <c r="F975" s="38"/>
    </row>
    <row r="976" ht="15.75" customHeight="1">
      <c r="B976" s="38"/>
      <c r="C976" s="38"/>
      <c r="D976" s="38"/>
      <c r="E976" s="38"/>
      <c r="F976" s="38"/>
    </row>
    <row r="977" ht="15.75" customHeight="1">
      <c r="B977" s="38"/>
      <c r="C977" s="38"/>
      <c r="D977" s="38"/>
      <c r="E977" s="38"/>
      <c r="F977" s="38"/>
    </row>
    <row r="978" ht="15.75" customHeight="1">
      <c r="B978" s="38"/>
      <c r="C978" s="38"/>
      <c r="D978" s="38"/>
      <c r="E978" s="38"/>
      <c r="F978" s="38"/>
    </row>
    <row r="979" ht="15.75" customHeight="1">
      <c r="B979" s="38"/>
      <c r="C979" s="38"/>
      <c r="D979" s="38"/>
      <c r="E979" s="38"/>
      <c r="F979" s="38"/>
    </row>
    <row r="980" ht="15.75" customHeight="1">
      <c r="B980" s="38"/>
      <c r="C980" s="38"/>
      <c r="D980" s="38"/>
      <c r="E980" s="38"/>
      <c r="F980" s="38"/>
    </row>
    <row r="981" ht="15.75" customHeight="1">
      <c r="B981" s="38"/>
      <c r="C981" s="38"/>
      <c r="D981" s="38"/>
      <c r="E981" s="38"/>
      <c r="F981" s="38"/>
    </row>
    <row r="982" ht="15.75" customHeight="1">
      <c r="B982" s="38"/>
      <c r="C982" s="38"/>
      <c r="D982" s="38"/>
      <c r="E982" s="38"/>
      <c r="F982" s="38"/>
    </row>
    <row r="983" ht="15.75" customHeight="1">
      <c r="B983" s="38"/>
      <c r="C983" s="38"/>
      <c r="D983" s="38"/>
      <c r="E983" s="38"/>
      <c r="F983" s="38"/>
    </row>
    <row r="984" ht="15.75" customHeight="1">
      <c r="B984" s="38"/>
      <c r="C984" s="38"/>
      <c r="D984" s="38"/>
      <c r="E984" s="38"/>
      <c r="F984" s="38"/>
    </row>
    <row r="985" ht="15.75" customHeight="1">
      <c r="B985" s="38"/>
      <c r="C985" s="38"/>
      <c r="D985" s="38"/>
      <c r="E985" s="38"/>
      <c r="F985" s="38"/>
    </row>
    <row r="986" ht="15.75" customHeight="1">
      <c r="B986" s="38"/>
      <c r="C986" s="38"/>
      <c r="D986" s="38"/>
      <c r="E986" s="38"/>
      <c r="F986" s="38"/>
    </row>
    <row r="987" ht="15.75" customHeight="1">
      <c r="B987" s="38"/>
      <c r="C987" s="38"/>
      <c r="D987" s="38"/>
      <c r="E987" s="38"/>
      <c r="F987" s="38"/>
    </row>
    <row r="988" ht="15.75" customHeight="1">
      <c r="B988" s="38"/>
      <c r="C988" s="38"/>
      <c r="D988" s="38"/>
      <c r="E988" s="38"/>
      <c r="F988" s="38"/>
    </row>
    <row r="989" ht="15.75" customHeight="1">
      <c r="B989" s="38"/>
      <c r="C989" s="38"/>
      <c r="D989" s="38"/>
      <c r="E989" s="38"/>
      <c r="F989" s="38"/>
    </row>
    <row r="990" ht="15.75" customHeight="1">
      <c r="B990" s="38"/>
      <c r="C990" s="38"/>
      <c r="D990" s="38"/>
      <c r="E990" s="38"/>
      <c r="F990" s="38"/>
    </row>
    <row r="991" ht="15.75" customHeight="1">
      <c r="B991" s="38"/>
      <c r="C991" s="38"/>
      <c r="D991" s="38"/>
      <c r="E991" s="38"/>
      <c r="F991" s="38"/>
    </row>
    <row r="992" ht="15.75" customHeight="1">
      <c r="B992" s="38"/>
      <c r="C992" s="38"/>
      <c r="D992" s="38"/>
      <c r="E992" s="38"/>
      <c r="F992" s="38"/>
    </row>
    <row r="993" ht="15.75" customHeight="1">
      <c r="B993" s="38"/>
      <c r="C993" s="38"/>
      <c r="D993" s="38"/>
      <c r="E993" s="38"/>
      <c r="F993" s="38"/>
    </row>
    <row r="994" ht="15.75" customHeight="1">
      <c r="B994" s="38"/>
      <c r="C994" s="38"/>
      <c r="D994" s="38"/>
      <c r="E994" s="38"/>
      <c r="F994" s="38"/>
    </row>
    <row r="995" ht="15.75" customHeight="1">
      <c r="B995" s="38"/>
      <c r="C995" s="38"/>
      <c r="D995" s="38"/>
      <c r="E995" s="38"/>
      <c r="F995" s="38"/>
    </row>
    <row r="996" ht="15.75" customHeight="1">
      <c r="B996" s="38"/>
      <c r="C996" s="38"/>
      <c r="D996" s="38"/>
      <c r="E996" s="38"/>
      <c r="F996" s="38"/>
    </row>
    <row r="997" ht="15.75" customHeight="1">
      <c r="B997" s="38"/>
      <c r="C997" s="38"/>
      <c r="D997" s="38"/>
      <c r="E997" s="38"/>
      <c r="F997" s="38"/>
    </row>
    <row r="998" ht="15.75" customHeight="1">
      <c r="B998" s="38"/>
      <c r="C998" s="38"/>
      <c r="D998" s="38"/>
      <c r="E998" s="38"/>
      <c r="F998" s="38"/>
    </row>
    <row r="999" ht="15.75" customHeight="1">
      <c r="B999" s="38"/>
      <c r="C999" s="38"/>
      <c r="D999" s="38"/>
      <c r="E999" s="38"/>
      <c r="F999" s="38"/>
    </row>
    <row r="1000" ht="15.75" customHeight="1">
      <c r="B1000" s="38"/>
      <c r="C1000" s="38"/>
      <c r="D1000" s="38"/>
      <c r="E1000" s="38"/>
      <c r="F1000" s="38"/>
    </row>
  </sheetData>
  <drawing r:id="rId1"/>
</worksheet>
</file>