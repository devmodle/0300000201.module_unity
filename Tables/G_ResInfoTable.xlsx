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Sprite" sheetId="4" r:id="rId7"/>
    <sheet state="visible" name="Texture" sheetId="5" r:id="rId8"/>
  </sheets>
  <definedNames/>
  <calcPr/>
</workbook>
</file>

<file path=xl/sharedStrings.xml><?xml version="1.0" encoding="utf-8"?>
<sst xmlns="http://schemas.openxmlformats.org/spreadsheetml/2006/main" count="103" uniqueCount="58">
  <si>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</si>
  <si>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</si>
  <si>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</si>
  <si>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</si>
  <si>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</si>
  <si>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</si>
  <si>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</si>
  <si>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</si>
  <si>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</si>
  <si>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</si>
  <si>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</si>
  <si>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</si>
  <si>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</si>
  <si>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</si>
  <si>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</si>
  <si>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</si>
  <si>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</si>
  <si>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</si>
  <si>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</si>
  <si>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</si>
  <si>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</si>
  <si>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</si>
  <si>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</si>
  <si>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</si>
  <si>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</si>
  <si>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</si>
  <si>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</si>
  <si>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</si>
  <si>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</si>
  <si>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</si>
  <si>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Sounds/Global/G_BGM_TitleScene</t>
  </si>
  <si>
    <t>메인 씬 배경음</t>
  </si>
  <si>
    <t>Sounds/Global/G_BGM_MainScene</t>
  </si>
  <si>
    <t>게임 씬 배경음</t>
  </si>
  <si>
    <t>Sounds/Global/G_BGM_GameScene</t>
  </si>
  <si>
    <t>터치 시작 효과음</t>
  </si>
  <si>
    <t>Sounds/Global/G_SFX_TouchBegin</t>
  </si>
  <si>
    <t>터치 종료 효과음</t>
  </si>
  <si>
    <t>Sounds/Global/G_SFX_TouchEnd</t>
  </si>
  <si>
    <t>팝업 출력 효과음</t>
  </si>
  <si>
    <t>Sounds/Global/G_SFX_PopupShow</t>
  </si>
  <si>
    <t>팝업 닫힘 효과음</t>
  </si>
  <si>
    <t>Sounds/Global/G_SFX_PopupClose</t>
  </si>
  <si>
    <t>한국어</t>
  </si>
  <si>
    <t>Fonts/Global/G_KoreanFont</t>
  </si>
  <si>
    <t>영어</t>
  </si>
  <si>
    <t>Fonts/Global/G_EnglishFont</t>
  </si>
  <si>
    <t>기본 스프라이트</t>
  </si>
  <si>
    <t>흰색</t>
  </si>
  <si>
    <t>U_SA_01_White</t>
  </si>
  <si>
    <t>스플래시</t>
  </si>
  <si>
    <t>U_SA_01_Splash</t>
  </si>
  <si>
    <t>인디케이터</t>
  </si>
  <si>
    <t>U_SA_01_Indicator</t>
  </si>
  <si>
    <t>기본 텍스처</t>
  </si>
  <si>
    <t>Images/U_SpriteAtlas_01/U_SA_01_White</t>
  </si>
  <si>
    <t>Images/U_SpriteAtlas_01/U_SA_01_Splash</t>
  </si>
  <si>
    <t>Images/U_SpriteAtlas_01/U_SA_01_Indicator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</si>
</sst>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8.13"/>
    <col customWidth="1" min="11" max="12" width="11.5"/>
    <col customWidth="1" min="13" max="13" width="4.5"/>
    <col customWidth="1" min="14" max="14" width="28.63"/>
    <col customWidth="1" min="15" max="35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6" t="s">
        <v>24</v>
      </c>
      <c r="K1" s="8" t="s">
        <v>25</v>
      </c>
      <c r="L1" s="8" t="s">
        <v>26</v>
      </c>
      <c r="M1" s="4" t="s">
        <v>27</v>
      </c>
      <c r="N1" s="4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29</v>
      </c>
      <c r="B2" s="9">
        <v>0.0</v>
      </c>
      <c r="C2" s="9">
        <v>0.0</v>
      </c>
      <c r="D2" s="9">
        <v>0.0</v>
      </c>
      <c r="E2" s="9">
        <v>0.0</v>
      </c>
      <c r="F2" s="10">
        <v>0.0</v>
      </c>
      <c r="G2" s="11">
        <v>0.0</v>
      </c>
      <c r="H2" s="7"/>
      <c r="I2" s="7"/>
      <c r="J2" s="12">
        <f>($B2*README!$C$2)+($C2*README!$C$3)+($D2*README!$C$4)+($E2*README!$C$5)+($F2*README!$C$6)</f>
        <v>0</v>
      </c>
      <c r="K2" s="12">
        <f>($B2*README!$C$2)+($C2*README!$C$3)+($D2*README!$C$4)+($E2*README!$C$5)+($F2*README!$C$6)-1</f>
        <v>-1</v>
      </c>
      <c r="L2" s="12">
        <f>($B2*README!$C$2)+($C2*README!$C$3)+($D2*README!$C$4)+($E2*README!$C$5)+($F2*README!$C$6)+1</f>
        <v>1</v>
      </c>
      <c r="M2" s="4">
        <v>1.0</v>
      </c>
      <c r="N2" s="4" t="s">
        <v>30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31</v>
      </c>
      <c r="B3" s="9">
        <v>0.0</v>
      </c>
      <c r="C3" s="9">
        <v>0.0</v>
      </c>
      <c r="D3" s="9">
        <v>0.0</v>
      </c>
      <c r="E3" s="10">
        <v>1.0</v>
      </c>
      <c r="F3" s="10">
        <v>0.0</v>
      </c>
      <c r="G3" s="11">
        <v>0.0</v>
      </c>
      <c r="H3" s="7"/>
      <c r="I3" s="7"/>
      <c r="J3" s="12">
        <f>($B3*README!$C$2)+($C3*README!$C$3)+($D3*README!$C$4)+($E3*README!$C$5)+($F3*README!$C$6)</f>
        <v>100</v>
      </c>
      <c r="K3" s="12">
        <f>($B3*README!$C$2)+($C3*README!$C$3)+($D3*README!$C$4)+($E3*README!$C$5)+($F3*README!$C$6)-1</f>
        <v>99</v>
      </c>
      <c r="L3" s="12">
        <f>($B3*README!$C$2)+($C3*README!$C$3)+($D3*README!$C$4)+($E3*README!$C$5)+($F3*README!$C$6)+1</f>
        <v>101</v>
      </c>
      <c r="M3" s="4">
        <v>1.0</v>
      </c>
      <c r="N3" s="4" t="s">
        <v>32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 t="s">
        <v>33</v>
      </c>
      <c r="B4" s="9">
        <v>0.0</v>
      </c>
      <c r="C4" s="9">
        <v>0.0</v>
      </c>
      <c r="D4" s="9">
        <v>0.0</v>
      </c>
      <c r="E4" s="10">
        <v>2.0</v>
      </c>
      <c r="F4" s="10">
        <v>0.0</v>
      </c>
      <c r="G4" s="11">
        <v>0.0</v>
      </c>
      <c r="H4" s="7"/>
      <c r="I4" s="7"/>
      <c r="J4" s="12">
        <f>($B4*README!$C$2)+($C4*README!$C$3)+($D4*README!$C$4)+($E4*README!$C$5)+($F4*README!$C$6)</f>
        <v>200</v>
      </c>
      <c r="K4" s="12">
        <f>($B4*README!$C$2)+($C4*README!$C$3)+($D4*README!$C$4)+($E4*README!$C$5)+($F4*README!$C$6)-1</f>
        <v>199</v>
      </c>
      <c r="L4" s="12">
        <f>($B4*README!$C$2)+($C4*README!$C$3)+($D4*README!$C$4)+($E4*README!$C$5)+($F4*README!$C$6)+1</f>
        <v>201</v>
      </c>
      <c r="M4" s="4">
        <v>1.0</v>
      </c>
      <c r="N4" s="4" t="s">
        <v>34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 t="s">
        <v>35</v>
      </c>
      <c r="B5" s="9">
        <v>0.0</v>
      </c>
      <c r="C5" s="9">
        <v>0.0</v>
      </c>
      <c r="D5" s="10">
        <v>1.0</v>
      </c>
      <c r="E5" s="9">
        <v>0.0</v>
      </c>
      <c r="F5" s="10">
        <v>0.0</v>
      </c>
      <c r="G5" s="6">
        <v>0.0</v>
      </c>
      <c r="H5" s="7"/>
      <c r="I5" s="7"/>
      <c r="J5" s="12">
        <f>($B5*README!$C$2)+($C5*README!$C$3)+($D5*README!$C$4)+($E5*README!$C$5)+($F5*README!$C$6)</f>
        <v>100000</v>
      </c>
      <c r="K5" s="12">
        <f>($B5*README!$C$2)+($C5*README!$C$3)+($D5*README!$C$4)+($E5*README!$C$5)+($F5*README!$C$6)-1</f>
        <v>99999</v>
      </c>
      <c r="L5" s="12">
        <f>($B5*README!$C$2)+($C5*README!$C$3)+($D5*README!$C$4)+($E5*README!$C$5)+($F5*README!$C$6)+1</f>
        <v>100001</v>
      </c>
      <c r="M5" s="4">
        <v>1.0</v>
      </c>
      <c r="N5" s="4" t="s">
        <v>36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 t="s">
        <v>37</v>
      </c>
      <c r="B6" s="9">
        <v>0.0</v>
      </c>
      <c r="C6" s="9">
        <v>0.0</v>
      </c>
      <c r="D6" s="10">
        <v>1.0</v>
      </c>
      <c r="E6" s="10">
        <v>1.0</v>
      </c>
      <c r="F6" s="10">
        <v>0.0</v>
      </c>
      <c r="G6" s="6">
        <v>0.0</v>
      </c>
      <c r="H6" s="7"/>
      <c r="I6" s="7"/>
      <c r="J6" s="12">
        <f>($B6*README!$C$2)+($C6*README!$C$3)+($D6*README!$C$4)+($E6*README!$C$5)+($F6*README!$C$6)</f>
        <v>100100</v>
      </c>
      <c r="K6" s="12">
        <f>($B6*README!$C$2)+($C6*README!$C$3)+($D6*README!$C$4)+($E6*README!$C$5)+($F6*README!$C$6)-1</f>
        <v>100099</v>
      </c>
      <c r="L6" s="12">
        <f>($B6*README!$C$2)+($C6*README!$C$3)+($D6*README!$C$4)+($E6*README!$C$5)+($F6*README!$C$6)+1</f>
        <v>100101</v>
      </c>
      <c r="M6" s="4">
        <v>1.0</v>
      </c>
      <c r="N6" s="4" t="s">
        <v>38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 t="s">
        <v>39</v>
      </c>
      <c r="B7" s="9">
        <v>0.0</v>
      </c>
      <c r="C7" s="9">
        <v>0.0</v>
      </c>
      <c r="D7" s="10">
        <v>2.0</v>
      </c>
      <c r="E7" s="9">
        <v>0.0</v>
      </c>
      <c r="F7" s="10">
        <v>0.0</v>
      </c>
      <c r="G7" s="6">
        <v>0.0</v>
      </c>
      <c r="H7" s="7"/>
      <c r="I7" s="7"/>
      <c r="J7" s="12">
        <f>($B7*README!$C$2)+($C7*README!$C$3)+($D7*README!$C$4)+($E7*README!$C$5)+($F7*README!$C$6)</f>
        <v>200000</v>
      </c>
      <c r="K7" s="12">
        <f>($B7*README!$C$2)+($C7*README!$C$3)+($D7*README!$C$4)+($E7*README!$C$5)+($F7*README!$C$6)-1</f>
        <v>199999</v>
      </c>
      <c r="L7" s="12">
        <f>($B7*README!$C$2)+($C7*README!$C$3)+($D7*README!$C$4)+($E7*README!$C$5)+($F7*README!$C$6)+1</f>
        <v>200001</v>
      </c>
      <c r="M7" s="4">
        <v>1.0</v>
      </c>
      <c r="N7" s="4" t="s">
        <v>40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 t="s">
        <v>41</v>
      </c>
      <c r="B8" s="9">
        <v>0.0</v>
      </c>
      <c r="C8" s="9">
        <v>0.0</v>
      </c>
      <c r="D8" s="10">
        <v>2.0</v>
      </c>
      <c r="E8" s="10">
        <v>1.0</v>
      </c>
      <c r="F8" s="10">
        <v>0.0</v>
      </c>
      <c r="G8" s="6">
        <v>0.0</v>
      </c>
      <c r="H8" s="7"/>
      <c r="I8" s="7"/>
      <c r="J8" s="12">
        <f>($B8*README!$C$2)+($C8*README!$C$3)+($D8*README!$C$4)+($E8*README!$C$5)+($F8*README!$C$6)</f>
        <v>200100</v>
      </c>
      <c r="K8" s="12">
        <f>($B8*README!$C$2)+($C8*README!$C$3)+($D8*README!$C$4)+($E8*README!$C$5)+($F8*README!$C$6)-1</f>
        <v>200099</v>
      </c>
      <c r="L8" s="12">
        <f>($B8*README!$C$2)+($C8*README!$C$3)+($D8*README!$C$4)+($E8*README!$C$5)+($F8*README!$C$6)+1</f>
        <v>200101</v>
      </c>
      <c r="M8" s="4">
        <v>1.0</v>
      </c>
      <c r="N8" s="4" t="s">
        <v>42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6"/>
      <c r="H9" s="7"/>
      <c r="I9" s="7"/>
      <c r="J9" s="6"/>
      <c r="K9" s="6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6"/>
      <c r="K10" s="6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6"/>
      <c r="K11" s="6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6"/>
      <c r="K12" s="6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6"/>
      <c r="K13" s="6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6"/>
      <c r="K14" s="6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6"/>
      <c r="K15" s="6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6"/>
      <c r="K16" s="6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6"/>
      <c r="K17" s="6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6"/>
      <c r="K18" s="6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6"/>
      <c r="K19" s="6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6"/>
      <c r="K20" s="6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6"/>
      <c r="K21" s="6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6"/>
      <c r="K22" s="6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6"/>
      <c r="K23" s="6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6"/>
      <c r="K24" s="6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6"/>
      <c r="K25" s="6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6"/>
      <c r="K26" s="6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6"/>
      <c r="K27" s="6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6"/>
      <c r="K28" s="6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6"/>
      <c r="K29" s="6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6"/>
      <c r="K30" s="6"/>
      <c r="L30" s="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6"/>
      <c r="K31" s="6"/>
      <c r="L31" s="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6"/>
      <c r="K32" s="6"/>
      <c r="L32" s="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6"/>
      <c r="K33" s="6"/>
      <c r="L33" s="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6"/>
      <c r="K34" s="6"/>
      <c r="L34" s="6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6"/>
      <c r="K35" s="6"/>
      <c r="L35" s="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6"/>
      <c r="K36" s="6"/>
      <c r="L36" s="6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6"/>
      <c r="K37" s="6"/>
      <c r="L37" s="6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6"/>
      <c r="K38" s="6"/>
      <c r="L38" s="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6"/>
      <c r="K39" s="6"/>
      <c r="L39" s="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6"/>
      <c r="K40" s="6"/>
      <c r="L40" s="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6"/>
      <c r="K41" s="6"/>
      <c r="L41" s="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6"/>
      <c r="K42" s="6"/>
      <c r="L42" s="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6"/>
      <c r="K43" s="6"/>
      <c r="L43" s="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6"/>
      <c r="K44" s="6"/>
      <c r="L44" s="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6"/>
      <c r="K45" s="6"/>
      <c r="L45" s="6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6"/>
      <c r="K46" s="6"/>
      <c r="L46" s="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6"/>
      <c r="K47" s="6"/>
      <c r="L47" s="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6"/>
      <c r="K48" s="6"/>
      <c r="L48" s="6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6"/>
      <c r="K49" s="6"/>
      <c r="L49" s="6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6"/>
      <c r="K50" s="6"/>
      <c r="L50" s="6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6"/>
      <c r="K51" s="6"/>
      <c r="L51" s="6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6"/>
      <c r="K52" s="6"/>
      <c r="L52" s="6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6"/>
      <c r="K53" s="6"/>
      <c r="L53" s="6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6"/>
      <c r="K54" s="6"/>
      <c r="L54" s="6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6"/>
      <c r="K55" s="6"/>
      <c r="L55" s="6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6"/>
      <c r="K56" s="6"/>
      <c r="L56" s="6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6"/>
      <c r="K57" s="6"/>
      <c r="L57" s="6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6"/>
      <c r="K58" s="6"/>
      <c r="L58" s="6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6"/>
      <c r="K59" s="6"/>
      <c r="L59" s="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6"/>
      <c r="K60" s="6"/>
      <c r="L60" s="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6"/>
      <c r="K61" s="6"/>
      <c r="L61" s="6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6"/>
      <c r="K62" s="6"/>
      <c r="L62" s="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6"/>
      <c r="K63" s="6"/>
      <c r="L63" s="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6"/>
      <c r="K64" s="6"/>
      <c r="L64" s="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6"/>
      <c r="K65" s="6"/>
      <c r="L65" s="6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6"/>
      <c r="K66" s="6"/>
      <c r="L66" s="6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6"/>
      <c r="K67" s="6"/>
      <c r="L67" s="6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6"/>
      <c r="K68" s="6"/>
      <c r="L68" s="6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6"/>
      <c r="K69" s="6"/>
      <c r="L69" s="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6"/>
      <c r="K70" s="6"/>
      <c r="L70" s="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6"/>
      <c r="K71" s="6"/>
      <c r="L71" s="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6"/>
      <c r="K72" s="6"/>
      <c r="L72" s="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6"/>
      <c r="K73" s="6"/>
      <c r="L73" s="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6"/>
      <c r="K74" s="6"/>
      <c r="L74" s="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6"/>
      <c r="K75" s="6"/>
      <c r="L75" s="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6"/>
      <c r="K76" s="6"/>
      <c r="L76" s="6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6"/>
      <c r="K77" s="6"/>
      <c r="L77" s="6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6"/>
      <c r="K78" s="6"/>
      <c r="L78" s="6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6"/>
      <c r="K79" s="6"/>
      <c r="L79" s="6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6"/>
      <c r="K80" s="6"/>
      <c r="L80" s="6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6"/>
      <c r="K81" s="6"/>
      <c r="L81" s="6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6"/>
      <c r="K82" s="6"/>
      <c r="L82" s="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6"/>
      <c r="K83" s="6"/>
      <c r="L83" s="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6"/>
      <c r="K84" s="6"/>
      <c r="L84" s="6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6"/>
      <c r="K85" s="6"/>
      <c r="L85" s="6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6"/>
      <c r="K86" s="6"/>
      <c r="L86" s="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6"/>
      <c r="K87" s="6"/>
      <c r="L87" s="6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6"/>
      <c r="K88" s="6"/>
      <c r="L88" s="6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6"/>
      <c r="K89" s="6"/>
      <c r="L89" s="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6"/>
      <c r="K90" s="6"/>
      <c r="L90" s="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6"/>
      <c r="K91" s="6"/>
      <c r="L91" s="6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6"/>
      <c r="K92" s="6"/>
      <c r="L92" s="6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6"/>
      <c r="K93" s="6"/>
      <c r="L93" s="6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6"/>
      <c r="K94" s="6"/>
      <c r="L94" s="6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6"/>
      <c r="K95" s="6"/>
      <c r="L95" s="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6"/>
      <c r="K96" s="6"/>
      <c r="L96" s="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6"/>
      <c r="K97" s="6"/>
      <c r="L97" s="6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6"/>
      <c r="K98" s="6"/>
      <c r="L98" s="6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6"/>
      <c r="K99" s="6"/>
      <c r="L99" s="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6"/>
      <c r="K100" s="6"/>
      <c r="L100" s="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6"/>
      <c r="K101" s="6"/>
      <c r="L101" s="6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6"/>
      <c r="K102" s="6"/>
      <c r="L102" s="6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6"/>
      <c r="K103" s="6"/>
      <c r="L103" s="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6"/>
      <c r="K104" s="6"/>
      <c r="L104" s="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6"/>
      <c r="K105" s="6"/>
      <c r="L105" s="6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6"/>
      <c r="K106" s="6"/>
      <c r="L106" s="6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6"/>
      <c r="K107" s="6"/>
      <c r="L107" s="6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6"/>
      <c r="K108" s="6"/>
      <c r="L108" s="6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6"/>
      <c r="K109" s="6"/>
      <c r="L109" s="6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6"/>
      <c r="K110" s="6"/>
      <c r="L110" s="6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6"/>
      <c r="K111" s="6"/>
      <c r="L111" s="6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6"/>
      <c r="K112" s="6"/>
      <c r="L112" s="6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6"/>
      <c r="K113" s="6"/>
      <c r="L113" s="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6"/>
      <c r="K114" s="6"/>
      <c r="L114" s="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6"/>
      <c r="K115" s="6"/>
      <c r="L115" s="6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6"/>
      <c r="K116" s="6"/>
      <c r="L116" s="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6"/>
      <c r="K117" s="6"/>
      <c r="L117" s="6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6"/>
      <c r="K118" s="6"/>
      <c r="L118" s="6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6"/>
      <c r="K119" s="6"/>
      <c r="L119" s="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6"/>
      <c r="K120" s="6"/>
      <c r="L120" s="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6"/>
      <c r="K121" s="6"/>
      <c r="L121" s="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6"/>
      <c r="K122" s="6"/>
      <c r="L122" s="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6"/>
      <c r="K123" s="6"/>
      <c r="L123" s="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6"/>
      <c r="K124" s="6"/>
      <c r="L124" s="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6"/>
      <c r="K125" s="6"/>
      <c r="L125" s="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6"/>
      <c r="K126" s="6"/>
      <c r="L126" s="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6"/>
      <c r="K127" s="6"/>
      <c r="L127" s="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6"/>
      <c r="K128" s="6"/>
      <c r="L128" s="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6"/>
      <c r="K129" s="6"/>
      <c r="L129" s="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6"/>
      <c r="K130" s="6"/>
      <c r="L130" s="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6"/>
      <c r="K131" s="6"/>
      <c r="L131" s="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6"/>
      <c r="K132" s="6"/>
      <c r="L132" s="6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6"/>
      <c r="K133" s="6"/>
      <c r="L133" s="6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6"/>
      <c r="K134" s="6"/>
      <c r="L134" s="6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6"/>
      <c r="K135" s="6"/>
      <c r="L135" s="6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6"/>
      <c r="K136" s="6"/>
      <c r="L136" s="6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6"/>
      <c r="K137" s="6"/>
      <c r="L137" s="6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6"/>
      <c r="K138" s="6"/>
      <c r="L138" s="6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6"/>
      <c r="K139" s="6"/>
      <c r="L139" s="6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6"/>
      <c r="K140" s="6"/>
      <c r="L140" s="6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6"/>
      <c r="K141" s="6"/>
      <c r="L141" s="6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6"/>
      <c r="K142" s="6"/>
      <c r="L142" s="6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6"/>
      <c r="K143" s="6"/>
      <c r="L143" s="6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6"/>
      <c r="K144" s="6"/>
      <c r="L144" s="6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6"/>
      <c r="K145" s="6"/>
      <c r="L145" s="6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6"/>
      <c r="K146" s="6"/>
      <c r="L146" s="6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6"/>
      <c r="K147" s="6"/>
      <c r="L147" s="6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6"/>
      <c r="K148" s="6"/>
      <c r="L148" s="6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6"/>
      <c r="K149" s="6"/>
      <c r="L149" s="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6"/>
      <c r="K150" s="6"/>
      <c r="L150" s="6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6"/>
      <c r="K151" s="6"/>
      <c r="L151" s="6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6"/>
      <c r="K152" s="6"/>
      <c r="L152" s="6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6"/>
      <c r="K153" s="6"/>
      <c r="L153" s="6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6"/>
      <c r="K154" s="6"/>
      <c r="L154" s="6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6"/>
      <c r="K155" s="6"/>
      <c r="L155" s="6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6"/>
      <c r="K156" s="6"/>
      <c r="L156" s="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6"/>
      <c r="K157" s="6"/>
      <c r="L157" s="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6"/>
      <c r="K158" s="6"/>
      <c r="L158" s="6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6"/>
      <c r="K159" s="6"/>
      <c r="L159" s="6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6"/>
      <c r="K160" s="6"/>
      <c r="L160" s="6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6"/>
      <c r="K161" s="6"/>
      <c r="L161" s="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6"/>
      <c r="K162" s="6"/>
      <c r="L162" s="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6"/>
      <c r="K163" s="6"/>
      <c r="L163" s="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6"/>
      <c r="K164" s="6"/>
      <c r="L164" s="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6"/>
      <c r="K165" s="6"/>
      <c r="L165" s="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6"/>
      <c r="K166" s="6"/>
      <c r="L166" s="6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6"/>
      <c r="K167" s="6"/>
      <c r="L167" s="6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6"/>
      <c r="K168" s="6"/>
      <c r="L168" s="6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6"/>
      <c r="K169" s="6"/>
      <c r="L169" s="6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6"/>
      <c r="K170" s="6"/>
      <c r="L170" s="6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6"/>
      <c r="K171" s="6"/>
      <c r="L171" s="6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6"/>
      <c r="K172" s="6"/>
      <c r="L172" s="6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6"/>
      <c r="K173" s="6"/>
      <c r="L173" s="6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6"/>
      <c r="K174" s="6"/>
      <c r="L174" s="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6"/>
      <c r="K175" s="6"/>
      <c r="L175" s="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6"/>
      <c r="K176" s="6"/>
      <c r="L176" s="6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6"/>
      <c r="K177" s="6"/>
      <c r="L177" s="6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6"/>
      <c r="K178" s="6"/>
      <c r="L178" s="6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6"/>
      <c r="K179" s="6"/>
      <c r="L179" s="6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6"/>
      <c r="K180" s="6"/>
      <c r="L180" s="6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6"/>
      <c r="K181" s="6"/>
      <c r="L181" s="6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6"/>
      <c r="K182" s="6"/>
      <c r="L182" s="6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6"/>
      <c r="K183" s="6"/>
      <c r="L183" s="6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6"/>
      <c r="K184" s="6"/>
      <c r="L184" s="6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6"/>
      <c r="K185" s="6"/>
      <c r="L185" s="6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6"/>
      <c r="K186" s="6"/>
      <c r="L186" s="6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6"/>
      <c r="K187" s="6"/>
      <c r="L187" s="6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6"/>
      <c r="K188" s="6"/>
      <c r="L188" s="6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6"/>
      <c r="K189" s="6"/>
      <c r="L189" s="6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6"/>
      <c r="K190" s="6"/>
      <c r="L190" s="6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6"/>
      <c r="K191" s="6"/>
      <c r="L191" s="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6"/>
      <c r="K192" s="6"/>
      <c r="L192" s="6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6"/>
      <c r="K193" s="6"/>
      <c r="L193" s="6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6"/>
      <c r="K194" s="6"/>
      <c r="L194" s="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6"/>
      <c r="K195" s="6"/>
      <c r="L195" s="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6"/>
      <c r="K196" s="6"/>
      <c r="L196" s="6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6"/>
      <c r="K197" s="6"/>
      <c r="L197" s="6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6"/>
      <c r="K198" s="6"/>
      <c r="L198" s="6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6"/>
      <c r="K199" s="6"/>
      <c r="L199" s="6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6"/>
      <c r="K200" s="6"/>
      <c r="L200" s="6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6"/>
      <c r="K201" s="6"/>
      <c r="L201" s="6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6"/>
      <c r="K202" s="6"/>
      <c r="L202" s="6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6"/>
      <c r="K203" s="6"/>
      <c r="L203" s="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6"/>
      <c r="K204" s="6"/>
      <c r="L204" s="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6"/>
      <c r="K205" s="6"/>
      <c r="L205" s="6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6"/>
      <c r="K206" s="6"/>
      <c r="L206" s="6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6"/>
      <c r="K207" s="6"/>
      <c r="L207" s="6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6"/>
      <c r="K208" s="6"/>
      <c r="L208" s="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6"/>
      <c r="K209" s="6"/>
      <c r="L209" s="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6"/>
      <c r="K210" s="6"/>
      <c r="L210" s="6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6"/>
      <c r="K211" s="6"/>
      <c r="L211" s="6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6"/>
      <c r="K212" s="6"/>
      <c r="L212" s="6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6"/>
      <c r="K213" s="6"/>
      <c r="L213" s="6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6"/>
      <c r="K214" s="6"/>
      <c r="L214" s="6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6"/>
      <c r="K215" s="6"/>
      <c r="L215" s="6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6"/>
      <c r="K216" s="6"/>
      <c r="L216" s="6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6"/>
      <c r="K217" s="6"/>
      <c r="L217" s="6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6"/>
      <c r="K218" s="6"/>
      <c r="L218" s="6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6"/>
      <c r="K219" s="6"/>
      <c r="L219" s="6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6"/>
      <c r="K220" s="6"/>
      <c r="L220" s="6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5"/>
    <col customWidth="1" min="13" max="13" width="4.5"/>
    <col customWidth="1" min="14" max="14" width="21.88"/>
    <col customWidth="1" min="15" max="35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6" t="s">
        <v>24</v>
      </c>
      <c r="K1" s="8" t="s">
        <v>25</v>
      </c>
      <c r="L1" s="8" t="s">
        <v>26</v>
      </c>
      <c r="M1" s="4" t="s">
        <v>27</v>
      </c>
      <c r="N1" s="4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43</v>
      </c>
      <c r="B2" s="10">
        <v>1.0</v>
      </c>
      <c r="C2" s="9">
        <v>0.0</v>
      </c>
      <c r="D2" s="9">
        <v>0.0</v>
      </c>
      <c r="E2" s="9">
        <v>0.0</v>
      </c>
      <c r="F2" s="9">
        <v>0.0</v>
      </c>
      <c r="G2" s="11">
        <v>0.0</v>
      </c>
      <c r="H2" s="7"/>
      <c r="I2" s="7"/>
      <c r="J2" s="12">
        <f>($B2*README!$C$2)+($C2*README!$C$3)+($D2*README!$C$4)+($E2*README!$C$5)+($F2*README!$C$6)</f>
        <v>100000000</v>
      </c>
      <c r="K2" s="12">
        <f>($B2*README!$C$2)+($C2*README!$C$3)+($D2*README!$C$4)+($E2*README!$C$5)+($F2*README!$C$6)-1</f>
        <v>99999999</v>
      </c>
      <c r="L2" s="12">
        <f>($B2*README!$C$2)+($C2*README!$C$3)+($D2*README!$C$4)+($E2*README!$C$5)+($F2*README!$C$6)+1</f>
        <v>100000001</v>
      </c>
      <c r="M2" s="14">
        <v>0.0</v>
      </c>
      <c r="N2" s="14" t="s">
        <v>44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45</v>
      </c>
      <c r="B3" s="10">
        <v>1.0</v>
      </c>
      <c r="C3" s="9">
        <v>0.0</v>
      </c>
      <c r="D3" s="10">
        <v>1.0</v>
      </c>
      <c r="E3" s="9">
        <v>0.0</v>
      </c>
      <c r="F3" s="9">
        <v>0.0</v>
      </c>
      <c r="G3" s="6">
        <v>0.0</v>
      </c>
      <c r="H3" s="7"/>
      <c r="I3" s="7"/>
      <c r="J3" s="12">
        <f>($B3*README!$C$2)+($C3*README!$C$3)+($D3*README!$C$4)+($E3*README!$C$5)+($F3*README!$C$6)</f>
        <v>100100000</v>
      </c>
      <c r="K3" s="12">
        <f>($B3*README!$C$2)+($C3*README!$C$3)+($D3*README!$C$4)+($E3*README!$C$5)+($F3*README!$C$6)-1</f>
        <v>100099999</v>
      </c>
      <c r="L3" s="12">
        <f>($B3*README!$C$2)+($C3*README!$C$3)+($D3*README!$C$4)+($E3*README!$C$5)+($F3*README!$C$6)+1</f>
        <v>100100001</v>
      </c>
      <c r="M3" s="14">
        <v>0.0</v>
      </c>
      <c r="N3" s="14" t="s">
        <v>46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6"/>
      <c r="H4" s="7"/>
      <c r="I4" s="7"/>
      <c r="J4" s="4"/>
      <c r="K4" s="11"/>
      <c r="L4" s="11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6"/>
      <c r="H5" s="7"/>
      <c r="I5" s="7"/>
      <c r="J5" s="4"/>
      <c r="K5" s="11"/>
      <c r="L5" s="11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11"/>
      <c r="L6" s="1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11"/>
      <c r="L7" s="11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11"/>
      <c r="L8" s="11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6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6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6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6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6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6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6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6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6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6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6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6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6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6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6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6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6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6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6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6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6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6"/>
      <c r="L30" s="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6"/>
      <c r="L31" s="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6"/>
      <c r="L32" s="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6"/>
      <c r="L33" s="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6"/>
      <c r="L34" s="6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6"/>
      <c r="L35" s="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6"/>
      <c r="L36" s="6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6"/>
      <c r="L37" s="6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6"/>
      <c r="L38" s="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6"/>
      <c r="L39" s="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6"/>
      <c r="L40" s="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6"/>
      <c r="L41" s="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6"/>
      <c r="L42" s="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6"/>
      <c r="L43" s="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6"/>
      <c r="L44" s="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6"/>
      <c r="L45" s="6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6"/>
      <c r="L46" s="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6"/>
      <c r="L47" s="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6"/>
      <c r="L48" s="6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6"/>
      <c r="L49" s="6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6"/>
      <c r="L50" s="6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6"/>
      <c r="L51" s="6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6"/>
      <c r="L52" s="6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6"/>
      <c r="L53" s="6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6"/>
      <c r="L54" s="6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6"/>
      <c r="L55" s="6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6"/>
      <c r="L56" s="6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6"/>
      <c r="L57" s="6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6"/>
      <c r="L58" s="6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6"/>
      <c r="L59" s="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6"/>
      <c r="L60" s="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6"/>
      <c r="L61" s="6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6"/>
      <c r="L62" s="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6"/>
      <c r="L63" s="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6"/>
      <c r="L64" s="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6"/>
      <c r="L65" s="6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6"/>
      <c r="L66" s="6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6"/>
      <c r="L67" s="6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6"/>
      <c r="L68" s="6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6"/>
      <c r="L69" s="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6"/>
      <c r="L70" s="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6"/>
      <c r="L71" s="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6"/>
      <c r="L72" s="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6"/>
      <c r="L73" s="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6"/>
      <c r="L74" s="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6"/>
      <c r="L75" s="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6"/>
      <c r="L76" s="6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6"/>
      <c r="L77" s="6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6"/>
      <c r="L78" s="6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6"/>
      <c r="L79" s="6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6"/>
      <c r="L80" s="6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6"/>
      <c r="L81" s="6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6"/>
      <c r="L82" s="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6"/>
      <c r="L83" s="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6"/>
      <c r="L84" s="6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6"/>
      <c r="L85" s="6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6"/>
      <c r="L86" s="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6"/>
      <c r="L87" s="6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6"/>
      <c r="L88" s="6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6"/>
      <c r="L89" s="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6"/>
      <c r="L90" s="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6"/>
      <c r="L91" s="6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6"/>
      <c r="L92" s="6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6"/>
      <c r="L93" s="6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6"/>
      <c r="L94" s="6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6"/>
      <c r="L95" s="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6"/>
      <c r="L96" s="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6"/>
      <c r="L97" s="6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6"/>
      <c r="L98" s="6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6"/>
      <c r="L99" s="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6"/>
      <c r="L100" s="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6"/>
      <c r="L101" s="6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6"/>
      <c r="L102" s="6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6"/>
      <c r="L103" s="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6"/>
      <c r="L104" s="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6"/>
      <c r="L105" s="6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6"/>
      <c r="L106" s="6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6"/>
      <c r="L107" s="6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6"/>
      <c r="L108" s="6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6"/>
      <c r="L109" s="6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6"/>
      <c r="L110" s="6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6"/>
      <c r="L111" s="6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6"/>
      <c r="L112" s="6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6"/>
      <c r="L113" s="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6"/>
      <c r="L114" s="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6"/>
      <c r="L115" s="6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6"/>
      <c r="L116" s="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6"/>
      <c r="L117" s="6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6"/>
      <c r="L118" s="6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6"/>
      <c r="L119" s="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6"/>
      <c r="L120" s="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6"/>
      <c r="L121" s="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6"/>
      <c r="L122" s="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6"/>
      <c r="L123" s="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6"/>
      <c r="L124" s="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6"/>
      <c r="L125" s="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6"/>
      <c r="L126" s="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6"/>
      <c r="L127" s="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6"/>
      <c r="L128" s="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6"/>
      <c r="L129" s="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6"/>
      <c r="L130" s="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6"/>
      <c r="L131" s="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6"/>
      <c r="L132" s="6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6"/>
      <c r="L133" s="6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6"/>
      <c r="L134" s="6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6"/>
      <c r="L135" s="6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6"/>
      <c r="L136" s="6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6"/>
      <c r="L137" s="6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6"/>
      <c r="L138" s="6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6"/>
      <c r="L139" s="6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6"/>
      <c r="L140" s="6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6"/>
      <c r="L141" s="6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6"/>
      <c r="L142" s="6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6"/>
      <c r="L143" s="6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6"/>
      <c r="L144" s="6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6"/>
      <c r="L145" s="6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6"/>
      <c r="L146" s="6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6"/>
      <c r="L147" s="6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6"/>
      <c r="L148" s="6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6"/>
      <c r="L149" s="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6"/>
      <c r="L150" s="6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6"/>
      <c r="L151" s="6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6"/>
      <c r="L152" s="6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6"/>
      <c r="L153" s="6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6"/>
      <c r="L154" s="6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6"/>
      <c r="L155" s="6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6"/>
      <c r="L156" s="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6"/>
      <c r="L157" s="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6"/>
      <c r="L158" s="6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6"/>
      <c r="L159" s="6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6"/>
      <c r="L160" s="6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6"/>
      <c r="L161" s="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6"/>
      <c r="L162" s="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6"/>
      <c r="L163" s="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6"/>
      <c r="L164" s="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6"/>
      <c r="L165" s="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6"/>
      <c r="L166" s="6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6"/>
      <c r="L167" s="6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6"/>
      <c r="L168" s="6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6"/>
      <c r="L169" s="6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6"/>
      <c r="L170" s="6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6"/>
      <c r="L171" s="6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6"/>
      <c r="L172" s="6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6"/>
      <c r="L173" s="6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6"/>
      <c r="L174" s="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6"/>
      <c r="L175" s="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6"/>
      <c r="L176" s="6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6"/>
      <c r="L177" s="6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6"/>
      <c r="L178" s="6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6"/>
      <c r="L179" s="6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6"/>
      <c r="L180" s="6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6"/>
      <c r="L181" s="6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6"/>
      <c r="L182" s="6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6"/>
      <c r="L183" s="6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6"/>
      <c r="L184" s="6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6"/>
      <c r="L185" s="6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6"/>
      <c r="L186" s="6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6"/>
      <c r="L187" s="6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6"/>
      <c r="L188" s="6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6"/>
      <c r="L189" s="6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6"/>
      <c r="L190" s="6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6"/>
      <c r="L191" s="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6"/>
      <c r="L192" s="6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6"/>
      <c r="L193" s="6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6"/>
      <c r="L194" s="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6"/>
      <c r="L195" s="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6"/>
      <c r="L196" s="6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6"/>
      <c r="L197" s="6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6"/>
      <c r="L198" s="6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6"/>
      <c r="L199" s="6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6"/>
      <c r="L200" s="6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6"/>
      <c r="L201" s="6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6"/>
      <c r="L202" s="6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6"/>
      <c r="L203" s="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6"/>
      <c r="L204" s="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6"/>
      <c r="L205" s="6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6"/>
      <c r="L206" s="6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6"/>
      <c r="L207" s="6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6"/>
      <c r="L208" s="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6"/>
      <c r="L209" s="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6"/>
      <c r="L210" s="6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6"/>
      <c r="L211" s="6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6"/>
      <c r="L212" s="6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6"/>
      <c r="L213" s="6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6"/>
      <c r="L214" s="6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6"/>
      <c r="L215" s="6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6"/>
      <c r="L216" s="6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6"/>
      <c r="L217" s="6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6"/>
      <c r="L218" s="6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6"/>
      <c r="L219" s="6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6"/>
      <c r="L220" s="6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5"/>
    <col customWidth="1" min="13" max="13" width="4.5"/>
    <col customWidth="1" min="14" max="14" width="15.5"/>
    <col customWidth="1" min="15" max="35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6" t="s">
        <v>24</v>
      </c>
      <c r="K1" s="8" t="s">
        <v>25</v>
      </c>
      <c r="L1" s="8" t="s">
        <v>26</v>
      </c>
      <c r="M1" s="4" t="s">
        <v>27</v>
      </c>
      <c r="N1" s="4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47</v>
      </c>
      <c r="B2" s="10">
        <v>2.0</v>
      </c>
      <c r="C2" s="9">
        <v>0.0</v>
      </c>
      <c r="D2" s="9">
        <v>0.0</v>
      </c>
      <c r="E2" s="9">
        <v>0.0</v>
      </c>
      <c r="F2" s="9">
        <v>0.0</v>
      </c>
      <c r="G2" s="11">
        <v>0.0</v>
      </c>
      <c r="H2" s="7"/>
      <c r="I2" s="7"/>
      <c r="J2" s="12">
        <f>($B2*README!$C$2)+($C2*README!$C$3)+($D2*README!$C$4)+($E2*README!$C$5)+($F2*README!$C$6)</f>
        <v>200000000</v>
      </c>
      <c r="K2" s="12">
        <f>($B2*README!$C$2)+($C2*README!$C$3)+($D2*README!$C$4)+($E2*README!$C$5)+($F2*README!$C$6)-1</f>
        <v>199999999</v>
      </c>
      <c r="L2" s="12">
        <f>($B2*README!$C$2)+($C2*README!$C$3)+($D2*README!$C$4)+($E2*README!$C$5)+($F2*README!$C$6)+1</f>
        <v>200000001</v>
      </c>
      <c r="M2" s="14">
        <v>0.0</v>
      </c>
      <c r="N2" s="1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48</v>
      </c>
      <c r="B3" s="10">
        <v>2.0</v>
      </c>
      <c r="C3" s="9">
        <v>0.0</v>
      </c>
      <c r="D3" s="9">
        <v>0.0</v>
      </c>
      <c r="E3" s="9">
        <v>0.0</v>
      </c>
      <c r="F3" s="10">
        <v>1.0</v>
      </c>
      <c r="G3" s="11">
        <v>0.0</v>
      </c>
      <c r="H3" s="7"/>
      <c r="I3" s="7"/>
      <c r="J3" s="12">
        <f>($B3*README!$C$2)+($C3*README!$C$3)+($D3*README!$C$4)+($E3*README!$C$5)+($F3*README!$C$6)</f>
        <v>200000001</v>
      </c>
      <c r="K3" s="12">
        <f>($B3*README!$C$2)+($C3*README!$C$3)+($D3*README!$C$4)+($E3*README!$C$5)+($F3*README!$C$6)-1</f>
        <v>200000000</v>
      </c>
      <c r="L3" s="12">
        <f>($B3*README!$C$2)+($C3*README!$C$3)+($D3*README!$C$4)+($E3*README!$C$5)+($F3*README!$C$6)+1</f>
        <v>200000002</v>
      </c>
      <c r="M3" s="14">
        <v>1.0</v>
      </c>
      <c r="N3" s="14" t="s">
        <v>49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 t="s">
        <v>50</v>
      </c>
      <c r="B4" s="10">
        <v>2.0</v>
      </c>
      <c r="C4" s="9">
        <v>0.0</v>
      </c>
      <c r="D4" s="9">
        <v>0.0</v>
      </c>
      <c r="E4" s="9">
        <v>0.0</v>
      </c>
      <c r="F4" s="10">
        <v>2.0</v>
      </c>
      <c r="G4" s="11">
        <v>0.0</v>
      </c>
      <c r="H4" s="7"/>
      <c r="I4" s="7"/>
      <c r="J4" s="12">
        <f>($B4*README!$C$2)+($C4*README!$C$3)+($D4*README!$C$4)+($E4*README!$C$5)+($F4*README!$C$6)</f>
        <v>200000002</v>
      </c>
      <c r="K4" s="12">
        <f>($B4*README!$C$2)+($C4*README!$C$3)+($D4*README!$C$4)+($E4*README!$C$5)+($F4*README!$C$6)-1</f>
        <v>200000001</v>
      </c>
      <c r="L4" s="12">
        <f>($B4*README!$C$2)+($C4*README!$C$3)+($D4*README!$C$4)+($E4*README!$C$5)+($F4*README!$C$6)+1</f>
        <v>200000003</v>
      </c>
      <c r="M4" s="14">
        <v>1.0</v>
      </c>
      <c r="N4" s="14" t="s">
        <v>51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 t="s">
        <v>52</v>
      </c>
      <c r="B5" s="10">
        <v>2.0</v>
      </c>
      <c r="C5" s="9">
        <v>0.0</v>
      </c>
      <c r="D5" s="9">
        <v>0.0</v>
      </c>
      <c r="E5" s="9">
        <v>0.0</v>
      </c>
      <c r="F5" s="10">
        <v>3.0</v>
      </c>
      <c r="G5" s="6">
        <v>0.0</v>
      </c>
      <c r="H5" s="7"/>
      <c r="I5" s="7"/>
      <c r="J5" s="12">
        <f>($B5*README!$C$2)+($C5*README!$C$3)+($D5*README!$C$4)+($E5*README!$C$5)+($F5*README!$C$6)</f>
        <v>200000003</v>
      </c>
      <c r="K5" s="12">
        <f>($B5*README!$C$2)+($C5*README!$C$3)+($D5*README!$C$4)+($E5*README!$C$5)+($F5*README!$C$6)-1</f>
        <v>200000002</v>
      </c>
      <c r="L5" s="12">
        <f>($B5*README!$C$2)+($C5*README!$C$3)+($D5*README!$C$4)+($E5*README!$C$5)+($F5*README!$C$6)+1</f>
        <v>200000004</v>
      </c>
      <c r="M5" s="14">
        <v>1.0</v>
      </c>
      <c r="N5" s="14" t="s">
        <v>53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11"/>
      <c r="L6" s="1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11"/>
      <c r="L7" s="11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11"/>
      <c r="L8" s="11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6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6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6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6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6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6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6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6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6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6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6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6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6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6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6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6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6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6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6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6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6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6"/>
      <c r="L30" s="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6"/>
      <c r="L31" s="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6"/>
      <c r="L32" s="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6"/>
      <c r="L33" s="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6"/>
      <c r="L34" s="6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6"/>
      <c r="L35" s="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6"/>
      <c r="L36" s="6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6"/>
      <c r="L37" s="6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6"/>
      <c r="L38" s="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6"/>
      <c r="L39" s="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6"/>
      <c r="L40" s="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6"/>
      <c r="L41" s="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6"/>
      <c r="L42" s="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6"/>
      <c r="L43" s="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6"/>
      <c r="L44" s="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6"/>
      <c r="L45" s="6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6"/>
      <c r="L46" s="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6"/>
      <c r="L47" s="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6"/>
      <c r="L48" s="6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6"/>
      <c r="L49" s="6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6"/>
      <c r="L50" s="6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6"/>
      <c r="L51" s="6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6"/>
      <c r="L52" s="6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6"/>
      <c r="L53" s="6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6"/>
      <c r="L54" s="6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6"/>
      <c r="L55" s="6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6"/>
      <c r="L56" s="6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6"/>
      <c r="L57" s="6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6"/>
      <c r="L58" s="6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6"/>
      <c r="L59" s="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6"/>
      <c r="L60" s="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6"/>
      <c r="L61" s="6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6"/>
      <c r="L62" s="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6"/>
      <c r="L63" s="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6"/>
      <c r="L64" s="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6"/>
      <c r="L65" s="6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6"/>
      <c r="L66" s="6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6"/>
      <c r="L67" s="6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6"/>
      <c r="L68" s="6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6"/>
      <c r="L69" s="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6"/>
      <c r="L70" s="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6"/>
      <c r="L71" s="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6"/>
      <c r="L72" s="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6"/>
      <c r="L73" s="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6"/>
      <c r="L74" s="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6"/>
      <c r="L75" s="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6"/>
      <c r="L76" s="6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6"/>
      <c r="L77" s="6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6"/>
      <c r="L78" s="6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6"/>
      <c r="L79" s="6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6"/>
      <c r="L80" s="6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6"/>
      <c r="L81" s="6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6"/>
      <c r="L82" s="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6"/>
      <c r="L83" s="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6"/>
      <c r="L84" s="6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6"/>
      <c r="L85" s="6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6"/>
      <c r="L86" s="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6"/>
      <c r="L87" s="6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6"/>
      <c r="L88" s="6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6"/>
      <c r="L89" s="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6"/>
      <c r="L90" s="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6"/>
      <c r="L91" s="6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6"/>
      <c r="L92" s="6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6"/>
      <c r="L93" s="6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6"/>
      <c r="L94" s="6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6"/>
      <c r="L95" s="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6"/>
      <c r="L96" s="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6"/>
      <c r="L97" s="6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6"/>
      <c r="L98" s="6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6"/>
      <c r="L99" s="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6"/>
      <c r="L100" s="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6"/>
      <c r="L101" s="6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6"/>
      <c r="L102" s="6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6"/>
      <c r="L103" s="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6"/>
      <c r="L104" s="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6"/>
      <c r="L105" s="6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6"/>
      <c r="L106" s="6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6"/>
      <c r="L107" s="6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6"/>
      <c r="L108" s="6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6"/>
      <c r="L109" s="6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6"/>
      <c r="L110" s="6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6"/>
      <c r="L111" s="6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6"/>
      <c r="L112" s="6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6"/>
      <c r="L113" s="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6"/>
      <c r="L114" s="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6"/>
      <c r="L115" s="6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6"/>
      <c r="L116" s="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6"/>
      <c r="L117" s="6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6"/>
      <c r="L118" s="6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6"/>
      <c r="L119" s="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6"/>
      <c r="L120" s="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6"/>
      <c r="L121" s="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6"/>
      <c r="L122" s="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6"/>
      <c r="L123" s="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6"/>
      <c r="L124" s="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6"/>
      <c r="L125" s="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6"/>
      <c r="L126" s="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6"/>
      <c r="L127" s="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6"/>
      <c r="L128" s="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6"/>
      <c r="L129" s="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6"/>
      <c r="L130" s="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6"/>
      <c r="L131" s="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6"/>
      <c r="L132" s="6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6"/>
      <c r="L133" s="6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6"/>
      <c r="L134" s="6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6"/>
      <c r="L135" s="6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6"/>
      <c r="L136" s="6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6"/>
      <c r="L137" s="6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6"/>
      <c r="L138" s="6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6"/>
      <c r="L139" s="6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6"/>
      <c r="L140" s="6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6"/>
      <c r="L141" s="6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6"/>
      <c r="L142" s="6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6"/>
      <c r="L143" s="6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6"/>
      <c r="L144" s="6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6"/>
      <c r="L145" s="6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6"/>
      <c r="L146" s="6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6"/>
      <c r="L147" s="6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6"/>
      <c r="L148" s="6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6"/>
      <c r="L149" s="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6"/>
      <c r="L150" s="6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6"/>
      <c r="L151" s="6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6"/>
      <c r="L152" s="6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6"/>
      <c r="L153" s="6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6"/>
      <c r="L154" s="6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6"/>
      <c r="L155" s="6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6"/>
      <c r="L156" s="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6"/>
      <c r="L157" s="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6"/>
      <c r="L158" s="6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6"/>
      <c r="L159" s="6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6"/>
      <c r="L160" s="6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6"/>
      <c r="L161" s="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6"/>
      <c r="L162" s="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6"/>
      <c r="L163" s="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6"/>
      <c r="L164" s="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6"/>
      <c r="L165" s="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6"/>
      <c r="L166" s="6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6"/>
      <c r="L167" s="6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6"/>
      <c r="L168" s="6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6"/>
      <c r="L169" s="6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6"/>
      <c r="L170" s="6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6"/>
      <c r="L171" s="6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6"/>
      <c r="L172" s="6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6"/>
      <c r="L173" s="6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6"/>
      <c r="L174" s="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6"/>
      <c r="L175" s="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6"/>
      <c r="L176" s="6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6"/>
      <c r="L177" s="6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6"/>
      <c r="L178" s="6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6"/>
      <c r="L179" s="6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6"/>
      <c r="L180" s="6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6"/>
      <c r="L181" s="6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6"/>
      <c r="L182" s="6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6"/>
      <c r="L183" s="6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6"/>
      <c r="L184" s="6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6"/>
      <c r="L185" s="6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6"/>
      <c r="L186" s="6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6"/>
      <c r="L187" s="6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6"/>
      <c r="L188" s="6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6"/>
      <c r="L189" s="6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6"/>
      <c r="L190" s="6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6"/>
      <c r="L191" s="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6"/>
      <c r="L192" s="6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6"/>
      <c r="L193" s="6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6"/>
      <c r="L194" s="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6"/>
      <c r="L195" s="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6"/>
      <c r="L196" s="6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6"/>
      <c r="L197" s="6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6"/>
      <c r="L198" s="6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6"/>
      <c r="L199" s="6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6"/>
      <c r="L200" s="6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6"/>
      <c r="L201" s="6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6"/>
      <c r="L202" s="6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6"/>
      <c r="L203" s="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6"/>
      <c r="L204" s="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6"/>
      <c r="L205" s="6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6"/>
      <c r="L206" s="6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6"/>
      <c r="L207" s="6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6"/>
      <c r="L208" s="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6"/>
      <c r="L209" s="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6"/>
      <c r="L210" s="6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6"/>
      <c r="L211" s="6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6"/>
      <c r="L212" s="6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6"/>
      <c r="L213" s="6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6"/>
      <c r="L214" s="6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6"/>
      <c r="L215" s="6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6"/>
      <c r="L216" s="6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6"/>
      <c r="L217" s="6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6"/>
      <c r="L218" s="6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6"/>
      <c r="L219" s="6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6"/>
      <c r="L220" s="6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5"/>
    <col customWidth="1" min="13" max="13" width="4.5"/>
    <col customWidth="1" min="14" max="14" width="34.75"/>
    <col customWidth="1" min="15" max="35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6" t="s">
        <v>24</v>
      </c>
      <c r="K1" s="8" t="s">
        <v>25</v>
      </c>
      <c r="L1" s="8" t="s">
        <v>26</v>
      </c>
      <c r="M1" s="4" t="s">
        <v>27</v>
      </c>
      <c r="N1" s="4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54</v>
      </c>
      <c r="B2" s="10">
        <v>3.0</v>
      </c>
      <c r="C2" s="9">
        <v>0.0</v>
      </c>
      <c r="D2" s="9">
        <v>0.0</v>
      </c>
      <c r="E2" s="9">
        <v>0.0</v>
      </c>
      <c r="F2" s="9">
        <v>0.0</v>
      </c>
      <c r="G2" s="11">
        <v>0.0</v>
      </c>
      <c r="H2" s="7"/>
      <c r="I2" s="7"/>
      <c r="J2" s="12">
        <f>($B2*README!$C$2)+($C2*README!$C$3)+($D2*README!$C$4)+($E2*README!$C$5)+($F2*README!$C$6)</f>
        <v>300000000</v>
      </c>
      <c r="K2" s="12">
        <f>($B2*README!$C$2)+($C2*README!$C$3)+($D2*README!$C$4)+($E2*README!$C$5)+($F2*README!$C$6)-1</f>
        <v>299999999</v>
      </c>
      <c r="L2" s="12">
        <f>($B2*README!$C$2)+($C2*README!$C$3)+($D2*README!$C$4)+($E2*README!$C$5)+($F2*README!$C$6)+1</f>
        <v>300000001</v>
      </c>
      <c r="M2" s="14">
        <v>0.0</v>
      </c>
      <c r="N2" s="1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48</v>
      </c>
      <c r="B3" s="10">
        <v>3.0</v>
      </c>
      <c r="C3" s="9">
        <v>0.0</v>
      </c>
      <c r="D3" s="9">
        <v>0.0</v>
      </c>
      <c r="E3" s="9">
        <v>0.0</v>
      </c>
      <c r="F3" s="10">
        <v>1.0</v>
      </c>
      <c r="G3" s="11">
        <v>0.0</v>
      </c>
      <c r="H3" s="7"/>
      <c r="I3" s="7"/>
      <c r="J3" s="12">
        <f>($B3*README!$C$2)+($C3*README!$C$3)+($D3*README!$C$4)+($E3*README!$C$5)+($F3*README!$C$6)</f>
        <v>300000001</v>
      </c>
      <c r="K3" s="12">
        <f>($B3*README!$C$2)+($C3*README!$C$3)+($D3*README!$C$4)+($E3*README!$C$5)+($F3*README!$C$6)-1</f>
        <v>300000000</v>
      </c>
      <c r="L3" s="12">
        <f>($B3*README!$C$2)+($C3*README!$C$3)+($D3*README!$C$4)+($E3*README!$C$5)+($F3*README!$C$6)+1</f>
        <v>300000002</v>
      </c>
      <c r="M3" s="14">
        <v>1.0</v>
      </c>
      <c r="N3" s="14" t="s">
        <v>55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 t="s">
        <v>50</v>
      </c>
      <c r="B4" s="10">
        <v>3.0</v>
      </c>
      <c r="C4" s="9">
        <v>0.0</v>
      </c>
      <c r="D4" s="9">
        <v>0.0</v>
      </c>
      <c r="E4" s="9">
        <v>0.0</v>
      </c>
      <c r="F4" s="10">
        <v>2.0</v>
      </c>
      <c r="G4" s="11">
        <v>0.0</v>
      </c>
      <c r="H4" s="7"/>
      <c r="I4" s="7"/>
      <c r="J4" s="12">
        <f>($B4*README!$C$2)+($C4*README!$C$3)+($D4*README!$C$4)+($E4*README!$C$5)+($F4*README!$C$6)</f>
        <v>300000002</v>
      </c>
      <c r="K4" s="12">
        <f>($B4*README!$C$2)+($C4*README!$C$3)+($D4*README!$C$4)+($E4*README!$C$5)+($F4*README!$C$6)-1</f>
        <v>300000001</v>
      </c>
      <c r="L4" s="12">
        <f>($B4*README!$C$2)+($C4*README!$C$3)+($D4*README!$C$4)+($E4*README!$C$5)+($F4*README!$C$6)+1</f>
        <v>300000003</v>
      </c>
      <c r="M4" s="14">
        <v>1.0</v>
      </c>
      <c r="N4" s="14" t="s">
        <v>56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 t="s">
        <v>52</v>
      </c>
      <c r="B5" s="10">
        <v>3.0</v>
      </c>
      <c r="C5" s="9">
        <v>0.0</v>
      </c>
      <c r="D5" s="9">
        <v>0.0</v>
      </c>
      <c r="E5" s="9">
        <v>0.0</v>
      </c>
      <c r="F5" s="10">
        <v>3.0</v>
      </c>
      <c r="G5" s="6">
        <v>0.0</v>
      </c>
      <c r="H5" s="7"/>
      <c r="I5" s="7"/>
      <c r="J5" s="12">
        <f>($B5*README!$C$2)+($C5*README!$C$3)+($D5*README!$C$4)+($E5*README!$C$5)+($F5*README!$C$6)</f>
        <v>300000003</v>
      </c>
      <c r="K5" s="12">
        <f>($B5*README!$C$2)+($C5*README!$C$3)+($D5*README!$C$4)+($E5*README!$C$5)+($F5*README!$C$6)-1</f>
        <v>300000002</v>
      </c>
      <c r="L5" s="12">
        <f>($B5*README!$C$2)+($C5*README!$C$3)+($D5*README!$C$4)+($E5*README!$C$5)+($F5*README!$C$6)+1</f>
        <v>300000004</v>
      </c>
      <c r="M5" s="14">
        <v>1.0</v>
      </c>
      <c r="N5" s="14" t="s">
        <v>57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11"/>
      <c r="L6" s="1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11"/>
      <c r="L7" s="11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11"/>
      <c r="L8" s="11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6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6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6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6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6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6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6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6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6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6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6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6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6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6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6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6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6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6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6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6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6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6"/>
      <c r="L30" s="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6"/>
      <c r="L31" s="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6"/>
      <c r="L32" s="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6"/>
      <c r="L33" s="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6"/>
      <c r="L34" s="6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6"/>
      <c r="L35" s="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6"/>
      <c r="L36" s="6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6"/>
      <c r="L37" s="6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6"/>
      <c r="L38" s="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6"/>
      <c r="L39" s="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6"/>
      <c r="L40" s="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6"/>
      <c r="L41" s="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6"/>
      <c r="L42" s="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6"/>
      <c r="L43" s="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6"/>
      <c r="L44" s="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6"/>
      <c r="L45" s="6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6"/>
      <c r="L46" s="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6"/>
      <c r="L47" s="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6"/>
      <c r="L48" s="6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6"/>
      <c r="L49" s="6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6"/>
      <c r="L50" s="6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6"/>
      <c r="L51" s="6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6"/>
      <c r="L52" s="6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6"/>
      <c r="L53" s="6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6"/>
      <c r="L54" s="6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6"/>
      <c r="L55" s="6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6"/>
      <c r="L56" s="6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6"/>
      <c r="L57" s="6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6"/>
      <c r="L58" s="6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6"/>
      <c r="L59" s="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6"/>
      <c r="L60" s="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6"/>
      <c r="L61" s="6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6"/>
      <c r="L62" s="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6"/>
      <c r="L63" s="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6"/>
      <c r="L64" s="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6"/>
      <c r="L65" s="6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6"/>
      <c r="L66" s="6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6"/>
      <c r="L67" s="6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6"/>
      <c r="L68" s="6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6"/>
      <c r="L69" s="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6"/>
      <c r="L70" s="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6"/>
      <c r="L71" s="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6"/>
      <c r="L72" s="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6"/>
      <c r="L73" s="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6"/>
      <c r="L74" s="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6"/>
      <c r="L75" s="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6"/>
      <c r="L76" s="6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6"/>
      <c r="L77" s="6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6"/>
      <c r="L78" s="6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6"/>
      <c r="L79" s="6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6"/>
      <c r="L80" s="6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6"/>
      <c r="L81" s="6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6"/>
      <c r="L82" s="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6"/>
      <c r="L83" s="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6"/>
      <c r="L84" s="6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6"/>
      <c r="L85" s="6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6"/>
      <c r="L86" s="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6"/>
      <c r="L87" s="6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6"/>
      <c r="L88" s="6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6"/>
      <c r="L89" s="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6"/>
      <c r="L90" s="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6"/>
      <c r="L91" s="6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6"/>
      <c r="L92" s="6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6"/>
      <c r="L93" s="6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6"/>
      <c r="L94" s="6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6"/>
      <c r="L95" s="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6"/>
      <c r="L96" s="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6"/>
      <c r="L97" s="6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6"/>
      <c r="L98" s="6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6"/>
      <c r="L99" s="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6"/>
      <c r="L100" s="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6"/>
      <c r="L101" s="6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6"/>
      <c r="L102" s="6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6"/>
      <c r="L103" s="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6"/>
      <c r="L104" s="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6"/>
      <c r="L105" s="6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6"/>
      <c r="L106" s="6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6"/>
      <c r="L107" s="6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6"/>
      <c r="L108" s="6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6"/>
      <c r="L109" s="6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6"/>
      <c r="L110" s="6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6"/>
      <c r="L111" s="6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6"/>
      <c r="L112" s="6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6"/>
      <c r="L113" s="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6"/>
      <c r="L114" s="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6"/>
      <c r="L115" s="6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6"/>
      <c r="L116" s="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6"/>
      <c r="L117" s="6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6"/>
      <c r="L118" s="6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6"/>
      <c r="L119" s="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6"/>
      <c r="L120" s="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6"/>
      <c r="L121" s="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6"/>
      <c r="L122" s="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6"/>
      <c r="L123" s="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6"/>
      <c r="L124" s="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6"/>
      <c r="L125" s="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6"/>
      <c r="L126" s="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6"/>
      <c r="L127" s="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6"/>
      <c r="L128" s="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6"/>
      <c r="L129" s="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6"/>
      <c r="L130" s="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6"/>
      <c r="L131" s="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6"/>
      <c r="L132" s="6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6"/>
      <c r="L133" s="6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6"/>
      <c r="L134" s="6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6"/>
      <c r="L135" s="6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6"/>
      <c r="L136" s="6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6"/>
      <c r="L137" s="6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6"/>
      <c r="L138" s="6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6"/>
      <c r="L139" s="6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6"/>
      <c r="L140" s="6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6"/>
      <c r="L141" s="6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6"/>
      <c r="L142" s="6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6"/>
      <c r="L143" s="6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6"/>
      <c r="L144" s="6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6"/>
      <c r="L145" s="6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6"/>
      <c r="L146" s="6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6"/>
      <c r="L147" s="6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6"/>
      <c r="L148" s="6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6"/>
      <c r="L149" s="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6"/>
      <c r="L150" s="6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6"/>
      <c r="L151" s="6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6"/>
      <c r="L152" s="6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6"/>
      <c r="L153" s="6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6"/>
      <c r="L154" s="6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6"/>
      <c r="L155" s="6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6"/>
      <c r="L156" s="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6"/>
      <c r="L157" s="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6"/>
      <c r="L158" s="6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6"/>
      <c r="L159" s="6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6"/>
      <c r="L160" s="6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6"/>
      <c r="L161" s="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6"/>
      <c r="L162" s="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6"/>
      <c r="L163" s="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6"/>
      <c r="L164" s="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6"/>
      <c r="L165" s="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6"/>
      <c r="L166" s="6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6"/>
      <c r="L167" s="6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6"/>
      <c r="L168" s="6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6"/>
      <c r="L169" s="6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6"/>
      <c r="L170" s="6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6"/>
      <c r="L171" s="6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6"/>
      <c r="L172" s="6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6"/>
      <c r="L173" s="6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6"/>
      <c r="L174" s="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6"/>
      <c r="L175" s="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6"/>
      <c r="L176" s="6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6"/>
      <c r="L177" s="6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6"/>
      <c r="L178" s="6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6"/>
      <c r="L179" s="6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6"/>
      <c r="L180" s="6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6"/>
      <c r="L181" s="6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6"/>
      <c r="L182" s="6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6"/>
      <c r="L183" s="6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6"/>
      <c r="L184" s="6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6"/>
      <c r="L185" s="6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6"/>
      <c r="L186" s="6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6"/>
      <c r="L187" s="6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6"/>
      <c r="L188" s="6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6"/>
      <c r="L189" s="6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6"/>
      <c r="L190" s="6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6"/>
      <c r="L191" s="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6"/>
      <c r="L192" s="6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6"/>
      <c r="L193" s="6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6"/>
      <c r="L194" s="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6"/>
      <c r="L195" s="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6"/>
      <c r="L196" s="6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6"/>
      <c r="L197" s="6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6"/>
      <c r="L198" s="6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6"/>
      <c r="L199" s="6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6"/>
      <c r="L200" s="6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6"/>
      <c r="L201" s="6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6"/>
      <c r="L202" s="6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6"/>
      <c r="L203" s="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6"/>
      <c r="L204" s="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6"/>
      <c r="L205" s="6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6"/>
      <c r="L206" s="6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6"/>
      <c r="L207" s="6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6"/>
      <c r="L208" s="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6"/>
      <c r="L209" s="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6"/>
      <c r="L210" s="6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6"/>
      <c r="L211" s="6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6"/>
      <c r="L212" s="6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6"/>
      <c r="L213" s="6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6"/>
      <c r="L214" s="6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6"/>
      <c r="L215" s="6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6"/>
      <c r="L216" s="6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6"/>
      <c r="L217" s="6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6"/>
      <c r="L218" s="6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6"/>
      <c r="L219" s="6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6"/>
      <c r="L220" s="6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