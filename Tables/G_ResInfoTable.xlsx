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<sst xmlns="http://schemas.openxmlformats.org/spreadsheetml/2006/main" count="356" uniqueCount="265">
  <si>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</si>
  <si>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</si>
  <si>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</si>
  <si>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</si>
  <si>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</si>
  <si>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</si>
  <si>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</si>
  <si>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</si>
  <si>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</si>
  <si>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</si>
  <si>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</si>
  <si>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</si>
  <si>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</si>
  <si>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</si>
  <si>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</si>
  <si>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</si>
  <si>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</si>
  <si>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</si>
  <si>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</si>
  <si>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</si>
  <si>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</si>
  <si>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</si>
  <si>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</si>
  <si>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</si>
  <si>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</si>
  <si>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</si>
  <si>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</si>
  <si>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</si>
  <si>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</si>
  <si>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</si>
  <si>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</si>
  <si>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</si>
  <si>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</si>
  <si>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</si>
  <si>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</si>
  <si>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</si>
  <si>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</si>
  <si>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</si>
  <si>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</si>
  <si>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</si>
  <si>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</si>
  <si>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</si>
  <si>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</si>
  <si>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</si>
  <si>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</si>
  <si>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</si>
  <si>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</si>
  <si>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</si>
  <si>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</si>
  <si>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</si>
  <si>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</si>
  <si>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</si>
  <si>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</si>
  <si>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</si>
  <si>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</si>
  <si>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</si>
  <si>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</si>
  <si>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</si>
  <si>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</si>
  <si>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</si>
  <si>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</si>
  <si>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</si>
  <si>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</si>
  <si>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</si>
  <si>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</si>
  <si>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</si>
  <si>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</si>
  <si>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</si>
  <si>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</si>
  <si>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</si>
  <si>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</si>
  <si>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</si>
  <si>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</si>
  <si>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</si>
  <si>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</si>
  <si>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</si>
  <si>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</si>
  <si>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</si>
  <si>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</si>
  <si>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</si>
  <si>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</si>
  <si>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</si>
  <si>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</si>
  <si>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</si>
  <si>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</si>
  <si>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</si>
  <si>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</si>
  <si>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</si>
  <si>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</si>
  <si>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</si>
  <si>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</si>
  <si>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</si>
  <si>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공격 범위 - 1</t>
  </si>
  <si>
    <t>G_SpriteAtlas_01</t>
  </si>
  <si>
    <t>Images/G_SpriteAtlas_01</t>
  </si>
  <si>
    <t>공격 범위 - 2</t>
  </si>
  <si>
    <t>G_SpriteAtlas_02</t>
  </si>
  <si>
    <t>Images/G_SpriteAtlas_02</t>
  </si>
  <si>
    <t>인식 범위 - 1</t>
  </si>
  <si>
    <t>G_SpriteAtlas_03</t>
  </si>
  <si>
    <t>Images/G_SpriteAtlas_03</t>
  </si>
  <si>
    <t>인식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</si>
  <si>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</si>
  <si>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</si>
  <si>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</si>
  <si>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</si>
  <si>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</si>
  <si>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</si>
  <si>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</si>
  <si>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</si>
  <si>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</si>
  <si>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</si>
  <si>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</si>
  <si>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</si>
  <si>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</si>
  <si>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</si>
  <si>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</si>
  <si>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</si>
  <si>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</si>
  <si>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</si>
  <si>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</si>
  <si>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</si>
  <si>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</si>
  <si>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</si>
  <si>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</si>
  <si>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</si>
  <si>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</si>
  <si>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</si>
  <si>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</si>
  <si>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</si>
  <si>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</si>
  <si>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</si>
  <si>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</si>
  <si>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</si>
  <si>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</si>
  <si>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</si>
  <si>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스킬 딜레이 - 1</t>
  </si>
  <si>
    <t>U_SpriteAtlas_07</t>
  </si>
  <si>
    <t>Images/U_SpriteAtlas_07</t>
  </si>
  <si>
    <t>스킬 딜레이 - 2</t>
  </si>
  <si>
    <t>U_SpriteAtlas_08</t>
  </si>
  <si>
    <t>Images/U_SpriteAtlas_08</t>
  </si>
  <si>
    <t>U_SpriteAtlas_09</t>
  </si>
  <si>
    <t>Images/U_SpriteAtlas_09</t>
  </si>
  <si>
    <t>확률 - 1</t>
  </si>
  <si>
    <t>확률 - 2</t>
  </si>
  <si>
    <t>EG_SpriteAtlas_01</t>
  </si>
  <si>
    <t>Images/EG_SpriteAtlas_01</t>
  </si>
  <si>
    <t>명중 확률 - 1</t>
  </si>
  <si>
    <t>EG_SpriteAtlas_02</t>
  </si>
  <si>
    <t>Images/EG_SpriteAtlas_02</t>
  </si>
  <si>
    <t>명중 확률 - 2</t>
  </si>
  <si>
    <t>EG_SpriteAtlas_03</t>
  </si>
  <si>
    <t>Images/EG_SpriteAtlas_03</t>
  </si>
  <si>
    <t>회피 확룰 - 1</t>
  </si>
  <si>
    <t>EG_SpriteAtlas_04</t>
  </si>
  <si>
    <t>Images/EG_SpriteAtlas_04</t>
  </si>
  <si>
    <t>회피 확룰 - 2</t>
  </si>
  <si>
    <t>EG_SpriteAtlas_05</t>
  </si>
  <si>
    <t>Images/EG_SpriteAtlas_05</t>
  </si>
  <si>
    <t>크리티컬 확률 - 1</t>
  </si>
  <si>
    <t>EG_SpriteAtlas_06</t>
  </si>
  <si>
    <t>Images/EG_SpriteAtlas_06</t>
  </si>
  <si>
    <t>크리티컬 확률 - 2</t>
  </si>
  <si>
    <t>EG_SpriteAtlas_07</t>
  </si>
  <si>
    <t>Images/EG_SpriteAtlas_07</t>
  </si>
  <si>
    <t>EG_SpriteAtlas_08</t>
  </si>
  <si>
    <t>Images/EG_SpriteAtlas_08</t>
  </si>
  <si>
    <t>레벨 증가</t>
  </si>
  <si>
    <t>EG_SpriteAtlas_09</t>
  </si>
  <si>
    <t>Images/EG_SpriteAtlas_09</t>
  </si>
  <si>
    <t>경험치 증가</t>
  </si>
  <si>
    <t>개수 증가</t>
  </si>
  <si>
    <t>텍스처 기본 경로</t>
  </si>
  <si>
    <t>강화 증가</t>
  </si>
  <si>
    <t>Textures/Global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</si>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</sst>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136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137</v>
      </c>
      <c r="B57" s="25" t="s">
        <v>138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139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140</v>
      </c>
      <c r="B58" s="25" t="s">
        <v>141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142</v>
      </c>
      <c r="B59" s="25" t="s">
        <v>143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144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145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160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161</v>
      </c>
      <c r="B66" s="25" t="s">
        <v>162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163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164</v>
      </c>
      <c r="B67" s="25" t="s">
        <v>165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166</v>
      </c>
      <c r="B68" s="25" t="s">
        <v>167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168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169</v>
      </c>
      <c r="B69" s="25" t="s">
        <v>170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171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172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173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174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175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176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177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178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179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180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181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182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183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184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185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186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187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188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189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190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191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192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193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194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195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196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197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198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199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200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201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202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203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204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205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206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207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208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209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210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211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212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213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214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215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216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217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218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219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220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221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222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223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224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225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226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227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228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229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230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231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13"/>
    <col customWidth="1" min="14" max="15" width="11.5"/>
    <col customWidth="1" min="16" max="16" width="4.5"/>
    <col customWidth="1" min="17" max="17" width="28.63"/>
    <col customWidth="1" min="18" max="37" width="12.63"/>
  </cols>
  <sheetData>
    <row r="1">
      <c r="A1" s="1" t="s">
        <v>232</v>
      </c>
      <c r="B1" s="2" t="s">
        <v>233</v>
      </c>
      <c r="C1" s="2" t="s">
        <v>234</v>
      </c>
      <c r="D1" s="2" t="s">
        <v>235</v>
      </c>
      <c r="E1" s="2" t="s">
        <v>236</v>
      </c>
      <c r="F1" s="2" t="s">
        <v>237</v>
      </c>
      <c r="G1" s="33" t="s">
        <v>238</v>
      </c>
      <c r="H1" s="34" t="s">
        <v>239</v>
      </c>
      <c r="I1" s="34" t="s">
        <v>240</v>
      </c>
      <c r="J1" s="34" t="s">
        <v>241</v>
      </c>
      <c r="K1" s="26" t="s">
        <v>242</v>
      </c>
      <c r="L1" s="26" t="s">
        <v>243</v>
      </c>
      <c r="M1" s="33" t="s">
        <v>244</v>
      </c>
      <c r="N1" s="33" t="s">
        <v>245</v>
      </c>
      <c r="O1" s="33" t="s">
        <v>246</v>
      </c>
      <c r="P1" s="35" t="s">
        <v>247</v>
      </c>
      <c r="Q1" s="35" t="s">
        <v>248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249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8">
        <v>1.0</v>
      </c>
      <c r="Q2" s="35" t="str">
        <f>JOIN("/", README!$B$33, "G_BGM_TitleScene")</f>
        <v>Sounds/Global/G_BGM_TitleScene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250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8">
        <v>1.0</v>
      </c>
      <c r="Q3" s="35" t="str">
        <f>JOIN("/", README!$B$33, "G_BGM_MainScene")</f>
        <v>Sounds/Global/G_BGM_MainScene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6" t="s">
        <v>251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8">
        <v>1.0</v>
      </c>
      <c r="Q4" s="35" t="str">
        <f>JOIN("/", README!$B$33, "G_BGM_GameScene")</f>
        <v>Sounds/Global/G_BGM_GameScene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6" t="s">
        <v>252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7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</v>
      </c>
      <c r="N6" s="14">
        <f>IF($A6="", -1, ($B6*README!$B$2)+($C6*README!$B$3)+($D6*README!$B$4)+($E6*README!$B$5)+($F6*README!$B$6)-1)</f>
        <v>99999</v>
      </c>
      <c r="O6" s="14">
        <f>IF($A6="", -1, ($B6*README!$B$2)+($C6*README!$B$3)+($D6*README!$B$4)+($E6*README!$B$5)+($F6*README!$B$6)+1)</f>
        <v>100001</v>
      </c>
      <c r="P6" s="38">
        <v>1.0</v>
      </c>
      <c r="Q6" s="35" t="str">
        <f>JOIN("/", README!$B$33, "G_SFX_TouchBegin")</f>
        <v>Sounds/Global/G_SFX_TouchBegin</v>
      </c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6" t="s">
        <v>253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7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</v>
      </c>
      <c r="N7" s="14">
        <f>IF($A7="", -1, ($B7*README!$B$2)+($C7*README!$B$3)+($D7*README!$B$4)+($E7*README!$B$5)+($F7*README!$B$6)-1)</f>
        <v>100099</v>
      </c>
      <c r="O7" s="14">
        <f>IF($A7="", -1, ($B7*README!$B$2)+($C7*README!$B$3)+($D7*README!$B$4)+($E7*README!$B$5)+($F7*README!$B$6)+1)</f>
        <v>100101</v>
      </c>
      <c r="P7" s="38">
        <v>1.0</v>
      </c>
      <c r="Q7" s="35" t="str">
        <f>JOIN("/", README!$B$33, "G_SFX_TouchEnd")</f>
        <v>Sounds/Global/G_SFX_TouchEnd</v>
      </c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14"/>
      <c r="N8" s="14"/>
      <c r="O8" s="14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6" t="s">
        <v>254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7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200000</v>
      </c>
      <c r="N9" s="14">
        <f>IF($A9="", -1, ($B9*README!$B$2)+($C9*README!$B$3)+($D9*README!$B$4)+($E9*README!$B$5)+($F9*README!$B$6)-1)</f>
        <v>199999</v>
      </c>
      <c r="O9" s="14">
        <f>IF($A9="", -1, ($B9*README!$B$2)+($C9*README!$B$3)+($D9*README!$B$4)+($E9*README!$B$5)+($F9*README!$B$6)+1)</f>
        <v>200001</v>
      </c>
      <c r="P9" s="38">
        <v>1.0</v>
      </c>
      <c r="Q9" s="35" t="str">
        <f>JOIN("/", README!$B$33, "G_SFX_PopupShow")</f>
        <v>Sounds/Global/G_SFX_PopupShow</v>
      </c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6" t="s">
        <v>255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7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200100</v>
      </c>
      <c r="N10" s="14">
        <f>IF($A10="", -1, ($B10*README!$B$2)+($C10*README!$B$3)+($D10*README!$B$4)+($E10*README!$B$5)+($F10*README!$B$6)-1)</f>
        <v>200099</v>
      </c>
      <c r="O10" s="14">
        <f>IF($A10="", -1, ($B10*README!$B$2)+($C10*README!$B$3)+($D10*README!$B$4)+($E10*README!$B$5)+($F10*README!$B$6)+1)</f>
        <v>200101</v>
      </c>
      <c r="P10" s="38">
        <v>1.0</v>
      </c>
      <c r="Q10" s="35" t="str">
        <f>JOIN("/", README!$B$33, "G_SFX_PopupClose")</f>
        <v>Sounds/Global/G_SFX_PopupClose</v>
      </c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7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7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7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7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7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7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7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7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7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7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7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7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7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7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7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7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7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7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7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7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7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7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7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7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7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7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7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7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7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7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7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7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7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7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7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7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7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7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7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7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7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7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7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7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7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7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7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7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7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7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7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7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7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7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7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7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7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7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7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7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7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7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7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7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7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7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7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7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7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7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7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7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7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7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7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7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7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7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7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7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7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7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7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7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7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7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7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7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7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7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7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7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7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7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7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7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7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7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7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7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7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7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7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7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7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7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7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7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7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7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7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7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7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7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7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7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7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7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7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7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7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7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7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7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7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7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7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7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7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7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7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7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7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7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7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7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7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7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7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7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7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7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7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7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7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7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7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7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7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7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7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7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7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7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7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7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7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7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7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7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7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7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7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7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7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7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7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7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7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7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7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7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7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7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7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7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7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7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7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7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7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7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7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7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7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7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7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7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7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7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7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7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7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7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7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7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7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7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7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7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7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7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7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7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7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7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7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7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7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7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35"/>
      <c r="B221" s="15"/>
      <c r="C221" s="15"/>
      <c r="D221" s="15"/>
      <c r="E221" s="15"/>
      <c r="F221" s="15"/>
      <c r="G221" s="37"/>
      <c r="H221" s="39"/>
      <c r="I221" s="1"/>
      <c r="J221" s="1"/>
      <c r="K221" s="26"/>
      <c r="L221" s="26"/>
      <c r="M221" s="37"/>
      <c r="N221" s="37"/>
      <c r="O221" s="37"/>
      <c r="P221" s="38"/>
      <c r="Q221" s="35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0"/>
    </row>
    <row r="222">
      <c r="A222" s="35"/>
      <c r="B222" s="15"/>
      <c r="C222" s="15"/>
      <c r="D222" s="15"/>
      <c r="E222" s="15"/>
      <c r="F222" s="15"/>
      <c r="G222" s="37"/>
      <c r="H222" s="39"/>
      <c r="I222" s="1"/>
      <c r="J222" s="1"/>
      <c r="K222" s="26"/>
      <c r="L222" s="26"/>
      <c r="M222" s="37"/>
      <c r="N222" s="37"/>
      <c r="O222" s="37"/>
      <c r="P222" s="38"/>
      <c r="Q222" s="35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0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1.88"/>
    <col customWidth="1" min="18" max="37" width="12.63"/>
  </cols>
  <sheetData>
    <row r="1">
      <c r="A1" s="1" t="s">
        <v>232</v>
      </c>
      <c r="B1" s="2" t="s">
        <v>233</v>
      </c>
      <c r="C1" s="2" t="s">
        <v>234</v>
      </c>
      <c r="D1" s="2" t="s">
        <v>235</v>
      </c>
      <c r="E1" s="2" t="s">
        <v>236</v>
      </c>
      <c r="F1" s="2" t="s">
        <v>237</v>
      </c>
      <c r="G1" s="33" t="s">
        <v>238</v>
      </c>
      <c r="H1" s="34" t="s">
        <v>239</v>
      </c>
      <c r="I1" s="34" t="s">
        <v>240</v>
      </c>
      <c r="J1" s="34" t="s">
        <v>241</v>
      </c>
      <c r="K1" s="26" t="s">
        <v>242</v>
      </c>
      <c r="L1" s="26" t="s">
        <v>243</v>
      </c>
      <c r="M1" s="33" t="s">
        <v>244</v>
      </c>
      <c r="N1" s="33" t="s">
        <v>245</v>
      </c>
      <c r="O1" s="33" t="s">
        <v>246</v>
      </c>
      <c r="P1" s="35" t="s">
        <v>247</v>
      </c>
      <c r="Q1" s="35" t="s">
        <v>248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256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8">
        <v>0.0</v>
      </c>
      <c r="Q2" s="35" t="str">
        <f>JOIN("/", README!$B$36, "G_KoreanFont")</f>
        <v>Fonts/Global/G_KoreanFont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257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38">
        <v>0.0</v>
      </c>
      <c r="Q3" s="35" t="str">
        <f>JOIN("/", README!$B$36, "G_EnglishFont")</f>
        <v>Fonts/Global/G_EnglishFont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38"/>
      <c r="N4" s="37"/>
      <c r="O4" s="37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40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40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232</v>
      </c>
      <c r="B1" s="2" t="s">
        <v>233</v>
      </c>
      <c r="C1" s="2" t="s">
        <v>234</v>
      </c>
      <c r="D1" s="2" t="s">
        <v>235</v>
      </c>
      <c r="E1" s="2" t="s">
        <v>236</v>
      </c>
      <c r="F1" s="2" t="s">
        <v>237</v>
      </c>
      <c r="G1" s="33" t="s">
        <v>238</v>
      </c>
      <c r="H1" s="34" t="s">
        <v>239</v>
      </c>
      <c r="I1" s="34" t="s">
        <v>240</v>
      </c>
      <c r="J1" s="34" t="s">
        <v>241</v>
      </c>
      <c r="K1" s="26" t="s">
        <v>242</v>
      </c>
      <c r="L1" s="26" t="s">
        <v>243</v>
      </c>
      <c r="M1" s="33" t="s">
        <v>244</v>
      </c>
      <c r="N1" s="33" t="s">
        <v>245</v>
      </c>
      <c r="O1" s="33" t="s">
        <v>246</v>
      </c>
      <c r="P1" s="35" t="s">
        <v>247</v>
      </c>
      <c r="Q1" s="35" t="s">
        <v>248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258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8">
        <v>1.0</v>
      </c>
      <c r="Q2" s="35" t="str">
        <f>JOIN("/", README!$B$51, "U_SA_01_White")</f>
        <v>Images/U_SpriteAtlas_01/U_SA_01_White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259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200000001</v>
      </c>
      <c r="N3" s="14">
        <f>IF($A3="", -1, ($B3*README!$B$2)+($C3*README!$B$3)+($D3*README!$B$4)+($E3*README!$B$5)+($F3*README!$B$6)-1)</f>
        <v>200000000</v>
      </c>
      <c r="O3" s="14">
        <f>IF($A3="", -1, ($B3*README!$B$2)+($C3*README!$B$3)+($D3*README!$B$4)+($E3*README!$B$5)+($F3*README!$B$6)+1)</f>
        <v>200000002</v>
      </c>
      <c r="P3" s="38">
        <v>1.0</v>
      </c>
      <c r="Q3" s="35" t="str">
        <f>JOIN("/", README!$B$51, "U_SA_01_Splash")</f>
        <v>Images/U_SpriteAtlas_01/U_SA_01_Splash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260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200000002</v>
      </c>
      <c r="N4" s="14">
        <f>IF($A4="", -1, ($B4*README!$B$2)+($C4*README!$B$3)+($D4*README!$B$4)+($E4*README!$B$5)+($F4*README!$B$6)-1)</f>
        <v>200000001</v>
      </c>
      <c r="O4" s="14">
        <f>IF($A4="", -1, ($B4*README!$B$2)+($C4*README!$B$3)+($D4*README!$B$4)+($E4*README!$B$5)+($F4*README!$B$6)+1)</f>
        <v>200000003</v>
      </c>
      <c r="P4" s="38">
        <v>1.0</v>
      </c>
      <c r="Q4" s="35" t="str">
        <f>JOIN("/", README!$B$51, "U_SA_01_Indicator")</f>
        <v>Images/U_SpriteAtlas_01/U_SA_01_Indicator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15.5"/>
    <col customWidth="1" min="18" max="37" width="12.63"/>
  </cols>
  <sheetData>
    <row r="1">
      <c r="A1" s="1" t="s">
        <v>232</v>
      </c>
      <c r="B1" s="2" t="s">
        <v>233</v>
      </c>
      <c r="C1" s="2" t="s">
        <v>234</v>
      </c>
      <c r="D1" s="2" t="s">
        <v>235</v>
      </c>
      <c r="E1" s="2" t="s">
        <v>236</v>
      </c>
      <c r="F1" s="2" t="s">
        <v>237</v>
      </c>
      <c r="G1" s="33" t="s">
        <v>238</v>
      </c>
      <c r="H1" s="34" t="s">
        <v>239</v>
      </c>
      <c r="I1" s="34" t="s">
        <v>240</v>
      </c>
      <c r="J1" s="34" t="s">
        <v>241</v>
      </c>
      <c r="K1" s="26" t="s">
        <v>242</v>
      </c>
      <c r="L1" s="26" t="s">
        <v>243</v>
      </c>
      <c r="M1" s="33" t="s">
        <v>244</v>
      </c>
      <c r="N1" s="33" t="s">
        <v>245</v>
      </c>
      <c r="O1" s="33" t="s">
        <v>246</v>
      </c>
      <c r="P1" s="35" t="s">
        <v>247</v>
      </c>
      <c r="Q1" s="35" t="s">
        <v>248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258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8">
        <v>1.0</v>
      </c>
      <c r="Q2" s="35" t="s">
        <v>261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259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300000001</v>
      </c>
      <c r="N3" s="14">
        <f>IF($A3="", -1, ($B3*README!$B$2)+($C3*README!$B$3)+($D3*README!$B$4)+($E3*README!$B$5)+($F3*README!$B$6)-1)</f>
        <v>300000000</v>
      </c>
      <c r="O3" s="14">
        <f>IF($A3="", -1, ($B3*README!$B$2)+($C3*README!$B$3)+($D3*README!$B$4)+($E3*README!$B$5)+($F3*README!$B$6)+1)</f>
        <v>300000002</v>
      </c>
      <c r="P3" s="38">
        <v>1.0</v>
      </c>
      <c r="Q3" s="35" t="s">
        <v>262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260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300000002</v>
      </c>
      <c r="N4" s="14">
        <f>IF($A4="", -1, ($B4*README!$B$2)+($C4*README!$B$3)+($D4*README!$B$4)+($E4*README!$B$5)+($F4*README!$B$6)-1)</f>
        <v>300000001</v>
      </c>
      <c r="O4" s="14">
        <f>IF($A4="", -1, ($B4*README!$B$2)+($C4*README!$B$3)+($D4*README!$B$4)+($E4*README!$B$5)+($F4*README!$B$6)+1)</f>
        <v>300000003</v>
      </c>
      <c r="P4" s="38">
        <v>1.0</v>
      </c>
      <c r="Q4" s="35" t="s">
        <v>263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0.88"/>
    <col customWidth="1" min="18" max="37" width="12.63"/>
  </cols>
  <sheetData>
    <row r="1">
      <c r="A1" s="1" t="s">
        <v>232</v>
      </c>
      <c r="B1" s="2" t="s">
        <v>233</v>
      </c>
      <c r="C1" s="2" t="s">
        <v>234</v>
      </c>
      <c r="D1" s="2" t="s">
        <v>235</v>
      </c>
      <c r="E1" s="2" t="s">
        <v>236</v>
      </c>
      <c r="F1" s="2" t="s">
        <v>237</v>
      </c>
      <c r="G1" s="33" t="s">
        <v>238</v>
      </c>
      <c r="H1" s="34" t="s">
        <v>239</v>
      </c>
      <c r="I1" s="34" t="s">
        <v>240</v>
      </c>
      <c r="J1" s="34" t="s">
        <v>241</v>
      </c>
      <c r="K1" s="26" t="s">
        <v>242</v>
      </c>
      <c r="L1" s="26" t="s">
        <v>243</v>
      </c>
      <c r="M1" s="33" t="s">
        <v>244</v>
      </c>
      <c r="N1" s="33" t="s">
        <v>245</v>
      </c>
      <c r="O1" s="33" t="s">
        <v>246</v>
      </c>
      <c r="P1" s="35" t="s">
        <v>247</v>
      </c>
      <c r="Q1" s="35" t="s">
        <v>248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264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41">
        <v>1.0</v>
      </c>
      <c r="Q2" s="35" t="str">
        <f>JOIN("/", README!$B$72, "G_Sample")</f>
        <v>Textures/Global/G_Sample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/>
      <c r="B3" s="15"/>
      <c r="C3" s="15"/>
      <c r="D3" s="15"/>
      <c r="E3" s="15"/>
      <c r="F3" s="15"/>
      <c r="G3" s="37"/>
      <c r="H3" s="14"/>
      <c r="I3" s="14"/>
      <c r="J3" s="14"/>
      <c r="K3" s="26"/>
      <c r="L3" s="26"/>
      <c r="M3" s="14"/>
      <c r="N3" s="14"/>
      <c r="O3" s="14"/>
      <c r="P3" s="38"/>
      <c r="Q3" s="35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14"/>
      <c r="N4" s="14"/>
      <c r="O4" s="14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