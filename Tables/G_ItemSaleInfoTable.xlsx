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<sst xmlns="http://schemas.openxmlformats.org/spreadsheetml/2006/main" count="142" uniqueCount="40">
  <si>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</si>
  <si>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</si>
  <si>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</si>
  <si>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</si>
  <si>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</si>
  <si>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</si>
  <si>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</si>
  <si>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</si>
  <si>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</si>
  <si>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</si>
  <si>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</si>
  <si>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</si>
  <si>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</si>
  <si>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</si>
  <si>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</si>
  <si>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</si>
  <si>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</si>
  <si>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</si>
  <si>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</si>
  <si>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</si>
  <si>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</si>
  <si>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</si>
  <si>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</si>
  <si>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</si>
  <si>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ItemSaleKinds</t>
  </si>
  <si>
    <t>PrevItemSaleKinds</t>
  </si>
  <si>
    <t>NextItemSaleKinds</t>
  </si>
  <si>
    <t>PriceType_01</t>
  </si>
  <si>
    <t>Kinds_01</t>
  </si>
  <si>
    <t>Price_01</t>
  </si>
  <si>
    <t>ItemKinds_01</t>
  </si>
  <si>
    <t>NumItems_01</t>
  </si>
  <si>
    <t>재화 아이템 판매 샘플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</si>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</sst>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32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0</v>
      </c>
      <c r="K2" s="9">
        <f>IF($A2="", -1, ($B2*README!$C$2)+($C2*README!$C$3)+($D2*README!$C$4)+($E2*README!$C$5)+($F2*README!$C$6)-1)</f>
        <v>-1</v>
      </c>
      <c r="L2" s="9">
        <f>IF($A2="", -1, ($B2*README!$C$2)+($C2*README!$C$3)+($D2*README!$C$4)+($E2*README!$C$5)+($F2*README!$C$6)+1)</f>
        <v>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33</v>
      </c>
      <c r="B2" s="12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100000000</v>
      </c>
      <c r="K2" s="9">
        <f>IF($A2="", -1, ($B2*README!$C$2)+($C2*README!$C$3)+($D2*README!$C$4)+($E2*README!$C$5)+($F2*README!$C$6)-1)</f>
        <v>99999999</v>
      </c>
      <c r="L2" s="9">
        <f>IF($A2="", -1, ($B2*README!$C$2)+($C2*README!$C$3)+($D2*README!$C$4)+($E2*README!$C$5)+($F2*README!$C$6)+1)</f>
        <v>100000001</v>
      </c>
      <c r="M2" s="6">
        <v>2.0</v>
      </c>
      <c r="N2" s="6">
        <v>0.0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 t="s">
        <v>34</v>
      </c>
      <c r="B3" s="13">
        <v>1.0</v>
      </c>
      <c r="C3" s="13">
        <v>0.0</v>
      </c>
      <c r="D3" s="13">
        <v>1.0</v>
      </c>
      <c r="E3" s="13">
        <v>1.0</v>
      </c>
      <c r="F3" s="13">
        <v>0.0</v>
      </c>
      <c r="G3" s="4">
        <v>0.0</v>
      </c>
      <c r="H3" s="4"/>
      <c r="I3" s="4"/>
      <c r="J3" s="9">
        <f>IF($A3="", -1, ($B3*README!$C$2)+($C3*README!$C$3)+($D3*README!$C$4)+($E3*README!$C$5)+($F3*README!$C$6))</f>
        <v>100100100</v>
      </c>
      <c r="K3" s="9">
        <f>IF($A3="", -1, ($B3*README!$C$2)+($C3*README!$C$3)+($D3*README!$C$4)+($E3*README!$C$5)+($F3*README!$C$6)-1)</f>
        <v>100100099</v>
      </c>
      <c r="L3" s="9">
        <f>IF($A3="", -1, ($B3*README!$C$2)+($C3*README!$C$3)+($D3*README!$C$4)+($E3*README!$C$5)+($F3*README!$C$6)+1)</f>
        <v>100100101</v>
      </c>
      <c r="M3" s="6">
        <v>2.0</v>
      </c>
      <c r="N3" s="6">
        <v>0.0</v>
      </c>
      <c r="O3" s="6">
        <v>0.0</v>
      </c>
      <c r="P3" s="7">
        <v>-1.0</v>
      </c>
      <c r="Q3" s="7">
        <v>0.0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35</v>
      </c>
      <c r="B2" s="12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200000000</v>
      </c>
      <c r="K2" s="9">
        <f>IF($A2="", -1, ($B2*README!$C$2)+($C2*README!$C$3)+($D2*README!$C$4)+($E2*README!$C$5)+($F2*README!$C$6)-1)</f>
        <v>199999999</v>
      </c>
      <c r="L2" s="9">
        <f>IF($A2="", -1, ($B2*README!$C$2)+($C2*README!$C$3)+($D2*README!$C$4)+($E2*README!$C$5)+($F2*README!$C$6)+1)</f>
        <v>200000001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36</v>
      </c>
      <c r="B2" s="12">
        <v>3.0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300000000</v>
      </c>
      <c r="K2" s="9">
        <f>IF($A2="", -1, ($B2*README!$C$2)+($C2*README!$C$3)+($D2*README!$C$4)+($E2*README!$C$5)+($F2*README!$C$6)-1)</f>
        <v>299999999</v>
      </c>
      <c r="L2" s="9">
        <f>IF($A2="", -1, ($B2*README!$C$2)+($C2*README!$C$3)+($D2*README!$C$4)+($E2*README!$C$5)+($F2*README!$C$6)+1)</f>
        <v>300000001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37</v>
      </c>
      <c r="B2" s="12">
        <v>4.0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400000000</v>
      </c>
      <c r="K2" s="9">
        <f>IF($A2="", -1, ($B2*README!$C$2)+($C2*README!$C$3)+($D2*README!$C$4)+($E2*README!$C$5)+($F2*README!$C$6)-1)</f>
        <v>399999999</v>
      </c>
      <c r="L2" s="9">
        <f>IF($A2="", -1, ($B2*README!$C$2)+($C2*README!$C$3)+($D2*README!$C$4)+($E2*README!$C$5)+($F2*README!$C$6)+1)</f>
        <v>400000001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38</v>
      </c>
      <c r="B2" s="12">
        <v>5.0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500000000</v>
      </c>
      <c r="K2" s="9">
        <f>IF($A2="", -1, ($B2*README!$C$2)+($C2*README!$C$3)+($D2*README!$C$4)+($E2*README!$C$5)+($F2*README!$C$6)-1)</f>
        <v>499999999</v>
      </c>
      <c r="L2" s="9">
        <f>IF($A2="", -1, ($B2*README!$C$2)+($C2*README!$C$3)+($D2*README!$C$4)+($E2*README!$C$5)+($F2*README!$C$6)+1)</f>
        <v>500000001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6" t="s">
        <v>29</v>
      </c>
      <c r="P1" s="7" t="s">
        <v>30</v>
      </c>
      <c r="Q1" s="7" t="s">
        <v>31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39</v>
      </c>
      <c r="B2" s="12">
        <v>6.0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600000000</v>
      </c>
      <c r="K2" s="9">
        <f>IF($A2="", -1, ($B2*README!$C$2)+($C2*README!$C$3)+($D2*README!$C$4)+($E2*README!$C$5)+($F2*README!$C$6)-1)</f>
        <v>599999999</v>
      </c>
      <c r="L2" s="9">
        <f>IF($A2="", -1, ($B2*README!$C$2)+($C2*README!$C$3)+($D2*README!$C$4)+($E2*README!$C$5)+($F2*README!$C$6)+1)</f>
        <v>600000001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