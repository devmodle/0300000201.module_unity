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<sst xmlns="http://schemas.openxmlformats.org/spreadsheetml/2006/main" count="229" uniqueCount="151">
  <si>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</si>
  <si>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</si>
  <si>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</si>
  <si>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</si>
  <si>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</si>
  <si>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</si>
  <si>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</si>
  <si>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</si>
  <si>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</si>
  <si>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</si>
  <si>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</si>
  <si>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</si>
  <si>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</si>
  <si>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</si>
  <si>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</si>
  <si>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</si>
  <si>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</si>
  <si>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</si>
  <si>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</si>
  <si>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</si>
  <si>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</si>
  <si>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</si>
  <si>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</si>
  <si>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</si>
  <si>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</si>
  <si>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</si>
  <si>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</si>
  <si>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</si>
  <si>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</si>
  <si>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</si>
  <si>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</si>
  <si>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</si>
  <si>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</si>
  <si>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</si>
  <si>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</si>
  <si>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</si>
  <si>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</si>
  <si>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</si>
  <si>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</si>
  <si>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</si>
  <si>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</si>
  <si>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</si>
  <si>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</si>
  <si>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</si>
  <si>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</si>
  <si>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</si>
  <si>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</si>
  <si>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</si>
  <si>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</si>
  <si>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타겟 타입</t>
  </si>
  <si>
    <t>이동 속도 - 1</t>
  </si>
  <si>
    <t>명중 확률 - 1</t>
  </si>
  <si>
    <t>아이템</t>
  </si>
  <si>
    <t>회피 확룰 - 1</t>
  </si>
  <si>
    <t>스킬</t>
  </si>
  <si>
    <t>크리티컬 확률 - 1</t>
  </si>
  <si>
    <t>객체</t>
  </si>
  <si>
    <t>사운드 기본 경로</t>
  </si>
  <si>
    <t>Global</t>
  </si>
  <si>
    <t>Sounds/Global</t>
  </si>
  <si>
    <t>폰트 기본 경로</t>
  </si>
  <si>
    <t>Fonts/Global</t>
  </si>
  <si>
    <t>이미지 기본 경로</t>
  </si>
  <si>
    <t>Images/Global</t>
  </si>
  <si>
    <t>G_SpriteAtlas_01</t>
  </si>
  <si>
    <t>Images/G_SpriteAtlas_01</t>
  </si>
  <si>
    <t>G_SpriteAtlas_02</t>
  </si>
  <si>
    <t>Images/G_SpriteAtlas_02</t>
  </si>
  <si>
    <t>G_SpriteAtlas_03</t>
  </si>
  <si>
    <t>Images/G_SpriteAtlas_03</t>
  </si>
  <si>
    <t>G_SpriteAtlas_04</t>
  </si>
  <si>
    <t>Images/G_SpriteAtlas_04</t>
  </si>
  <si>
    <t>G_SpriteAtlas_05</t>
  </si>
  <si>
    <t>Images/G_SpriteAtlas_05</t>
  </si>
  <si>
    <t>G_SpriteAtlas_06</t>
  </si>
  <si>
    <t>Images/G_SpriteAtlas_06</t>
  </si>
  <si>
    <t>G_SpriteAtlas_07</t>
  </si>
  <si>
    <t>Images/G_SpriteAtlas_07</t>
  </si>
  <si>
    <t>G_SpriteAtlas_08</t>
  </si>
  <si>
    <t>Images/G_SpriteAtlas_08</t>
  </si>
  <si>
    <t>G_SpriteAtlas_09</t>
  </si>
  <si>
    <t>Images/G_SpriteAtlas_09</t>
  </si>
  <si>
    <t>U_SpriteAtlas_01</t>
  </si>
  <si>
    <t>Images/U_SpriteAtlas_01</t>
  </si>
  <si>
    <t>U_SpriteAtlas_02</t>
  </si>
  <si>
    <t>Images/U_SpriteAtlas_02</t>
  </si>
  <si>
    <t>U_SpriteAtlas_03</t>
  </si>
  <si>
    <t>Images/U_SpriteAtlas_03</t>
  </si>
  <si>
    <t>U_SpriteAtlas_04</t>
  </si>
  <si>
    <t>Images/U_SpriteAtlas_04</t>
  </si>
  <si>
    <t>U_SpriteAtlas_05</t>
  </si>
  <si>
    <t>Images/U_SpriteAtlas_05</t>
  </si>
  <si>
    <t>U_SpriteAtlas_06</t>
  </si>
  <si>
    <t>Images/U_SpriteAtlas_06</t>
  </si>
  <si>
    <t>U_SpriteAtlas_07</t>
  </si>
  <si>
    <t>Images/U_SpriteAtlas_07</t>
  </si>
  <si>
    <t>U_SpriteAtlas_08</t>
  </si>
  <si>
    <t>Images/U_SpriteAtlas_08</t>
  </si>
  <si>
    <t>U_SpriteAtlas_09</t>
  </si>
  <si>
    <t>Images/U_SpriteAtlas_09</t>
  </si>
  <si>
    <t>EG_SpriteAtlas_01</t>
  </si>
  <si>
    <t>Images/EG_SpriteAtlas_01</t>
  </si>
  <si>
    <t>EG_SpriteAtlas_02</t>
  </si>
  <si>
    <t>Images/EG_SpriteAtlas_02</t>
  </si>
  <si>
    <t>EG_SpriteAtlas_03</t>
  </si>
  <si>
    <t>Images/EG_SpriteAtlas_03</t>
  </si>
  <si>
    <t>EG_SpriteAtlas_04</t>
  </si>
  <si>
    <t>Images/EG_SpriteAtlas_04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</si>
  <si>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</si>
  <si>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</si>
  <si>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</si>
  <si>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</si>
  <si>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</si>
  <si>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</si>
  <si>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</si>
  <si>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</si>
  <si>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</si>
  <si>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</si>
  <si>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</si>
  <si>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</si>
  <si>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</si>
  <si>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</si>
  <si>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</si>
  <si>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</si>
  <si>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</si>
  <si>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</si>
  <si>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</si>
  <si>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</si>
  <si>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</si>
  <si>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</si>
  <si>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</si>
  <si>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</si>
  <si>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</si>
  <si>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</si>
  <si>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</si>
  <si>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</si>
  <si>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메인 씬 배경음</t>
  </si>
  <si>
    <t>게임 씬 배경음</t>
  </si>
  <si>
    <t>터치 시작 효과음</t>
  </si>
  <si>
    <t>터치 종료 효과음</t>
  </si>
  <si>
    <t>팝업 출력 효과음</t>
  </si>
  <si>
    <t>팝업 닫힘 효과음</t>
  </si>
  <si>
    <t>한국어</t>
  </si>
  <si>
    <t>영어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</si>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</sst>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2" numFmtId="1" xfId="0" applyFont="1" applyNumberFormat="1"/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0" fontId="2" numFmtId="1" xfId="0" applyAlignment="1" applyFont="1" applyNumberFormat="1">
      <alignment horizontal="left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/>
      <c r="N15" s="7"/>
      <c r="O15" s="8"/>
      <c r="P15" s="8"/>
      <c r="Q15" s="9"/>
      <c r="R15" s="9"/>
      <c r="S15" s="10"/>
      <c r="T15" s="10"/>
      <c r="U15" s="11" t="s">
        <v>43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45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48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50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51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52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53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55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56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24" t="s">
        <v>57</v>
      </c>
      <c r="B25" s="12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24" t="s">
        <v>58</v>
      </c>
      <c r="B26" s="24" t="s">
        <v>59</v>
      </c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2"/>
      <c r="B27" s="12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24" t="s">
        <v>60</v>
      </c>
      <c r="B28" s="12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24" t="s">
        <v>58</v>
      </c>
      <c r="B29" s="24" t="s">
        <v>61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2"/>
      <c r="B30" s="12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24" t="s">
        <v>62</v>
      </c>
      <c r="B31" s="12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24" t="s">
        <v>58</v>
      </c>
      <c r="B32" s="24" t="s">
        <v>63</v>
      </c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24"/>
      <c r="B33" s="24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24" t="s">
        <v>64</v>
      </c>
      <c r="B34" s="24" t="s">
        <v>65</v>
      </c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24" t="s">
        <v>66</v>
      </c>
      <c r="B35" s="24" t="s">
        <v>67</v>
      </c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24" t="s">
        <v>68</v>
      </c>
      <c r="B36" s="24" t="s">
        <v>69</v>
      </c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24" t="s">
        <v>70</v>
      </c>
      <c r="B37" s="24" t="s">
        <v>71</v>
      </c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24" t="s">
        <v>72</v>
      </c>
      <c r="B38" s="24" t="s">
        <v>73</v>
      </c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24" t="s">
        <v>74</v>
      </c>
      <c r="B39" s="24" t="s">
        <v>75</v>
      </c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24" t="s">
        <v>76</v>
      </c>
      <c r="B40" s="24" t="s">
        <v>77</v>
      </c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24" t="s">
        <v>78</v>
      </c>
      <c r="B41" s="24" t="s">
        <v>79</v>
      </c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24" t="s">
        <v>80</v>
      </c>
      <c r="B42" s="24" t="s">
        <v>81</v>
      </c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24"/>
      <c r="B43" s="24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24" t="s">
        <v>82</v>
      </c>
      <c r="B44" s="24" t="s">
        <v>83</v>
      </c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24" t="s">
        <v>84</v>
      </c>
      <c r="B45" s="24" t="s">
        <v>85</v>
      </c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24" t="s">
        <v>86</v>
      </c>
      <c r="B46" s="24" t="s">
        <v>87</v>
      </c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24" t="s">
        <v>88</v>
      </c>
      <c r="B47" s="24" t="s">
        <v>89</v>
      </c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24" t="s">
        <v>90</v>
      </c>
      <c r="B48" s="24" t="s">
        <v>91</v>
      </c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24" t="s">
        <v>92</v>
      </c>
      <c r="B49" s="24" t="s">
        <v>93</v>
      </c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24" t="s">
        <v>94</v>
      </c>
      <c r="B50" s="24" t="s">
        <v>95</v>
      </c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24" t="s">
        <v>96</v>
      </c>
      <c r="B51" s="24" t="s">
        <v>97</v>
      </c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24" t="s">
        <v>98</v>
      </c>
      <c r="B52" s="24" t="s">
        <v>99</v>
      </c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24"/>
      <c r="B53" s="24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24" t="s">
        <v>100</v>
      </c>
      <c r="B54" s="24" t="s">
        <v>101</v>
      </c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24" t="s">
        <v>102</v>
      </c>
      <c r="B55" s="24" t="s">
        <v>103</v>
      </c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24" t="s">
        <v>104</v>
      </c>
      <c r="B56" s="24" t="s">
        <v>105</v>
      </c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24" t="s">
        <v>106</v>
      </c>
      <c r="B57" s="24" t="s">
        <v>107</v>
      </c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24" t="s">
        <v>108</v>
      </c>
      <c r="B58" s="24" t="s">
        <v>109</v>
      </c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24" t="s">
        <v>110</v>
      </c>
      <c r="B59" s="24" t="s">
        <v>111</v>
      </c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24" t="s">
        <v>112</v>
      </c>
      <c r="B60" s="24" t="s">
        <v>113</v>
      </c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24" t="s">
        <v>114</v>
      </c>
      <c r="B61" s="24" t="s">
        <v>115</v>
      </c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24" t="s">
        <v>116</v>
      </c>
      <c r="B62" s="24" t="s">
        <v>117</v>
      </c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25"/>
      <c r="B63" s="25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24" t="s">
        <v>118</v>
      </c>
      <c r="B64" s="12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24" t="s">
        <v>58</v>
      </c>
      <c r="B65" s="24" t="s">
        <v>119</v>
      </c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6" width="12.63"/>
  </cols>
  <sheetData>
    <row r="1">
      <c r="A1" s="26" t="s">
        <v>120</v>
      </c>
      <c r="B1" s="27" t="s">
        <v>121</v>
      </c>
      <c r="C1" s="27" t="s">
        <v>122</v>
      </c>
      <c r="D1" s="27" t="s">
        <v>123</v>
      </c>
      <c r="E1" s="27" t="s">
        <v>124</v>
      </c>
      <c r="F1" s="27" t="s">
        <v>125</v>
      </c>
      <c r="G1" s="28" t="s">
        <v>126</v>
      </c>
      <c r="H1" s="29" t="s">
        <v>127</v>
      </c>
      <c r="I1" s="29" t="s">
        <v>128</v>
      </c>
      <c r="J1" s="29" t="s">
        <v>129</v>
      </c>
      <c r="K1" s="28" t="s">
        <v>130</v>
      </c>
      <c r="L1" s="30" t="s">
        <v>131</v>
      </c>
      <c r="M1" s="30" t="s">
        <v>132</v>
      </c>
      <c r="N1" s="26" t="s">
        <v>133</v>
      </c>
      <c r="O1" s="26" t="s">
        <v>134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135</v>
      </c>
      <c r="B2" s="14">
        <v>0.0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4">
        <v>1.0</v>
      </c>
      <c r="O2" s="35" t="str">
        <f>JOIN("/", README!$B$26, "G_BGM_TitleScene")</f>
        <v>Sounds/Global/G_BGM_TitleScene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136</v>
      </c>
      <c r="B3" s="14">
        <v>0.0</v>
      </c>
      <c r="C3" s="14">
        <v>0.0</v>
      </c>
      <c r="D3" s="14">
        <v>0.0</v>
      </c>
      <c r="E3" s="32">
        <v>1.0</v>
      </c>
      <c r="F3" s="32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</v>
      </c>
      <c r="L3" s="13">
        <f>IF($A3="", -1, ($B3*README!$B$2)+($C3*README!$B$3)+($D3*README!$B$4)+($E3*README!$B$5)+($F3*README!$B$6)-1)</f>
        <v>99</v>
      </c>
      <c r="M3" s="13">
        <f>IF($A3="", -1, ($B3*README!$B$2)+($C3*README!$B$3)+($D3*README!$B$4)+($E3*README!$B$5)+($F3*README!$B$6)+1)</f>
        <v>101</v>
      </c>
      <c r="N3" s="34">
        <v>1.0</v>
      </c>
      <c r="O3" s="35" t="str">
        <f>JOIN("/", README!$B$26, "G_BGM_MainScene")</f>
        <v>Sounds/Global/G_BGM_MainScene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137</v>
      </c>
      <c r="B4" s="14">
        <v>0.0</v>
      </c>
      <c r="C4" s="14">
        <v>0.0</v>
      </c>
      <c r="D4" s="14">
        <v>0.0</v>
      </c>
      <c r="E4" s="32">
        <v>2.0</v>
      </c>
      <c r="F4" s="32">
        <v>0.0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</v>
      </c>
      <c r="L4" s="13">
        <f>IF($A4="", -1, ($B4*README!$B$2)+($C4*README!$B$3)+($D4*README!$B$4)+($E4*README!$B$5)+($F4*README!$B$6)-1)</f>
        <v>199</v>
      </c>
      <c r="M4" s="13">
        <f>IF($A4="", -1, ($B4*README!$B$2)+($C4*README!$B$3)+($D4*README!$B$4)+($E4*README!$B$5)+($F4*README!$B$6)+1)</f>
        <v>201</v>
      </c>
      <c r="N4" s="34">
        <v>1.0</v>
      </c>
      <c r="O4" s="35" t="str">
        <f>JOIN("/", README!$B$26, "G_BGM_GameScene")</f>
        <v>Sounds/Global/G_BGM_GameScene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 t="s">
        <v>138</v>
      </c>
      <c r="B5" s="14">
        <v>0.0</v>
      </c>
      <c r="C5" s="14">
        <v>0.0</v>
      </c>
      <c r="D5" s="32">
        <v>1.0</v>
      </c>
      <c r="E5" s="14">
        <v>0.0</v>
      </c>
      <c r="F5" s="32">
        <v>0.0</v>
      </c>
      <c r="G5" s="33">
        <v>0.0</v>
      </c>
      <c r="H5" s="13">
        <v>0.0</v>
      </c>
      <c r="I5" s="13"/>
      <c r="J5" s="13"/>
      <c r="K5" s="13">
        <f>IF($A5="", -1, ($B5*README!$B$2)+($C5*README!$B$3)+($D5*README!$B$4)+($E5*README!$B$5)+($F5*README!$B$6))</f>
        <v>100000</v>
      </c>
      <c r="L5" s="13">
        <f>IF($A5="", -1, ($B5*README!$B$2)+($C5*README!$B$3)+($D5*README!$B$4)+($E5*README!$B$5)+($F5*README!$B$6)-1)</f>
        <v>99999</v>
      </c>
      <c r="M5" s="13">
        <f>IF($A5="", -1, ($B5*README!$B$2)+($C5*README!$B$3)+($D5*README!$B$4)+($E5*README!$B$5)+($F5*README!$B$6)+1)</f>
        <v>100001</v>
      </c>
      <c r="N5" s="34">
        <v>1.0</v>
      </c>
      <c r="O5" s="35" t="str">
        <f>JOIN("/", README!$B$26, "G_SFX_TouchBegin")</f>
        <v>Sounds/Global/G_SFX_TouchBegin</v>
      </c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 t="s">
        <v>139</v>
      </c>
      <c r="B6" s="14">
        <v>0.0</v>
      </c>
      <c r="C6" s="14">
        <v>0.0</v>
      </c>
      <c r="D6" s="32">
        <v>1.0</v>
      </c>
      <c r="E6" s="32">
        <v>1.0</v>
      </c>
      <c r="F6" s="32">
        <v>0.0</v>
      </c>
      <c r="G6" s="33">
        <v>0.0</v>
      </c>
      <c r="H6" s="13">
        <v>0.0</v>
      </c>
      <c r="I6" s="13"/>
      <c r="J6" s="13"/>
      <c r="K6" s="13">
        <f>IF($A6="", -1, ($B6*README!$B$2)+($C6*README!$B$3)+($D6*README!$B$4)+($E6*README!$B$5)+($F6*README!$B$6))</f>
        <v>100100</v>
      </c>
      <c r="L6" s="13">
        <f>IF($A6="", -1, ($B6*README!$B$2)+($C6*README!$B$3)+($D6*README!$B$4)+($E6*README!$B$5)+($F6*README!$B$6)-1)</f>
        <v>100099</v>
      </c>
      <c r="M6" s="13">
        <f>IF($A6="", -1, ($B6*README!$B$2)+($C6*README!$B$3)+($D6*README!$B$4)+($E6*README!$B$5)+($F6*README!$B$6)+1)</f>
        <v>100101</v>
      </c>
      <c r="N6" s="34">
        <v>1.0</v>
      </c>
      <c r="O6" s="35" t="str">
        <f>JOIN("/", README!$B$26, "G_SFX_TouchEnd")</f>
        <v>Sounds/Global/G_SFX_TouchEnd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 t="s">
        <v>140</v>
      </c>
      <c r="B7" s="14">
        <v>0.0</v>
      </c>
      <c r="C7" s="14">
        <v>0.0</v>
      </c>
      <c r="D7" s="32">
        <v>2.0</v>
      </c>
      <c r="E7" s="14">
        <v>0.0</v>
      </c>
      <c r="F7" s="32">
        <v>0.0</v>
      </c>
      <c r="G7" s="33">
        <v>0.0</v>
      </c>
      <c r="H7" s="13">
        <v>0.0</v>
      </c>
      <c r="I7" s="13"/>
      <c r="J7" s="13"/>
      <c r="K7" s="13">
        <f>IF($A7="", -1, ($B7*README!$B$2)+($C7*README!$B$3)+($D7*README!$B$4)+($E7*README!$B$5)+($F7*README!$B$6))</f>
        <v>200000</v>
      </c>
      <c r="L7" s="13">
        <f>IF($A7="", -1, ($B7*README!$B$2)+($C7*README!$B$3)+($D7*README!$B$4)+($E7*README!$B$5)+($F7*README!$B$6)-1)</f>
        <v>199999</v>
      </c>
      <c r="M7" s="13">
        <f>IF($A7="", -1, ($B7*README!$B$2)+($C7*README!$B$3)+($D7*README!$B$4)+($E7*README!$B$5)+($F7*README!$B$6)+1)</f>
        <v>200001</v>
      </c>
      <c r="N7" s="34">
        <v>1.0</v>
      </c>
      <c r="O7" s="35" t="str">
        <f>JOIN("/", README!$B$26, "G_SFX_PopupShow")</f>
        <v>Sounds/Global/G_SFX_PopupShow</v>
      </c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 t="s">
        <v>141</v>
      </c>
      <c r="B8" s="14">
        <v>0.0</v>
      </c>
      <c r="C8" s="14">
        <v>0.0</v>
      </c>
      <c r="D8" s="32">
        <v>2.0</v>
      </c>
      <c r="E8" s="32">
        <v>1.0</v>
      </c>
      <c r="F8" s="32">
        <v>0.0</v>
      </c>
      <c r="G8" s="33">
        <v>0.0</v>
      </c>
      <c r="H8" s="13">
        <v>0.0</v>
      </c>
      <c r="I8" s="13"/>
      <c r="J8" s="13"/>
      <c r="K8" s="13">
        <f>IF($A8="", -1, ($B8*README!$B$2)+($C8*README!$B$3)+($D8*README!$B$4)+($E8*README!$B$5)+($F8*README!$B$6))</f>
        <v>200100</v>
      </c>
      <c r="L8" s="13">
        <f>IF($A8="", -1, ($B8*README!$B$2)+($C8*README!$B$3)+($D8*README!$B$4)+($E8*README!$B$5)+($F8*README!$B$6)-1)</f>
        <v>200099</v>
      </c>
      <c r="M8" s="13">
        <f>IF($A8="", -1, ($B8*README!$B$2)+($C8*README!$B$3)+($D8*README!$B$4)+($E8*README!$B$5)+($F8*README!$B$6)+1)</f>
        <v>200101</v>
      </c>
      <c r="N8" s="34">
        <v>1.0</v>
      </c>
      <c r="O8" s="35" t="str">
        <f>JOIN("/", README!$B$26, "G_SFX_PopupClose")</f>
        <v>Sounds/Global/G_SFX_PopupClose</v>
      </c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3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3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3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3"/>
      <c r="L12" s="33"/>
      <c r="M12" s="33"/>
      <c r="N12" s="34"/>
      <c r="O12" s="34"/>
      <c r="P12" s="34"/>
      <c r="Q12" s="34"/>
      <c r="R12" s="35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3"/>
      <c r="L13" s="33"/>
      <c r="M13" s="33"/>
      <c r="N13" s="34"/>
      <c r="O13" s="34"/>
      <c r="P13" s="34"/>
      <c r="Q13" s="34"/>
      <c r="R13" s="35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3"/>
      <c r="L14" s="33"/>
      <c r="M14" s="33"/>
      <c r="N14" s="34"/>
      <c r="O14" s="34"/>
      <c r="P14" s="34"/>
      <c r="Q14" s="34"/>
      <c r="R14" s="35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3"/>
      <c r="L15" s="33"/>
      <c r="M15" s="33"/>
      <c r="N15" s="34"/>
      <c r="O15" s="34"/>
      <c r="P15" s="34"/>
      <c r="Q15" s="34"/>
      <c r="R15" s="35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3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3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3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3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3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3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3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3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3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3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3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3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3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3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3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3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3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3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3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3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3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3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3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3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3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3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3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3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3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3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3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3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3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3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3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3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3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3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3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3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3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3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3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3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3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3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3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3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3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3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3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3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3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3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3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3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3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3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3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3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3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3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3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3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3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3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3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3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3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3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3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3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3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3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3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3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3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3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3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3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3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3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3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3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3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3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3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3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3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3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3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3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3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3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3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3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3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3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3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3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3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3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3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3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3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3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3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3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3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3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3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3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3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3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3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3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3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3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3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3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3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3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3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3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3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3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3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3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3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3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3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3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3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3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3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3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3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3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3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3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3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3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3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3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3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3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3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3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3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3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3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3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3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3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3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3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3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3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3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3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3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3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3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3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3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3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3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3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3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3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3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3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3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3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3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3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3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3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3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3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3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3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3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3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3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3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3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3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3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3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3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3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3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3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3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3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3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3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3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3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3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3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3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3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3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6" width="12.63"/>
  </cols>
  <sheetData>
    <row r="1">
      <c r="A1" s="26" t="s">
        <v>120</v>
      </c>
      <c r="B1" s="27" t="s">
        <v>121</v>
      </c>
      <c r="C1" s="27" t="s">
        <v>122</v>
      </c>
      <c r="D1" s="27" t="s">
        <v>123</v>
      </c>
      <c r="E1" s="27" t="s">
        <v>124</v>
      </c>
      <c r="F1" s="27" t="s">
        <v>125</v>
      </c>
      <c r="G1" s="28" t="s">
        <v>126</v>
      </c>
      <c r="H1" s="29" t="s">
        <v>127</v>
      </c>
      <c r="I1" s="29" t="s">
        <v>128</v>
      </c>
      <c r="J1" s="29" t="s">
        <v>129</v>
      </c>
      <c r="K1" s="28" t="s">
        <v>130</v>
      </c>
      <c r="L1" s="30" t="s">
        <v>131</v>
      </c>
      <c r="M1" s="30" t="s">
        <v>132</v>
      </c>
      <c r="N1" s="26" t="s">
        <v>133</v>
      </c>
      <c r="O1" s="26" t="s">
        <v>134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142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4">
        <v>0.0</v>
      </c>
      <c r="O2" s="35" t="str">
        <f>JOIN("/", README!$B$29, "G_KoreanFont")</f>
        <v>Fonts/Global/G_KoreanFont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143</v>
      </c>
      <c r="B3" s="32">
        <v>1.0</v>
      </c>
      <c r="C3" s="14">
        <v>0.0</v>
      </c>
      <c r="D3" s="32">
        <v>1.0</v>
      </c>
      <c r="E3" s="14">
        <v>0.0</v>
      </c>
      <c r="F3" s="14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100100000</v>
      </c>
      <c r="L3" s="13">
        <f>IF($A3="", -1, ($B3*README!$B$2)+($C3*README!$B$3)+($D3*README!$B$4)+($E3*README!$B$5)+($F3*README!$B$6)-1)</f>
        <v>100099999</v>
      </c>
      <c r="M3" s="13">
        <f>IF($A3="", -1, ($B3*README!$B$2)+($C3*README!$B$3)+($D3*README!$B$4)+($E3*README!$B$5)+($F3*README!$B$6)+1)</f>
        <v>100100001</v>
      </c>
      <c r="N3" s="34">
        <v>0.0</v>
      </c>
      <c r="O3" s="35" t="str">
        <f>JOIN("/", README!$B$29, "G_EnglishFont")</f>
        <v>Fonts/Global/G_EnglishFont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14"/>
      <c r="C4" s="14"/>
      <c r="D4" s="14"/>
      <c r="E4" s="14"/>
      <c r="F4" s="14"/>
      <c r="G4" s="33"/>
      <c r="H4" s="13"/>
      <c r="I4" s="13"/>
      <c r="J4" s="13"/>
      <c r="K4" s="34"/>
      <c r="L4" s="33"/>
      <c r="M4" s="3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6" width="12.63"/>
  </cols>
  <sheetData>
    <row r="1">
      <c r="A1" s="26" t="s">
        <v>120</v>
      </c>
      <c r="B1" s="27" t="s">
        <v>121</v>
      </c>
      <c r="C1" s="27" t="s">
        <v>122</v>
      </c>
      <c r="D1" s="27" t="s">
        <v>123</v>
      </c>
      <c r="E1" s="27" t="s">
        <v>124</v>
      </c>
      <c r="F1" s="27" t="s">
        <v>125</v>
      </c>
      <c r="G1" s="28" t="s">
        <v>126</v>
      </c>
      <c r="H1" s="29" t="s">
        <v>127</v>
      </c>
      <c r="I1" s="29" t="s">
        <v>128</v>
      </c>
      <c r="J1" s="29" t="s">
        <v>129</v>
      </c>
      <c r="K1" s="28" t="s">
        <v>130</v>
      </c>
      <c r="L1" s="30" t="s">
        <v>131</v>
      </c>
      <c r="M1" s="30" t="s">
        <v>132</v>
      </c>
      <c r="N1" s="26" t="s">
        <v>133</v>
      </c>
      <c r="O1" s="26" t="s">
        <v>134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144</v>
      </c>
      <c r="B2" s="32">
        <v>2.0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4">
        <v>1.0</v>
      </c>
      <c r="O2" s="35" t="str">
        <f>JOIN("/", README!$B$44, "U_SA_01_White")</f>
        <v>Images/U_SpriteAtlas_01/U_SA_01_White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145</v>
      </c>
      <c r="B3" s="32">
        <v>2.0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200000001</v>
      </c>
      <c r="L3" s="13">
        <f>IF($A3="", -1, ($B3*README!$B$2)+($C3*README!$B$3)+($D3*README!$B$4)+($E3*README!$B$5)+($F3*README!$B$6)-1)</f>
        <v>200000000</v>
      </c>
      <c r="M3" s="13">
        <f>IF($A3="", -1, ($B3*README!$B$2)+($C3*README!$B$3)+($D3*README!$B$4)+($E3*README!$B$5)+($F3*README!$B$6)+1)</f>
        <v>200000002</v>
      </c>
      <c r="N3" s="34">
        <v>1.0</v>
      </c>
      <c r="O3" s="35" t="str">
        <f>JOIN("/", README!$B$44, "U_SA_01_Splash")</f>
        <v>Images/U_SpriteAtlas_01/U_SA_01_Splash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146</v>
      </c>
      <c r="B4" s="32">
        <v>2.0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200000002</v>
      </c>
      <c r="L4" s="13">
        <f>IF($A4="", -1, ($B4*README!$B$2)+($C4*README!$B$3)+($D4*README!$B$4)+($E4*README!$B$5)+($F4*README!$B$6)-1)</f>
        <v>200000001</v>
      </c>
      <c r="M4" s="13">
        <f>IF($A4="", -1, ($B4*README!$B$2)+($C4*README!$B$3)+($D4*README!$B$4)+($E4*README!$B$5)+($F4*README!$B$6)+1)</f>
        <v>200000003</v>
      </c>
      <c r="N4" s="34">
        <v>1.0</v>
      </c>
      <c r="O4" s="35" t="str">
        <f>JOIN("/", README!$B$44, "U_SA_01_Indicator")</f>
        <v>Images/U_SpriteAtlas_01/U_SA_01_Indicator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6" width="12.63"/>
  </cols>
  <sheetData>
    <row r="1">
      <c r="A1" s="26" t="s">
        <v>120</v>
      </c>
      <c r="B1" s="27" t="s">
        <v>121</v>
      </c>
      <c r="C1" s="27" t="s">
        <v>122</v>
      </c>
      <c r="D1" s="27" t="s">
        <v>123</v>
      </c>
      <c r="E1" s="27" t="s">
        <v>124</v>
      </c>
      <c r="F1" s="27" t="s">
        <v>125</v>
      </c>
      <c r="G1" s="28" t="s">
        <v>126</v>
      </c>
      <c r="H1" s="29" t="s">
        <v>127</v>
      </c>
      <c r="I1" s="29" t="s">
        <v>128</v>
      </c>
      <c r="J1" s="29" t="s">
        <v>129</v>
      </c>
      <c r="K1" s="28" t="s">
        <v>130</v>
      </c>
      <c r="L1" s="30" t="s">
        <v>131</v>
      </c>
      <c r="M1" s="30" t="s">
        <v>132</v>
      </c>
      <c r="N1" s="26" t="s">
        <v>133</v>
      </c>
      <c r="O1" s="26" t="s">
        <v>134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144</v>
      </c>
      <c r="B2" s="32">
        <v>3.0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4">
        <v>1.0</v>
      </c>
      <c r="O2" s="34" t="s">
        <v>147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145</v>
      </c>
      <c r="B3" s="32">
        <v>3.0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300000001</v>
      </c>
      <c r="L3" s="13">
        <f>IF($A3="", -1, ($B3*README!$B$2)+($C3*README!$B$3)+($D3*README!$B$4)+($E3*README!$B$5)+($F3*README!$B$6)-1)</f>
        <v>300000000</v>
      </c>
      <c r="M3" s="13">
        <f>IF($A3="", -1, ($B3*README!$B$2)+($C3*README!$B$3)+($D3*README!$B$4)+($E3*README!$B$5)+($F3*README!$B$6)+1)</f>
        <v>300000002</v>
      </c>
      <c r="N3" s="34">
        <v>1.0</v>
      </c>
      <c r="O3" s="34" t="s">
        <v>148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146</v>
      </c>
      <c r="B4" s="32">
        <v>3.0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300000002</v>
      </c>
      <c r="L4" s="13">
        <f>IF($A4="", -1, ($B4*README!$B$2)+($C4*README!$B$3)+($D4*README!$B$4)+($E4*README!$B$5)+($F4*README!$B$6)-1)</f>
        <v>300000001</v>
      </c>
      <c r="M4" s="13">
        <f>IF($A4="", -1, ($B4*README!$B$2)+($C4*README!$B$3)+($D4*README!$B$4)+($E4*README!$B$5)+($F4*README!$B$6)+1)</f>
        <v>300000003</v>
      </c>
      <c r="N4" s="34">
        <v>1.0</v>
      </c>
      <c r="O4" s="34" t="s">
        <v>149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8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6" width="12.63"/>
  </cols>
  <sheetData>
    <row r="1">
      <c r="A1" s="26" t="s">
        <v>120</v>
      </c>
      <c r="B1" s="27" t="s">
        <v>121</v>
      </c>
      <c r="C1" s="27" t="s">
        <v>122</v>
      </c>
      <c r="D1" s="27" t="s">
        <v>123</v>
      </c>
      <c r="E1" s="27" t="s">
        <v>124</v>
      </c>
      <c r="F1" s="27" t="s">
        <v>125</v>
      </c>
      <c r="G1" s="28" t="s">
        <v>126</v>
      </c>
      <c r="H1" s="29" t="s">
        <v>127</v>
      </c>
      <c r="I1" s="29" t="s">
        <v>128</v>
      </c>
      <c r="J1" s="29" t="s">
        <v>129</v>
      </c>
      <c r="K1" s="28" t="s">
        <v>130</v>
      </c>
      <c r="L1" s="30" t="s">
        <v>131</v>
      </c>
      <c r="M1" s="30" t="s">
        <v>132</v>
      </c>
      <c r="N1" s="26" t="s">
        <v>133</v>
      </c>
      <c r="O1" s="26" t="s">
        <v>134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39" t="s">
        <v>150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4">
        <v>0.0</v>
      </c>
      <c r="O2" s="35" t="str">
        <f>JOIN("/", README!$B$65, "G_Sample")</f>
        <v>Textures/Global/G_Sample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/>
      <c r="B3" s="32"/>
      <c r="C3" s="14"/>
      <c r="D3" s="14"/>
      <c r="E3" s="14"/>
      <c r="F3" s="32"/>
      <c r="G3" s="33"/>
      <c r="H3" s="13"/>
      <c r="I3" s="13"/>
      <c r="J3" s="13"/>
      <c r="K3" s="13"/>
      <c r="L3" s="13"/>
      <c r="M3" s="13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32"/>
      <c r="C4" s="14"/>
      <c r="D4" s="14"/>
      <c r="E4" s="14"/>
      <c r="F4" s="32"/>
      <c r="G4" s="33"/>
      <c r="H4" s="13"/>
      <c r="I4" s="13"/>
      <c r="J4" s="13"/>
      <c r="K4" s="13"/>
      <c r="L4" s="13"/>
      <c r="M4" s="1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32"/>
      <c r="C5" s="14"/>
      <c r="D5" s="14"/>
      <c r="E5" s="14"/>
      <c r="F5" s="32"/>
      <c r="G5" s="33"/>
      <c r="H5" s="13"/>
      <c r="I5" s="13"/>
      <c r="J5" s="13"/>
      <c r="K5" s="13"/>
      <c r="L5" s="13"/>
      <c r="M5" s="1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8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