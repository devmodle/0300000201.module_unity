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Consumable" sheetId="3" r:id="rId6"/>
    <sheet state="visible" name="NonConsumable" sheetId="4" r:id="rId7"/>
    <sheet state="visible" name="Weapon" sheetId="5" r:id="rId8"/>
    <sheet state="visible" name="Armor" sheetId="6" r:id="rId9"/>
    <sheet state="visible" name="Accessory" sheetId="7" r:id="rId10"/>
    <sheet state="visible" name="Attachments" sheetId="8" r:id="rId11"/>
  </sheets>
  <definedNames/>
  <calcPr/>
</workbook>
</file>

<file path=xl/sharedStrings.xml><?xml version="1.0" encoding="utf-8"?>
<sst xmlns="http://schemas.openxmlformats.org/spreadsheetml/2006/main" count="135" uniqueCount="39">
  <si>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</si>
  <si>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</si>
  <si>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</si>
  <si>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</si>
  <si>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</si>
  <si>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</si>
  <si>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</si>
  <si>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</si>
  <si>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</si>
  <si>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</si>
  <si>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</si>
  <si>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</si>
  <si>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</si>
  <si>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</si>
  <si>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</si>
  <si>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</si>
  <si>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</si>
  <si>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</si>
  <si>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</si>
  <si>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</si>
  <si>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</si>
  <si>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</si>
  <si>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</si>
  <si>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</si>
  <si>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ItemSaleKinds</t>
  </si>
  <si>
    <t>PrevItemSaleKinds</t>
  </si>
  <si>
    <t>NextItemSaleKinds</t>
  </si>
  <si>
    <t>PriceKinds_01</t>
  </si>
  <si>
    <t>Price_01</t>
  </si>
  <si>
    <t>ItemKinds_01</t>
  </si>
  <si>
    <t>NumItems_01</t>
  </si>
  <si>
    <t>재화 아이템 판매 샘플</t>
  </si>
  <si>
    <t>힌트</t>
  </si>
  <si>
    <t>이어하기</t>
  </si>
  <si>
    <t>비소모 아이템 판매 샘플</t>
  </si>
  <si>
    <t>무기 아이템 판매 샘플</t>
  </si>
  <si>
    <t>방어구 아이템 판매 샘플</t>
  </si>
  <si>
    <t>악세서리 아이템 판매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</si>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</sst>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2" fontId="1" numFmtId="0" xfId="0" applyAlignment="1" applyFont="1">
      <alignment readingOrder="0"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ill="1" applyFont="1" applyNumberFormat="1">
      <alignment horizontal="right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3" fontId="1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75"/>
    <col customWidth="1" min="14" max="14" width="7.63"/>
    <col customWidth="1" min="15" max="15" width="11.25"/>
    <col customWidth="1" min="16" max="16" width="11.38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31</v>
      </c>
      <c r="B2" s="8">
        <v>0.0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0</v>
      </c>
      <c r="K2" s="9">
        <f>IF($A2="", -1, ($B2*README!$C$2)+($C2*README!$C$3)+($D2*README!$C$4)+($E2*README!$C$5)+($F2*README!$C$6)-1)</f>
        <v>-1</v>
      </c>
      <c r="L2" s="9">
        <f>IF($A2="", -1, ($B2*README!$C$2)+($C2*README!$C$3)+($D2*README!$C$4)+($E2*README!$C$5)+($F2*README!$C$6)+1)</f>
        <v>1</v>
      </c>
      <c r="M2" s="6">
        <v>-1.0</v>
      </c>
      <c r="N2" s="6">
        <v>0.0</v>
      </c>
      <c r="O2" s="7">
        <v>-1.0</v>
      </c>
      <c r="P2" s="7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75"/>
    <col customWidth="1" min="14" max="14" width="7.63"/>
    <col customWidth="1" min="15" max="15" width="11.25"/>
    <col customWidth="1" min="16" max="16" width="11.38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32</v>
      </c>
      <c r="B2" s="12">
        <v>1.0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100000000</v>
      </c>
      <c r="K2" s="9">
        <f>IF($A2="", -1, ($B2*README!$C$2)+($C2*README!$C$3)+($D2*README!$C$4)+($E2*README!$C$5)+($F2*README!$C$6)-1)</f>
        <v>99999999</v>
      </c>
      <c r="L2" s="9">
        <f>IF($A2="", -1, ($B2*README!$C$2)+($C2*README!$C$3)+($D2*README!$C$4)+($E2*README!$C$5)+($F2*README!$C$6)+1)</f>
        <v>100000001</v>
      </c>
      <c r="M2" s="6">
        <v>-1.0</v>
      </c>
      <c r="N2" s="6">
        <v>0.0</v>
      </c>
      <c r="O2" s="7">
        <v>-1.0</v>
      </c>
      <c r="P2" s="7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 t="s">
        <v>33</v>
      </c>
      <c r="B3" s="13">
        <v>1.0</v>
      </c>
      <c r="C3" s="13">
        <v>0.0</v>
      </c>
      <c r="D3" s="13">
        <v>1.0</v>
      </c>
      <c r="E3" s="13">
        <v>1.0</v>
      </c>
      <c r="F3" s="13">
        <v>0.0</v>
      </c>
      <c r="G3" s="4">
        <v>0.0</v>
      </c>
      <c r="H3" s="4"/>
      <c r="I3" s="4"/>
      <c r="J3" s="9">
        <f>IF($A3="", -1, ($B3*README!$C$2)+($C3*README!$C$3)+($D3*README!$C$4)+($E3*README!$C$5)+($F3*README!$C$6))</f>
        <v>100100100</v>
      </c>
      <c r="K3" s="9">
        <f>IF($A3="", -1, ($B3*README!$C$2)+($C3*README!$C$3)+($D3*README!$C$4)+($E3*README!$C$5)+($F3*README!$C$6)-1)</f>
        <v>100100099</v>
      </c>
      <c r="L3" s="9">
        <f>IF($A3="", -1, ($B3*README!$C$2)+($C3*README!$C$3)+($D3*README!$C$4)+($E3*README!$C$5)+($F3*README!$C$6)+1)</f>
        <v>100100101</v>
      </c>
      <c r="M3" s="6">
        <v>-1.0</v>
      </c>
      <c r="N3" s="6">
        <v>0.0</v>
      </c>
      <c r="O3" s="7">
        <v>-1.0</v>
      </c>
      <c r="P3" s="7">
        <v>0.0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75"/>
    <col customWidth="1" min="14" max="14" width="7.63"/>
    <col customWidth="1" min="15" max="15" width="11.25"/>
    <col customWidth="1" min="16" max="16" width="11.38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34</v>
      </c>
      <c r="B2" s="12">
        <v>2.0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200000000</v>
      </c>
      <c r="K2" s="9">
        <f>IF($A2="", -1, ($B2*README!$C$2)+($C2*README!$C$3)+($D2*README!$C$4)+($E2*README!$C$5)+($F2*README!$C$6)-1)</f>
        <v>199999999</v>
      </c>
      <c r="L2" s="9">
        <f>IF($A2="", -1, ($B2*README!$C$2)+($C2*README!$C$3)+($D2*README!$C$4)+($E2*README!$C$5)+($F2*README!$C$6)+1)</f>
        <v>200000001</v>
      </c>
      <c r="M2" s="6">
        <v>-1.0</v>
      </c>
      <c r="N2" s="6">
        <v>0.0</v>
      </c>
      <c r="O2" s="7">
        <v>-1.0</v>
      </c>
      <c r="P2" s="7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75"/>
    <col customWidth="1" min="14" max="14" width="7.63"/>
    <col customWidth="1" min="15" max="15" width="11.25"/>
    <col customWidth="1" min="16" max="16" width="11.38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35</v>
      </c>
      <c r="B2" s="12">
        <v>3.0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300000000</v>
      </c>
      <c r="K2" s="9">
        <f>IF($A2="", -1, ($B2*README!$C$2)+($C2*README!$C$3)+($D2*README!$C$4)+($E2*README!$C$5)+($F2*README!$C$6)-1)</f>
        <v>299999999</v>
      </c>
      <c r="L2" s="9">
        <f>IF($A2="", -1, ($B2*README!$C$2)+($C2*README!$C$3)+($D2*README!$C$4)+($E2*README!$C$5)+($F2*README!$C$6)+1)</f>
        <v>300000001</v>
      </c>
      <c r="M2" s="6">
        <v>-1.0</v>
      </c>
      <c r="N2" s="6">
        <v>0.0</v>
      </c>
      <c r="O2" s="7">
        <v>-1.0</v>
      </c>
      <c r="P2" s="7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75"/>
    <col customWidth="1" min="14" max="14" width="7.63"/>
    <col customWidth="1" min="15" max="15" width="11.25"/>
    <col customWidth="1" min="16" max="16" width="11.38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36</v>
      </c>
      <c r="B2" s="12">
        <v>4.0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400000000</v>
      </c>
      <c r="K2" s="9">
        <f>IF($A2="", -1, ($B2*README!$C$2)+($C2*README!$C$3)+($D2*README!$C$4)+($E2*README!$C$5)+($F2*README!$C$6)-1)</f>
        <v>399999999</v>
      </c>
      <c r="L2" s="9">
        <f>IF($A2="", -1, ($B2*README!$C$2)+($C2*README!$C$3)+($D2*README!$C$4)+($E2*README!$C$5)+($F2*README!$C$6)+1)</f>
        <v>400000001</v>
      </c>
      <c r="M2" s="6">
        <v>-1.0</v>
      </c>
      <c r="N2" s="6">
        <v>0.0</v>
      </c>
      <c r="O2" s="7">
        <v>-1.0</v>
      </c>
      <c r="P2" s="7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75"/>
    <col customWidth="1" min="14" max="14" width="7.63"/>
    <col customWidth="1" min="15" max="15" width="11.25"/>
    <col customWidth="1" min="16" max="16" width="11.38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37</v>
      </c>
      <c r="B2" s="12">
        <v>5.0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500000000</v>
      </c>
      <c r="K2" s="9">
        <f>IF($A2="", -1, ($B2*README!$C$2)+($C2*README!$C$3)+($D2*README!$C$4)+($E2*README!$C$5)+($F2*README!$C$6)-1)</f>
        <v>499999999</v>
      </c>
      <c r="L2" s="9">
        <f>IF($A2="", -1, ($B2*README!$C$2)+($C2*README!$C$3)+($D2*README!$C$4)+($E2*README!$C$5)+($F2*README!$C$6)+1)</f>
        <v>500000001</v>
      </c>
      <c r="M2" s="6">
        <v>-1.0</v>
      </c>
      <c r="N2" s="6">
        <v>0.0</v>
      </c>
      <c r="O2" s="7">
        <v>-1.0</v>
      </c>
      <c r="P2" s="7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75"/>
    <col customWidth="1" min="14" max="14" width="7.63"/>
    <col customWidth="1" min="15" max="15" width="11.25"/>
    <col customWidth="1" min="16" max="16" width="11.38"/>
    <col customWidth="1" min="17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6" t="s">
        <v>38</v>
      </c>
      <c r="B2" s="12">
        <v>6.0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600000000</v>
      </c>
      <c r="K2" s="9">
        <f>IF($A2="", -1, ($B2*README!$C$2)+($C2*README!$C$3)+($D2*README!$C$4)+($E2*README!$C$5)+($F2*README!$C$6)-1)</f>
        <v>599999999</v>
      </c>
      <c r="L2" s="9">
        <f>IF($A2="", -1, ($B2*README!$C$2)+($C2*README!$C$3)+($D2*README!$C$4)+($E2*README!$C$5)+($F2*README!$C$6)+1)</f>
        <v>600000001</v>
      </c>
      <c r="M2" s="6">
        <v>-1.0</v>
      </c>
      <c r="N2" s="6">
        <v>0.0</v>
      </c>
      <c r="O2" s="7">
        <v>-1.0</v>
      </c>
      <c r="P2" s="7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