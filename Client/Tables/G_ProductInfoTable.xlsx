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BuyTrade" sheetId="6" r:id="rId9"/>
  </sheets>
  <definedNames/>
  <calcPr/>
</workbook>
</file>

<file path=xl/sharedStrings.xml><?xml version="1.0" encoding="utf-8"?>
<sst xmlns="http://schemas.openxmlformats.org/spreadsheetml/2006/main" count="290" uniqueCount="208">
  <si>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</si>
  <si>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</si>
  <si>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</si>
  <si>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</si>
  <si>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</si>
  <si>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</si>
  <si>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</si>
  <si>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</si>
  <si>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</si>
  <si>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</si>
  <si>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</si>
  <si>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</si>
  <si>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</si>
  <si>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</si>
  <si>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</si>
  <si>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</si>
  <si>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</si>
  <si>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</si>
  <si>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</si>
  <si>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</si>
  <si>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</si>
  <si>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</si>
  <si>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</si>
  <si>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</si>
  <si>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</si>
  <si>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</si>
  <si>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</si>
  <si>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</si>
  <si>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</si>
  <si>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</si>
  <si>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</si>
  <si>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</si>
  <si>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</si>
  <si>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</si>
  <si>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</si>
  <si>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</si>
  <si>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</si>
  <si>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</si>
  <si>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</si>
  <si>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</si>
  <si>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</si>
  <si>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</si>
  <si>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</si>
  <si>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</si>
  <si>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</si>
  <si>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</si>
  <si>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</si>
  <si>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</si>
  <si>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</si>
  <si>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</si>
  <si>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</si>
  <si>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</si>
  <si>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</si>
  <si>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</si>
  <si>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</si>
  <si>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</si>
  <si>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</si>
  <si>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</si>
  <si>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</si>
  <si>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</si>
  <si>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</si>
  <si>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</si>
  <si>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</si>
  <si>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</si>
  <si>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</si>
  <si>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</si>
  <si>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</si>
  <si>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</si>
  <si>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</si>
  <si>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</si>
  <si>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</si>
  <si>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</si>
  <si>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</si>
  <si>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</si>
  <si>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</si>
  <si>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</si>
  <si>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</si>
  <si>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</si>
  <si>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상품 타입</t>
  </si>
  <si>
    <t>기력 감소 - 1</t>
  </si>
  <si>
    <t>소모 상품</t>
  </si>
  <si>
    <t>비소모 상품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</si>
  <si>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</si>
  <si>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</si>
  <si>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</si>
  <si>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</si>
  <si>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</si>
  <si>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</si>
  <si>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</si>
  <si>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</si>
  <si>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</si>
  <si>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</si>
  <si>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</si>
  <si>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</si>
  <si>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</si>
  <si>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</si>
  <si>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</si>
  <si>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</si>
  <si>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</si>
  <si>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</si>
  <si>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</si>
  <si>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</si>
  <si>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</si>
  <si>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</si>
  <si>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</si>
  <si>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</si>
  <si>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</si>
  <si>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</si>
  <si>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</si>
  <si>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</si>
  <si>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</si>
  <si>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</si>
  <si>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</si>
  <si>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</si>
  <si>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</si>
  <si>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</si>
  <si>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</si>
  <si>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</si>
  <si>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</si>
  <si>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</si>
  <si>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</si>
  <si>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</si>
  <si>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</si>
  <si>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</si>
  <si>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</si>
  <si>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</si>
  <si>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</si>
  <si>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</si>
  <si>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</si>
  <si>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</si>
  <si>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</si>
  <si>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</si>
  <si>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</si>
  <si>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</si>
  <si>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</si>
  <si>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</si>
  <si>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</si>
  <si>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</si>
  <si>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</si>
  <si>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</si>
  <si>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</si>
  <si>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</si>
  <si>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</si>
  <si>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</si>
  <si>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</si>
  <si>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</si>
  <si>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</si>
  <si>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</si>
  <si>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</si>
  <si>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</si>
  <si>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</si>
  <si>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</si>
  <si>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</si>
  <si>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</si>
  <si>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</si>
  <si>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</si>
  <si>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</si>
  <si>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</si>
  <si>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</si>
  <si>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</si>
  <si>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</si>
  <si>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</si>
  <si>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</si>
  <si>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</si>
  <si>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</si>
  <si>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</si>
  <si>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</si>
  <si>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</si>
  <si>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</si>
  <si>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</si>
  <si>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</si>
  <si>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</si>
  <si>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</si>
  <si>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</si>
  <si>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</si>
  <si>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</si>
  <si>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</si>
  <si>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</si>
  <si>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</si>
  <si>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</si>
  <si>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</si>
  <si>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</si>
  <si>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</si>
  <si>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</si>
  <si>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</si>
  <si>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</si>
  <si>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ID</t>
  </si>
  <si>
    <t>ProductType</t>
  </si>
  <si>
    <t>초보자 패키지</t>
  </si>
  <si>
    <t>C_BEGINNER_PKGS_TEXT</t>
  </si>
  <si>
    <t>lkstudio.dante.sample.iap.nc.pkgs.beginner</t>
  </si>
  <si>
    <t>숙련자 패키지</t>
  </si>
  <si>
    <t>C_EXPERT_PKGS_TEXT</t>
  </si>
  <si>
    <t>lkstudio.dante.sample.iap.nc.pkgs.expert</t>
  </si>
  <si>
    <t>전문가 패키지</t>
  </si>
  <si>
    <t>C_PRO_PKGS_TEXT</t>
  </si>
  <si>
    <t>lkstudio.dante.sample.iap.nc.pkgs.pro</t>
  </si>
  <si>
    <t>코인 상자</t>
  </si>
  <si>
    <t>C_COINS_BOX_TEXT</t>
  </si>
  <si>
    <t>lkstudio.dante.sample.iap.c.single.coinsbox</t>
  </si>
  <si>
    <t>C_REMOVE_ADS_TEXT</t>
  </si>
  <si>
    <t>lkstudio.dante.sample.iap.nc.single.removeads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</si>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</sst>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1" fillId="13" fontId="1" numFmtId="1" xfId="0" applyAlignment="1" applyBorder="1" applyFont="1" applyNumberFormat="1">
      <alignment horizontal="left"/>
    </xf>
    <xf borderId="1" fillId="3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/>
    </xf>
    <xf borderId="1" fillId="2" fontId="1" numFmtId="1" xfId="0" applyAlignment="1" applyBorder="1" applyFont="1" applyNumberFormat="1">
      <alignment horizontal="right" vertical="bottom"/>
    </xf>
    <xf borderId="1" fillId="2" fontId="1" numFmtId="1" xfId="0" applyAlignment="1" applyBorder="1" applyFont="1" applyNumberFormat="1">
      <alignment horizontal="left" vertical="bottom"/>
    </xf>
    <xf borderId="1" fillId="13" fontId="1" numFmtId="1" xfId="0" applyAlignment="1" applyBorder="1" applyFont="1" applyNumberFormat="1">
      <alignment horizontal="right" vertical="bottom"/>
    </xf>
    <xf borderId="0" fillId="2" fontId="2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 t="s">
        <v>80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 t="s">
        <v>81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83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84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85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86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87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88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89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90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91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92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93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96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97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102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103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107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108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109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111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112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113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114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115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116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117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118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119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120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121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122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123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124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125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126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127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128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129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130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131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132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133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134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135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136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137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138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139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140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141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142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143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144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145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146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147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148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149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150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151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152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153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154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155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156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157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158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159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160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161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162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163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164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165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166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167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168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169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170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171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172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173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 ht="15.75" customHeight="1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 ht="15.75" customHeight="1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 ht="15.75" customHeight="1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30"/>
      <c r="N248" s="30"/>
      <c r="O248" s="29"/>
      <c r="P248" s="29"/>
      <c r="Q248" s="29"/>
      <c r="R248" s="29"/>
      <c r="S248" s="29"/>
      <c r="T248" s="29"/>
      <c r="U248" s="31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30"/>
      <c r="N249" s="30"/>
      <c r="O249" s="29"/>
      <c r="P249" s="29"/>
      <c r="Q249" s="29"/>
      <c r="R249" s="29"/>
      <c r="S249" s="29"/>
      <c r="T249" s="29"/>
      <c r="U249" s="31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30"/>
      <c r="N250" s="30"/>
      <c r="O250" s="29"/>
      <c r="P250" s="29"/>
      <c r="Q250" s="29"/>
      <c r="R250" s="29"/>
      <c r="S250" s="29"/>
      <c r="T250" s="29"/>
      <c r="U250" s="31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30"/>
      <c r="N251" s="30"/>
      <c r="O251" s="29"/>
      <c r="P251" s="29"/>
      <c r="Q251" s="29"/>
      <c r="R251" s="29"/>
      <c r="S251" s="29"/>
      <c r="T251" s="29"/>
      <c r="U251" s="31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30"/>
      <c r="N252" s="30"/>
      <c r="O252" s="29"/>
      <c r="P252" s="29"/>
      <c r="Q252" s="29"/>
      <c r="R252" s="29"/>
      <c r="S252" s="29"/>
      <c r="T252" s="29"/>
      <c r="U252" s="31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30"/>
      <c r="N253" s="30"/>
      <c r="O253" s="29"/>
      <c r="P253" s="29"/>
      <c r="Q253" s="29"/>
      <c r="R253" s="29"/>
      <c r="S253" s="29"/>
      <c r="T253" s="29"/>
      <c r="U253" s="31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30"/>
      <c r="N254" s="30"/>
      <c r="O254" s="29"/>
      <c r="P254" s="29"/>
      <c r="Q254" s="29"/>
      <c r="R254" s="29"/>
      <c r="S254" s="29"/>
      <c r="T254" s="29"/>
      <c r="U254" s="31"/>
      <c r="V254" s="31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30"/>
      <c r="N255" s="30"/>
      <c r="O255" s="29"/>
      <c r="P255" s="29"/>
      <c r="Q255" s="29"/>
      <c r="R255" s="29"/>
      <c r="S255" s="29"/>
      <c r="T255" s="29"/>
      <c r="U255" s="31"/>
      <c r="V255" s="31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30"/>
      <c r="N256" s="30"/>
      <c r="O256" s="29"/>
      <c r="P256" s="29"/>
      <c r="Q256" s="29"/>
      <c r="R256" s="29"/>
      <c r="S256" s="29"/>
      <c r="T256" s="29"/>
      <c r="U256" s="31"/>
      <c r="V256" s="31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30"/>
      <c r="N257" s="30"/>
      <c r="O257" s="29"/>
      <c r="P257" s="29"/>
      <c r="Q257" s="29"/>
      <c r="R257" s="29"/>
      <c r="S257" s="29"/>
      <c r="T257" s="29"/>
      <c r="U257" s="31"/>
      <c r="V257" s="31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30"/>
      <c r="N258" s="30"/>
      <c r="O258" s="29"/>
      <c r="P258" s="29"/>
      <c r="Q258" s="29"/>
      <c r="R258" s="29"/>
      <c r="S258" s="29"/>
      <c r="T258" s="29"/>
      <c r="U258" s="31"/>
      <c r="V258" s="31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30"/>
      <c r="N259" s="30"/>
      <c r="O259" s="29"/>
      <c r="P259" s="29"/>
      <c r="Q259" s="29"/>
      <c r="R259" s="29"/>
      <c r="S259" s="29"/>
      <c r="T259" s="29"/>
      <c r="U259" s="31"/>
      <c r="V259" s="31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30"/>
      <c r="N260" s="30"/>
      <c r="O260" s="29"/>
      <c r="P260" s="29"/>
      <c r="Q260" s="29"/>
      <c r="R260" s="29"/>
      <c r="S260" s="29"/>
      <c r="T260" s="29"/>
      <c r="U260" s="31"/>
      <c r="V260" s="31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30"/>
      <c r="N261" s="30"/>
      <c r="O261" s="29"/>
      <c r="P261" s="29"/>
      <c r="Q261" s="29"/>
      <c r="R261" s="29"/>
      <c r="S261" s="29"/>
      <c r="T261" s="29"/>
      <c r="U261" s="31"/>
      <c r="V261" s="31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30"/>
      <c r="N262" s="30"/>
      <c r="O262" s="29"/>
      <c r="P262" s="29"/>
      <c r="Q262" s="29"/>
      <c r="R262" s="29"/>
      <c r="S262" s="29"/>
      <c r="T262" s="29"/>
      <c r="U262" s="31"/>
      <c r="V262" s="31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30"/>
      <c r="N263" s="30"/>
      <c r="O263" s="29"/>
      <c r="P263" s="29"/>
      <c r="Q263" s="29"/>
      <c r="R263" s="29"/>
      <c r="S263" s="29"/>
      <c r="T263" s="29"/>
      <c r="U263" s="31"/>
      <c r="V263" s="31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30"/>
      <c r="N264" s="30"/>
      <c r="O264" s="29"/>
      <c r="P264" s="29"/>
      <c r="Q264" s="29"/>
      <c r="R264" s="29"/>
      <c r="S264" s="29"/>
      <c r="T264" s="29"/>
      <c r="U264" s="31"/>
      <c r="V264" s="31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30"/>
      <c r="N265" s="30"/>
      <c r="O265" s="29"/>
      <c r="P265" s="29"/>
      <c r="Q265" s="29"/>
      <c r="R265" s="29"/>
      <c r="S265" s="29"/>
      <c r="T265" s="29"/>
      <c r="U265" s="31"/>
      <c r="V265" s="31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30"/>
      <c r="N266" s="30"/>
      <c r="O266" s="29"/>
      <c r="P266" s="29"/>
      <c r="Q266" s="29"/>
      <c r="R266" s="29"/>
      <c r="S266" s="29"/>
      <c r="T266" s="29"/>
      <c r="U266" s="31"/>
      <c r="V266" s="31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30"/>
      <c r="N267" s="30"/>
      <c r="O267" s="29"/>
      <c r="P267" s="29"/>
      <c r="Q267" s="29"/>
      <c r="R267" s="29"/>
      <c r="S267" s="29"/>
      <c r="T267" s="29"/>
      <c r="U267" s="31"/>
      <c r="V267" s="31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30"/>
      <c r="N268" s="30"/>
      <c r="O268" s="29"/>
      <c r="P268" s="29"/>
      <c r="Q268" s="29"/>
      <c r="R268" s="29"/>
      <c r="S268" s="29"/>
      <c r="T268" s="29"/>
      <c r="U268" s="31"/>
      <c r="V268" s="31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30"/>
      <c r="N269" s="30"/>
      <c r="O269" s="29"/>
      <c r="P269" s="29"/>
      <c r="Q269" s="29"/>
      <c r="R269" s="29"/>
      <c r="S269" s="29"/>
      <c r="T269" s="29"/>
      <c r="U269" s="31"/>
      <c r="V269" s="31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30"/>
      <c r="N270" s="30"/>
      <c r="O270" s="29"/>
      <c r="P270" s="29"/>
      <c r="Q270" s="29"/>
      <c r="R270" s="29"/>
      <c r="S270" s="29"/>
      <c r="T270" s="29"/>
      <c r="U270" s="31"/>
      <c r="V270" s="31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30"/>
      <c r="N271" s="30"/>
      <c r="O271" s="29"/>
      <c r="P271" s="29"/>
      <c r="Q271" s="29"/>
      <c r="R271" s="29"/>
      <c r="S271" s="29"/>
      <c r="T271" s="29"/>
      <c r="U271" s="31"/>
      <c r="V271" s="31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30"/>
      <c r="N272" s="30"/>
      <c r="O272" s="29"/>
      <c r="P272" s="29"/>
      <c r="Q272" s="29"/>
      <c r="R272" s="29"/>
      <c r="S272" s="29"/>
      <c r="T272" s="29"/>
      <c r="U272" s="31"/>
      <c r="V272" s="31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30"/>
      <c r="N273" s="30"/>
      <c r="O273" s="29"/>
      <c r="P273" s="29"/>
      <c r="Q273" s="29"/>
      <c r="R273" s="29"/>
      <c r="S273" s="29"/>
      <c r="T273" s="29"/>
      <c r="U273" s="31"/>
      <c r="V273" s="31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30"/>
      <c r="N274" s="30"/>
      <c r="O274" s="29"/>
      <c r="P274" s="29"/>
      <c r="Q274" s="29"/>
      <c r="R274" s="29"/>
      <c r="S274" s="29"/>
      <c r="T274" s="29"/>
      <c r="U274" s="31"/>
      <c r="V274" s="31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30"/>
      <c r="N275" s="30"/>
      <c r="O275" s="29"/>
      <c r="P275" s="29"/>
      <c r="Q275" s="29"/>
      <c r="R275" s="29"/>
      <c r="S275" s="29"/>
      <c r="T275" s="29"/>
      <c r="U275" s="31"/>
      <c r="V275" s="31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30"/>
      <c r="N276" s="30"/>
      <c r="O276" s="29"/>
      <c r="P276" s="29"/>
      <c r="Q276" s="29"/>
      <c r="R276" s="29"/>
      <c r="S276" s="29"/>
      <c r="T276" s="29"/>
      <c r="U276" s="31"/>
      <c r="V276" s="31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30"/>
      <c r="N277" s="30"/>
      <c r="O277" s="29"/>
      <c r="P277" s="29"/>
      <c r="Q277" s="29"/>
      <c r="R277" s="29"/>
      <c r="S277" s="29"/>
      <c r="T277" s="29"/>
      <c r="U277" s="31"/>
      <c r="V277" s="31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30"/>
      <c r="N278" s="30"/>
      <c r="O278" s="29"/>
      <c r="P278" s="29"/>
      <c r="Q278" s="29"/>
      <c r="R278" s="29"/>
      <c r="S278" s="29"/>
      <c r="T278" s="29"/>
      <c r="U278" s="31"/>
      <c r="V278" s="31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30"/>
      <c r="N279" s="30"/>
      <c r="O279" s="29"/>
      <c r="P279" s="29"/>
      <c r="Q279" s="29"/>
      <c r="R279" s="29"/>
      <c r="S279" s="29"/>
      <c r="T279" s="29"/>
      <c r="U279" s="31"/>
      <c r="V279" s="31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30"/>
      <c r="N280" s="30"/>
      <c r="O280" s="29"/>
      <c r="P280" s="29"/>
      <c r="Q280" s="29"/>
      <c r="R280" s="29"/>
      <c r="S280" s="29"/>
      <c r="T280" s="29"/>
      <c r="U280" s="31"/>
      <c r="V280" s="31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30"/>
      <c r="N281" s="30"/>
      <c r="O281" s="29"/>
      <c r="P281" s="29"/>
      <c r="Q281" s="29"/>
      <c r="R281" s="29"/>
      <c r="S281" s="29"/>
      <c r="T281" s="29"/>
      <c r="U281" s="31"/>
      <c r="V281" s="31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30"/>
      <c r="N282" s="30"/>
      <c r="O282" s="29"/>
      <c r="P282" s="29"/>
      <c r="Q282" s="29"/>
      <c r="R282" s="29"/>
      <c r="S282" s="29"/>
      <c r="T282" s="29"/>
      <c r="U282" s="31"/>
      <c r="V282" s="31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30"/>
      <c r="N283" s="30"/>
      <c r="O283" s="29"/>
      <c r="P283" s="29"/>
      <c r="Q283" s="29"/>
      <c r="R283" s="29"/>
      <c r="S283" s="29"/>
      <c r="T283" s="29"/>
      <c r="U283" s="31"/>
      <c r="V283" s="31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30"/>
      <c r="N284" s="30"/>
      <c r="O284" s="29"/>
      <c r="P284" s="29"/>
      <c r="Q284" s="29"/>
      <c r="R284" s="29"/>
      <c r="S284" s="29"/>
      <c r="T284" s="29"/>
      <c r="U284" s="31"/>
      <c r="V284" s="31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30"/>
      <c r="N285" s="30"/>
      <c r="O285" s="29"/>
      <c r="P285" s="29"/>
      <c r="Q285" s="29"/>
      <c r="R285" s="29"/>
      <c r="S285" s="29"/>
      <c r="T285" s="29"/>
      <c r="U285" s="31"/>
      <c r="V285" s="31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30"/>
      <c r="N286" s="30"/>
      <c r="O286" s="29"/>
      <c r="P286" s="29"/>
      <c r="Q286" s="29"/>
      <c r="R286" s="29"/>
      <c r="S286" s="29"/>
      <c r="T286" s="29"/>
      <c r="U286" s="31"/>
      <c r="V286" s="31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30"/>
      <c r="N287" s="30"/>
      <c r="O287" s="29"/>
      <c r="P287" s="29"/>
      <c r="Q287" s="29"/>
      <c r="R287" s="29"/>
      <c r="S287" s="29"/>
      <c r="T287" s="29"/>
      <c r="U287" s="31"/>
      <c r="V287" s="31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30"/>
      <c r="N288" s="30"/>
      <c r="O288" s="29"/>
      <c r="P288" s="29"/>
      <c r="Q288" s="29"/>
      <c r="R288" s="29"/>
      <c r="S288" s="29"/>
      <c r="T288" s="29"/>
      <c r="U288" s="31"/>
      <c r="V288" s="31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30"/>
      <c r="N289" s="30"/>
      <c r="O289" s="29"/>
      <c r="P289" s="29"/>
      <c r="Q289" s="29"/>
      <c r="R289" s="29"/>
      <c r="S289" s="29"/>
      <c r="T289" s="29"/>
      <c r="U289" s="31"/>
      <c r="V289" s="31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30"/>
      <c r="N290" s="30"/>
      <c r="O290" s="29"/>
      <c r="P290" s="29"/>
      <c r="Q290" s="29"/>
      <c r="R290" s="29"/>
      <c r="S290" s="29"/>
      <c r="T290" s="29"/>
      <c r="U290" s="31"/>
      <c r="V290" s="31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30"/>
      <c r="N291" s="30"/>
      <c r="O291" s="29"/>
      <c r="P291" s="29"/>
      <c r="Q291" s="29"/>
      <c r="R291" s="29"/>
      <c r="S291" s="29"/>
      <c r="T291" s="29"/>
      <c r="U291" s="31"/>
      <c r="V291" s="31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30"/>
      <c r="N292" s="30"/>
      <c r="O292" s="29"/>
      <c r="P292" s="29"/>
      <c r="Q292" s="29"/>
      <c r="R292" s="29"/>
      <c r="S292" s="29"/>
      <c r="T292" s="29"/>
      <c r="U292" s="31"/>
      <c r="V292" s="31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30"/>
      <c r="N293" s="30"/>
      <c r="O293" s="29"/>
      <c r="P293" s="29"/>
      <c r="Q293" s="29"/>
      <c r="R293" s="29"/>
      <c r="S293" s="29"/>
      <c r="T293" s="29"/>
      <c r="U293" s="31"/>
      <c r="V293" s="31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30"/>
      <c r="N294" s="30"/>
      <c r="O294" s="29"/>
      <c r="P294" s="29"/>
      <c r="Q294" s="29"/>
      <c r="R294" s="29"/>
      <c r="S294" s="29"/>
      <c r="T294" s="29"/>
      <c r="U294" s="31"/>
      <c r="V294" s="31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30"/>
      <c r="N295" s="30"/>
      <c r="O295" s="29"/>
      <c r="P295" s="29"/>
      <c r="Q295" s="29"/>
      <c r="R295" s="29"/>
      <c r="S295" s="29"/>
      <c r="T295" s="29"/>
      <c r="U295" s="31"/>
      <c r="V295" s="31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30"/>
      <c r="N296" s="30"/>
      <c r="O296" s="29"/>
      <c r="P296" s="29"/>
      <c r="Q296" s="29"/>
      <c r="R296" s="29"/>
      <c r="S296" s="29"/>
      <c r="T296" s="29"/>
      <c r="U296" s="31"/>
      <c r="V296" s="31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30"/>
      <c r="N297" s="30"/>
      <c r="O297" s="29"/>
      <c r="P297" s="29"/>
      <c r="Q297" s="29"/>
      <c r="R297" s="29"/>
      <c r="S297" s="29"/>
      <c r="T297" s="29"/>
      <c r="U297" s="31"/>
      <c r="V297" s="31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30"/>
      <c r="N298" s="30"/>
      <c r="O298" s="29"/>
      <c r="P298" s="29"/>
      <c r="Q298" s="29"/>
      <c r="R298" s="29"/>
      <c r="S298" s="29"/>
      <c r="T298" s="29"/>
      <c r="U298" s="31"/>
      <c r="V298" s="31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30"/>
      <c r="N299" s="30"/>
      <c r="O299" s="29"/>
      <c r="P299" s="29"/>
      <c r="Q299" s="29"/>
      <c r="R299" s="29"/>
      <c r="S299" s="29"/>
      <c r="T299" s="29"/>
      <c r="U299" s="31"/>
      <c r="V299" s="31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30"/>
      <c r="N300" s="30"/>
      <c r="O300" s="29"/>
      <c r="P300" s="29"/>
      <c r="Q300" s="29"/>
      <c r="R300" s="29"/>
      <c r="S300" s="29"/>
      <c r="T300" s="29"/>
      <c r="U300" s="31"/>
      <c r="V300" s="31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30"/>
      <c r="N301" s="30"/>
      <c r="O301" s="29"/>
      <c r="P301" s="29"/>
      <c r="Q301" s="29"/>
      <c r="R301" s="29"/>
      <c r="S301" s="29"/>
      <c r="T301" s="29"/>
      <c r="U301" s="31"/>
      <c r="V301" s="31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30"/>
      <c r="N302" s="30"/>
      <c r="O302" s="29"/>
      <c r="P302" s="29"/>
      <c r="Q302" s="29"/>
      <c r="R302" s="29"/>
      <c r="S302" s="29"/>
      <c r="T302" s="29"/>
      <c r="U302" s="31"/>
      <c r="V302" s="31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30"/>
      <c r="N303" s="30"/>
      <c r="O303" s="29"/>
      <c r="P303" s="29"/>
      <c r="Q303" s="29"/>
      <c r="R303" s="29"/>
      <c r="S303" s="29"/>
      <c r="T303" s="29"/>
      <c r="U303" s="31"/>
      <c r="V303" s="31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30"/>
      <c r="N304" s="30"/>
      <c r="O304" s="29"/>
      <c r="P304" s="29"/>
      <c r="Q304" s="29"/>
      <c r="R304" s="29"/>
      <c r="S304" s="29"/>
      <c r="T304" s="29"/>
      <c r="U304" s="31"/>
      <c r="V304" s="31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30"/>
      <c r="N305" s="30"/>
      <c r="O305" s="29"/>
      <c r="P305" s="29"/>
      <c r="Q305" s="29"/>
      <c r="R305" s="29"/>
      <c r="S305" s="29"/>
      <c r="T305" s="29"/>
      <c r="U305" s="31"/>
      <c r="V305" s="31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30"/>
      <c r="N306" s="30"/>
      <c r="O306" s="29"/>
      <c r="P306" s="29"/>
      <c r="Q306" s="29"/>
      <c r="R306" s="29"/>
      <c r="S306" s="29"/>
      <c r="T306" s="29"/>
      <c r="U306" s="31"/>
      <c r="V306" s="31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30"/>
      <c r="N307" s="30"/>
      <c r="O307" s="29"/>
      <c r="P307" s="29"/>
      <c r="Q307" s="29"/>
      <c r="R307" s="29"/>
      <c r="S307" s="29"/>
      <c r="T307" s="29"/>
      <c r="U307" s="31"/>
      <c r="V307" s="31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30"/>
      <c r="N308" s="30"/>
      <c r="O308" s="29"/>
      <c r="P308" s="29"/>
      <c r="Q308" s="29"/>
      <c r="R308" s="29"/>
      <c r="S308" s="29"/>
      <c r="T308" s="29"/>
      <c r="U308" s="31"/>
      <c r="V308" s="31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30"/>
      <c r="N309" s="30"/>
      <c r="O309" s="29"/>
      <c r="P309" s="29"/>
      <c r="Q309" s="29"/>
      <c r="R309" s="29"/>
      <c r="S309" s="29"/>
      <c r="T309" s="29"/>
      <c r="U309" s="31"/>
      <c r="V309" s="31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30"/>
      <c r="N310" s="30"/>
      <c r="O310" s="29"/>
      <c r="P310" s="29"/>
      <c r="Q310" s="29"/>
      <c r="R310" s="29"/>
      <c r="S310" s="29"/>
      <c r="T310" s="29"/>
      <c r="U310" s="31"/>
      <c r="V310" s="31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30"/>
      <c r="N311" s="30"/>
      <c r="O311" s="29"/>
      <c r="P311" s="29"/>
      <c r="Q311" s="29"/>
      <c r="R311" s="29"/>
      <c r="S311" s="29"/>
      <c r="T311" s="29"/>
      <c r="U311" s="31"/>
      <c r="V311" s="31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30"/>
      <c r="N312" s="30"/>
      <c r="O312" s="29"/>
      <c r="P312" s="29"/>
      <c r="Q312" s="29"/>
      <c r="R312" s="29"/>
      <c r="S312" s="29"/>
      <c r="T312" s="29"/>
      <c r="U312" s="31"/>
      <c r="V312" s="31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30"/>
      <c r="N313" s="30"/>
      <c r="O313" s="29"/>
      <c r="P313" s="29"/>
      <c r="Q313" s="29"/>
      <c r="R313" s="29"/>
      <c r="S313" s="29"/>
      <c r="T313" s="29"/>
      <c r="U313" s="31"/>
      <c r="V313" s="31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30"/>
      <c r="N314" s="30"/>
      <c r="O314" s="29"/>
      <c r="P314" s="29"/>
      <c r="Q314" s="29"/>
      <c r="R314" s="29"/>
      <c r="S314" s="29"/>
      <c r="T314" s="29"/>
      <c r="U314" s="31"/>
      <c r="V314" s="31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30"/>
      <c r="N315" s="30"/>
      <c r="O315" s="29"/>
      <c r="P315" s="29"/>
      <c r="Q315" s="29"/>
      <c r="R315" s="29"/>
      <c r="S315" s="29"/>
      <c r="T315" s="29"/>
      <c r="U315" s="31"/>
      <c r="V315" s="31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30"/>
      <c r="N316" s="30"/>
      <c r="O316" s="29"/>
      <c r="P316" s="29"/>
      <c r="Q316" s="29"/>
      <c r="R316" s="29"/>
      <c r="S316" s="29"/>
      <c r="T316" s="29"/>
      <c r="U316" s="31"/>
      <c r="V316" s="31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30"/>
      <c r="N317" s="30"/>
      <c r="O317" s="29"/>
      <c r="P317" s="29"/>
      <c r="Q317" s="29"/>
      <c r="R317" s="29"/>
      <c r="S317" s="29"/>
      <c r="T317" s="29"/>
      <c r="U317" s="31"/>
      <c r="V317" s="31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30"/>
      <c r="N318" s="30"/>
      <c r="O318" s="29"/>
      <c r="P318" s="29"/>
      <c r="Q318" s="29"/>
      <c r="R318" s="29"/>
      <c r="S318" s="29"/>
      <c r="T318" s="29"/>
      <c r="U318" s="31"/>
      <c r="V318" s="31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30"/>
      <c r="N319" s="30"/>
      <c r="O319" s="29"/>
      <c r="P319" s="29"/>
      <c r="Q319" s="29"/>
      <c r="R319" s="29"/>
      <c r="S319" s="29"/>
      <c r="T319" s="29"/>
      <c r="U319" s="31"/>
      <c r="V319" s="31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30"/>
      <c r="N320" s="30"/>
      <c r="O320" s="29"/>
      <c r="P320" s="29"/>
      <c r="Q320" s="29"/>
      <c r="R320" s="29"/>
      <c r="S320" s="29"/>
      <c r="T320" s="29"/>
      <c r="U320" s="31"/>
      <c r="V320" s="31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30"/>
      <c r="N321" s="30"/>
      <c r="O321" s="29"/>
      <c r="P321" s="29"/>
      <c r="Q321" s="29"/>
      <c r="R321" s="29"/>
      <c r="S321" s="29"/>
      <c r="T321" s="29"/>
      <c r="U321" s="31"/>
      <c r="V321" s="31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30"/>
      <c r="N322" s="30"/>
      <c r="O322" s="29"/>
      <c r="P322" s="29"/>
      <c r="Q322" s="29"/>
      <c r="R322" s="29"/>
      <c r="S322" s="29"/>
      <c r="T322" s="29"/>
      <c r="U322" s="31"/>
      <c r="V322" s="31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30"/>
      <c r="N323" s="30"/>
      <c r="O323" s="29"/>
      <c r="P323" s="29"/>
      <c r="Q323" s="29"/>
      <c r="R323" s="29"/>
      <c r="S323" s="29"/>
      <c r="T323" s="29"/>
      <c r="U323" s="31"/>
      <c r="V323" s="31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30"/>
      <c r="N324" s="30"/>
      <c r="O324" s="29"/>
      <c r="P324" s="29"/>
      <c r="Q324" s="29"/>
      <c r="R324" s="29"/>
      <c r="S324" s="29"/>
      <c r="T324" s="29"/>
      <c r="U324" s="31"/>
      <c r="V324" s="31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30"/>
      <c r="N325" s="30"/>
      <c r="O325" s="29"/>
      <c r="P325" s="29"/>
      <c r="Q325" s="29"/>
      <c r="R325" s="29"/>
      <c r="S325" s="29"/>
      <c r="T325" s="29"/>
      <c r="U325" s="31"/>
      <c r="V325" s="31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30"/>
      <c r="N326" s="30"/>
      <c r="O326" s="29"/>
      <c r="P326" s="29"/>
      <c r="Q326" s="29"/>
      <c r="R326" s="29"/>
      <c r="S326" s="29"/>
      <c r="T326" s="29"/>
      <c r="U326" s="31"/>
      <c r="V326" s="31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30"/>
      <c r="N327" s="30"/>
      <c r="O327" s="29"/>
      <c r="P327" s="29"/>
      <c r="Q327" s="29"/>
      <c r="R327" s="29"/>
      <c r="S327" s="29"/>
      <c r="T327" s="29"/>
      <c r="U327" s="31"/>
      <c r="V327" s="31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30"/>
      <c r="N328" s="30"/>
      <c r="O328" s="29"/>
      <c r="P328" s="29"/>
      <c r="Q328" s="29"/>
      <c r="R328" s="29"/>
      <c r="S328" s="29"/>
      <c r="T328" s="29"/>
      <c r="U328" s="31"/>
      <c r="V328" s="31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30"/>
      <c r="N329" s="30"/>
      <c r="O329" s="29"/>
      <c r="P329" s="29"/>
      <c r="Q329" s="29"/>
      <c r="R329" s="29"/>
      <c r="S329" s="29"/>
      <c r="T329" s="29"/>
      <c r="U329" s="31"/>
      <c r="V329" s="31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30"/>
      <c r="N330" s="30"/>
      <c r="O330" s="29"/>
      <c r="P330" s="29"/>
      <c r="Q330" s="29"/>
      <c r="R330" s="29"/>
      <c r="S330" s="29"/>
      <c r="T330" s="29"/>
      <c r="U330" s="31"/>
      <c r="V330" s="31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30"/>
      <c r="N331" s="30"/>
      <c r="O331" s="29"/>
      <c r="P331" s="29"/>
      <c r="Q331" s="29"/>
      <c r="R331" s="29"/>
      <c r="S331" s="29"/>
      <c r="T331" s="29"/>
      <c r="U331" s="31"/>
      <c r="V331" s="31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30"/>
      <c r="N332" s="30"/>
      <c r="O332" s="29"/>
      <c r="P332" s="29"/>
      <c r="Q332" s="29"/>
      <c r="R332" s="29"/>
      <c r="S332" s="29"/>
      <c r="T332" s="29"/>
      <c r="U332" s="31"/>
      <c r="V332" s="31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30"/>
      <c r="N333" s="30"/>
      <c r="O333" s="29"/>
      <c r="P333" s="29"/>
      <c r="Q333" s="29"/>
      <c r="R333" s="29"/>
      <c r="S333" s="29"/>
      <c r="T333" s="29"/>
      <c r="U333" s="31"/>
      <c r="V333" s="31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30"/>
      <c r="N334" s="30"/>
      <c r="O334" s="29"/>
      <c r="P334" s="29"/>
      <c r="Q334" s="29"/>
      <c r="R334" s="29"/>
      <c r="S334" s="29"/>
      <c r="T334" s="29"/>
      <c r="U334" s="31"/>
      <c r="V334" s="31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30"/>
      <c r="N335" s="30"/>
      <c r="O335" s="29"/>
      <c r="P335" s="29"/>
      <c r="Q335" s="29"/>
      <c r="R335" s="29"/>
      <c r="S335" s="29"/>
      <c r="T335" s="29"/>
      <c r="U335" s="31"/>
      <c r="V335" s="31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30"/>
      <c r="N336" s="30"/>
      <c r="O336" s="29"/>
      <c r="P336" s="29"/>
      <c r="Q336" s="29"/>
      <c r="R336" s="29"/>
      <c r="S336" s="29"/>
      <c r="T336" s="29"/>
      <c r="U336" s="31"/>
      <c r="V336" s="31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30"/>
      <c r="N337" s="30"/>
      <c r="O337" s="29"/>
      <c r="P337" s="29"/>
      <c r="Q337" s="29"/>
      <c r="R337" s="29"/>
      <c r="S337" s="29"/>
      <c r="T337" s="29"/>
      <c r="U337" s="31"/>
      <c r="V337" s="31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30"/>
      <c r="N338" s="30"/>
      <c r="O338" s="29"/>
      <c r="P338" s="29"/>
      <c r="Q338" s="29"/>
      <c r="R338" s="29"/>
      <c r="S338" s="29"/>
      <c r="T338" s="29"/>
      <c r="U338" s="31"/>
      <c r="V338" s="31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30"/>
      <c r="N339" s="30"/>
      <c r="O339" s="29"/>
      <c r="P339" s="29"/>
      <c r="Q339" s="29"/>
      <c r="R339" s="29"/>
      <c r="S339" s="29"/>
      <c r="T339" s="29"/>
      <c r="U339" s="31"/>
      <c r="V339" s="31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30"/>
      <c r="N340" s="30"/>
      <c r="O340" s="29"/>
      <c r="P340" s="29"/>
      <c r="Q340" s="29"/>
      <c r="R340" s="29"/>
      <c r="S340" s="29"/>
      <c r="T340" s="29"/>
      <c r="U340" s="31"/>
      <c r="V340" s="31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30"/>
      <c r="N341" s="30"/>
      <c r="O341" s="29"/>
      <c r="P341" s="29"/>
      <c r="Q341" s="29"/>
      <c r="R341" s="29"/>
      <c r="S341" s="29"/>
      <c r="T341" s="29"/>
      <c r="U341" s="31"/>
      <c r="V341" s="31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30"/>
      <c r="N342" s="30"/>
      <c r="O342" s="29"/>
      <c r="P342" s="29"/>
      <c r="Q342" s="29"/>
      <c r="R342" s="29"/>
      <c r="S342" s="29"/>
      <c r="T342" s="29"/>
      <c r="U342" s="31"/>
      <c r="V342" s="31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30"/>
      <c r="N343" s="30"/>
      <c r="O343" s="29"/>
      <c r="P343" s="29"/>
      <c r="Q343" s="29"/>
      <c r="R343" s="29"/>
      <c r="S343" s="29"/>
      <c r="T343" s="29"/>
      <c r="U343" s="31"/>
      <c r="V343" s="31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30"/>
      <c r="N344" s="30"/>
      <c r="O344" s="29"/>
      <c r="P344" s="29"/>
      <c r="Q344" s="29"/>
      <c r="R344" s="29"/>
      <c r="S344" s="29"/>
      <c r="T344" s="29"/>
      <c r="U344" s="31"/>
      <c r="V344" s="31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M345" s="30"/>
      <c r="N345" s="30"/>
      <c r="U345" s="31"/>
      <c r="V345" s="31"/>
    </row>
    <row r="346" ht="15.75" customHeight="1">
      <c r="M346" s="30"/>
      <c r="N346" s="30"/>
      <c r="U346" s="31"/>
      <c r="V346" s="31"/>
    </row>
    <row r="347" ht="15.75" customHeight="1">
      <c r="M347" s="30"/>
      <c r="N347" s="30"/>
      <c r="U347" s="31"/>
      <c r="V347" s="3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22.63"/>
    <col customWidth="1" min="12" max="12" width="4.75"/>
    <col customWidth="1" min="13" max="13" width="35.5"/>
    <col customWidth="1" min="14" max="14" width="10.38"/>
    <col customWidth="1" min="15" max="34" width="12.63"/>
  </cols>
  <sheetData>
    <row r="1">
      <c r="A1" s="1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32" t="s">
        <v>180</v>
      </c>
      <c r="H1" s="1" t="s">
        <v>181</v>
      </c>
      <c r="I1" s="1" t="s">
        <v>182</v>
      </c>
      <c r="J1" s="1" t="s">
        <v>183</v>
      </c>
      <c r="K1" s="26" t="s">
        <v>184</v>
      </c>
      <c r="L1" s="32" t="s">
        <v>185</v>
      </c>
      <c r="M1" s="32" t="s">
        <v>186</v>
      </c>
      <c r="N1" s="32" t="s">
        <v>187</v>
      </c>
      <c r="O1" s="32"/>
      <c r="P1" s="33"/>
      <c r="Q1" s="33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188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26" t="s">
        <v>189</v>
      </c>
      <c r="L2" s="32"/>
      <c r="M2" s="34" t="s">
        <v>190</v>
      </c>
      <c r="N2" s="34">
        <f>README!$B$34</f>
        <v>1</v>
      </c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2" t="s">
        <v>191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4">
        <v>0.0</v>
      </c>
      <c r="H3" s="14">
        <v>0.0</v>
      </c>
      <c r="I3" s="14">
        <v>0.0</v>
      </c>
      <c r="J3" s="14">
        <v>0.0</v>
      </c>
      <c r="K3" s="26" t="s">
        <v>192</v>
      </c>
      <c r="L3" s="32"/>
      <c r="M3" s="34" t="s">
        <v>193</v>
      </c>
      <c r="N3" s="34">
        <f>README!$B$34</f>
        <v>1</v>
      </c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6" t="s">
        <v>194</v>
      </c>
      <c r="B4" s="37">
        <v>0.0</v>
      </c>
      <c r="C4" s="37">
        <v>0.0</v>
      </c>
      <c r="D4" s="37">
        <v>0.0</v>
      </c>
      <c r="E4" s="37">
        <v>0.0</v>
      </c>
      <c r="F4" s="37">
        <v>0.0</v>
      </c>
      <c r="G4" s="38">
        <v>0.0</v>
      </c>
      <c r="H4" s="39">
        <v>0.0</v>
      </c>
      <c r="I4" s="39">
        <v>0.0</v>
      </c>
      <c r="J4" s="39">
        <v>0.0</v>
      </c>
      <c r="K4" s="40" t="s">
        <v>195</v>
      </c>
      <c r="L4" s="36"/>
      <c r="M4" s="38" t="s">
        <v>196</v>
      </c>
      <c r="N4" s="38">
        <f>README!$B$34</f>
        <v>1</v>
      </c>
      <c r="O4" s="38"/>
      <c r="P4" s="41"/>
      <c r="Q4" s="41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</row>
    <row r="5">
      <c r="A5" s="32" t="s">
        <v>197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4">
        <v>0.0</v>
      </c>
      <c r="H5" s="14">
        <v>0.0</v>
      </c>
      <c r="I5" s="14">
        <v>0.0</v>
      </c>
      <c r="J5" s="14">
        <v>0.0</v>
      </c>
      <c r="K5" s="26" t="s">
        <v>198</v>
      </c>
      <c r="L5" s="32"/>
      <c r="M5" s="34" t="s">
        <v>199</v>
      </c>
      <c r="N5" s="34">
        <f>README!$B$34</f>
        <v>1</v>
      </c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2" t="s">
        <v>40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4">
        <v>0.0</v>
      </c>
      <c r="H6" s="14">
        <v>0.0</v>
      </c>
      <c r="I6" s="14">
        <v>0.0</v>
      </c>
      <c r="J6" s="14">
        <v>0.0</v>
      </c>
      <c r="K6" s="26" t="s">
        <v>200</v>
      </c>
      <c r="L6" s="32"/>
      <c r="M6" s="42" t="s">
        <v>201</v>
      </c>
      <c r="N6" s="34">
        <f>README!$B$34</f>
        <v>1</v>
      </c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26"/>
      <c r="L7" s="32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2"/>
      <c r="B8" s="15"/>
      <c r="C8" s="15"/>
      <c r="D8" s="15"/>
      <c r="E8" s="15"/>
      <c r="F8" s="15"/>
      <c r="G8" s="34"/>
      <c r="H8" s="14"/>
      <c r="I8" s="14"/>
      <c r="J8" s="14"/>
      <c r="K8" s="26"/>
      <c r="L8" s="32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26"/>
      <c r="L9" s="32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2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2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2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2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2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2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2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2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2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2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2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2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2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2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2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2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2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2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2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2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2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2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2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2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2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2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2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2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2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2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2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2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2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2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2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2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2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2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2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2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2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2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2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2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2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2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2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2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2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2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2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2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2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2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2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2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2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2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2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2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2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2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2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2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2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2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2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2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2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2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2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2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2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2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2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2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2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2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2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2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2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2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2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2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2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2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2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2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2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2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2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2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2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2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2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2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2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2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2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2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2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2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2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2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2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2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2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2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2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2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2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2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2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2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2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2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2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2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2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2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2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2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2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2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2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2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2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2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2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2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2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2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2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2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2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2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2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2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2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2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2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2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2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2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2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2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2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2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2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2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2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2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2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2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2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2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2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2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2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2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2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2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2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2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2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2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2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2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2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2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2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2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2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2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2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2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2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2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2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2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2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2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2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2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2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2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2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2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2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2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2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2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2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2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2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2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2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2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2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2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2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2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2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2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2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2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2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2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2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2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2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32" t="s">
        <v>180</v>
      </c>
      <c r="H1" s="1" t="s">
        <v>181</v>
      </c>
      <c r="I1" s="1" t="s">
        <v>182</v>
      </c>
      <c r="J1" s="1" t="s">
        <v>183</v>
      </c>
      <c r="K1" s="26" t="s">
        <v>184</v>
      </c>
      <c r="L1" s="32" t="s">
        <v>185</v>
      </c>
      <c r="M1" s="32" t="s">
        <v>186</v>
      </c>
      <c r="N1" s="32" t="s">
        <v>187</v>
      </c>
      <c r="O1" s="32"/>
      <c r="P1" s="33"/>
      <c r="Q1" s="33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/>
      <c r="B2" s="15"/>
      <c r="C2" s="15"/>
      <c r="D2" s="15"/>
      <c r="E2" s="15"/>
      <c r="F2" s="15"/>
      <c r="G2" s="34"/>
      <c r="H2" s="14"/>
      <c r="I2" s="14"/>
      <c r="J2" s="14"/>
      <c r="K2" s="26"/>
      <c r="L2" s="32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26"/>
      <c r="L3" s="32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2"/>
      <c r="B4" s="15"/>
      <c r="C4" s="15"/>
      <c r="D4" s="15"/>
      <c r="E4" s="15"/>
      <c r="F4" s="15"/>
      <c r="G4" s="34"/>
      <c r="H4" s="14"/>
      <c r="I4" s="14"/>
      <c r="J4" s="14"/>
      <c r="K4" s="26"/>
      <c r="L4" s="32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26"/>
      <c r="L5" s="32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2"/>
      <c r="B6" s="15"/>
      <c r="C6" s="15"/>
      <c r="D6" s="15"/>
      <c r="E6" s="15"/>
      <c r="F6" s="15"/>
      <c r="G6" s="34"/>
      <c r="H6" s="14"/>
      <c r="I6" s="14"/>
      <c r="J6" s="14"/>
      <c r="K6" s="26"/>
      <c r="L6" s="32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26"/>
      <c r="L7" s="32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2"/>
      <c r="B8" s="15"/>
      <c r="C8" s="15"/>
      <c r="D8" s="15"/>
      <c r="E8" s="15"/>
      <c r="F8" s="15"/>
      <c r="G8" s="34"/>
      <c r="H8" s="14"/>
      <c r="I8" s="14"/>
      <c r="J8" s="14"/>
      <c r="K8" s="26"/>
      <c r="L8" s="32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26"/>
      <c r="L9" s="32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2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2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2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2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2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2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2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2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2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2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2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2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2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2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2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2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2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2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2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2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2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2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2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2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2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2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2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2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2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2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2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2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2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2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2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2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2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2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2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2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2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2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2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2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2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2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2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2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2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2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2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2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2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2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2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2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2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2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2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2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2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2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2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2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2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2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2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2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2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2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2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2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2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2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2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2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2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2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2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2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2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2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2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2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2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2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2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2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2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2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2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2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2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2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2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2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2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2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2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2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2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2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2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2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2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2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2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2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2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2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2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2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2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2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2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2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2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2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2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2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2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2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2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2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2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2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2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2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2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2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2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2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2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2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2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2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2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2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2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2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2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2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2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2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2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2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2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2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2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2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2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2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2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2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2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2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2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2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2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2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2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2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2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2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2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2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2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2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2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2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2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2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2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2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2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2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2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2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2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2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2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2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2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2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2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2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2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2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2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2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2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2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2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2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2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2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2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2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2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2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2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2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2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2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2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2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2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2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2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2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2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32" t="s">
        <v>180</v>
      </c>
      <c r="H1" s="1" t="s">
        <v>181</v>
      </c>
      <c r="I1" s="1" t="s">
        <v>182</v>
      </c>
      <c r="J1" s="1" t="s">
        <v>183</v>
      </c>
      <c r="K1" s="26" t="s">
        <v>184</v>
      </c>
      <c r="L1" s="32" t="s">
        <v>185</v>
      </c>
      <c r="M1" s="32" t="s">
        <v>186</v>
      </c>
      <c r="N1" s="32" t="s">
        <v>187</v>
      </c>
      <c r="O1" s="32"/>
      <c r="P1" s="33"/>
      <c r="Q1" s="33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/>
      <c r="B2" s="15"/>
      <c r="C2" s="15"/>
      <c r="D2" s="15"/>
      <c r="E2" s="15"/>
      <c r="F2" s="15"/>
      <c r="G2" s="34"/>
      <c r="H2" s="14"/>
      <c r="I2" s="14"/>
      <c r="J2" s="14"/>
      <c r="K2" s="26"/>
      <c r="L2" s="32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26"/>
      <c r="L3" s="32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2"/>
      <c r="B4" s="15"/>
      <c r="C4" s="15"/>
      <c r="D4" s="15"/>
      <c r="E4" s="15"/>
      <c r="F4" s="15"/>
      <c r="G4" s="34"/>
      <c r="H4" s="14"/>
      <c r="I4" s="14"/>
      <c r="J4" s="14"/>
      <c r="K4" s="26"/>
      <c r="L4" s="32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26"/>
      <c r="L5" s="32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2"/>
      <c r="B6" s="15"/>
      <c r="C6" s="15"/>
      <c r="D6" s="15"/>
      <c r="E6" s="15"/>
      <c r="F6" s="15"/>
      <c r="G6" s="34"/>
      <c r="H6" s="14"/>
      <c r="I6" s="14"/>
      <c r="J6" s="14"/>
      <c r="K6" s="26"/>
      <c r="L6" s="32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26"/>
      <c r="L7" s="32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2"/>
      <c r="B8" s="15"/>
      <c r="C8" s="15"/>
      <c r="D8" s="15"/>
      <c r="E8" s="15"/>
      <c r="F8" s="15"/>
      <c r="G8" s="34"/>
      <c r="H8" s="14"/>
      <c r="I8" s="14"/>
      <c r="J8" s="14"/>
      <c r="K8" s="26"/>
      <c r="L8" s="32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26"/>
      <c r="L9" s="32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2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2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2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2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2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2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2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2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2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2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2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2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2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2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2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2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2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2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2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2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2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2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2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2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2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2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2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2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2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2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2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2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2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2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2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2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2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2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2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2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2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2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2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2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2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2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2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2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2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2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2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2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2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2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2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2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2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2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2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2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2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2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2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2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2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2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2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2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2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2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2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2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2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2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2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2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2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2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2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2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2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2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2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2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2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2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2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2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2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2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2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2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2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2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2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2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2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2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2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2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2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2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2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2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2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2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2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2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2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2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2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2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2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2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2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2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2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2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2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2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2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2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2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2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2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2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2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2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2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2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2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2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2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2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2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2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2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2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2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2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2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2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2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2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2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2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2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2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2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2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2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2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2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2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2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2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2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2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2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2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2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2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2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2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2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2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2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2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2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2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2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2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2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2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2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2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2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2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2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2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2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2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2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2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2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2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2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2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2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2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2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2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2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2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2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2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2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2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2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2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2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2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2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2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2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2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2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2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2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2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2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88"/>
  </cols>
  <sheetData>
    <row r="1">
      <c r="A1" s="1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32" t="s">
        <v>180</v>
      </c>
      <c r="H1" s="1" t="s">
        <v>181</v>
      </c>
      <c r="I1" s="1" t="s">
        <v>182</v>
      </c>
      <c r="J1" s="1" t="s">
        <v>183</v>
      </c>
      <c r="K1" s="26" t="s">
        <v>184</v>
      </c>
      <c r="L1" s="32" t="s">
        <v>185</v>
      </c>
      <c r="M1" s="32" t="s">
        <v>186</v>
      </c>
      <c r="N1" s="32" t="s">
        <v>187</v>
      </c>
      <c r="O1" s="32"/>
      <c r="P1" s="33"/>
      <c r="Q1" s="33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/>
      <c r="B2" s="15"/>
      <c r="C2" s="15"/>
      <c r="D2" s="15"/>
      <c r="E2" s="15"/>
      <c r="F2" s="15"/>
      <c r="G2" s="34"/>
      <c r="H2" s="14"/>
      <c r="I2" s="14"/>
      <c r="J2" s="14"/>
      <c r="K2" s="26"/>
      <c r="L2" s="32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26"/>
      <c r="L3" s="32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2"/>
      <c r="B4" s="15"/>
      <c r="C4" s="15"/>
      <c r="D4" s="15"/>
      <c r="E4" s="15"/>
      <c r="F4" s="15"/>
      <c r="G4" s="34"/>
      <c r="H4" s="14"/>
      <c r="I4" s="14"/>
      <c r="J4" s="14"/>
      <c r="K4" s="26"/>
      <c r="L4" s="32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26"/>
      <c r="L5" s="32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2"/>
      <c r="B6" s="15"/>
      <c r="C6" s="15"/>
      <c r="D6" s="15"/>
      <c r="E6" s="15"/>
      <c r="F6" s="15"/>
      <c r="G6" s="34"/>
      <c r="H6" s="14"/>
      <c r="I6" s="14"/>
      <c r="J6" s="14"/>
      <c r="K6" s="26"/>
      <c r="L6" s="32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26"/>
      <c r="L7" s="32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2"/>
      <c r="B8" s="15"/>
      <c r="C8" s="15"/>
      <c r="D8" s="15"/>
      <c r="E8" s="15"/>
      <c r="F8" s="15"/>
      <c r="G8" s="34"/>
      <c r="H8" s="14"/>
      <c r="I8" s="14"/>
      <c r="J8" s="14"/>
      <c r="K8" s="26"/>
      <c r="L8" s="32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26"/>
      <c r="L9" s="32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2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2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2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2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2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2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2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2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2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2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2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2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2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2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2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2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2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2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2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2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2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2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2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2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2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2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2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2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2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2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2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2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2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2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2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2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2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2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2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2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2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2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2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2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2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2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2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2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2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2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2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2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2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2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2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2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2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2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2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2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2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2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2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2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2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2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2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2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2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2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2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2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2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2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2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2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2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2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2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2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2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2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2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2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2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2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2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2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2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2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2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2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2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2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2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2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2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2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2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2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2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2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2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2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2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2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2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2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2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2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2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2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2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2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2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2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2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2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2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2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2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2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2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2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2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2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2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2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2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2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2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2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2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2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2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2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2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2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2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2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2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2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2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2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2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2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2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2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2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2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2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2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2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2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2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2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2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2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2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2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2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2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2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2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2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2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2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2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2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2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2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2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2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2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2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2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2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2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2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2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2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2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2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2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2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2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2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2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2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2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2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2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2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2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2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2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2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2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2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2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2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2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2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2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2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2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2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2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2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2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2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22.63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26" t="s">
        <v>180</v>
      </c>
      <c r="H1" s="1" t="s">
        <v>181</v>
      </c>
      <c r="I1" s="1" t="s">
        <v>182</v>
      </c>
      <c r="J1" s="1" t="s">
        <v>183</v>
      </c>
      <c r="K1" s="26" t="s">
        <v>184</v>
      </c>
      <c r="L1" s="26" t="s">
        <v>185</v>
      </c>
      <c r="M1" s="26" t="s">
        <v>202</v>
      </c>
      <c r="N1" s="26" t="s">
        <v>203</v>
      </c>
      <c r="O1" s="26" t="s">
        <v>204</v>
      </c>
      <c r="P1" s="26" t="s">
        <v>205</v>
      </c>
      <c r="Q1" s="26" t="s">
        <v>206</v>
      </c>
      <c r="R1" s="26" t="s">
        <v>207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188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 t="s">
        <v>189</v>
      </c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v>0.0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191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 t="s">
        <v>192</v>
      </c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v>1.0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40" t="s">
        <v>194</v>
      </c>
      <c r="B4" s="37">
        <v>0.0</v>
      </c>
      <c r="C4" s="37">
        <v>0.0</v>
      </c>
      <c r="D4" s="37">
        <v>0.0</v>
      </c>
      <c r="E4" s="37">
        <v>2.0</v>
      </c>
      <c r="F4" s="37">
        <v>0.0</v>
      </c>
      <c r="G4" s="39">
        <v>0.0</v>
      </c>
      <c r="H4" s="39">
        <v>0.0</v>
      </c>
      <c r="I4" s="39">
        <v>0.0</v>
      </c>
      <c r="J4" s="39">
        <v>0.0</v>
      </c>
      <c r="K4" s="40" t="s">
        <v>195</v>
      </c>
      <c r="L4" s="40"/>
      <c r="M4" s="39">
        <f>IF($A4="", -1, ($B4*README!$B$2)+($C4*README!$B$3)+($D4*README!$B$4)+($E4*README!$B$5)+($F4*README!$B$6))</f>
        <v>200</v>
      </c>
      <c r="N4" s="39">
        <f>IF($A4="", -1, ($B4*README!$B$2)+($C4*README!$B$3)+($D4*README!$B$4)+($E4*README!$B$5)+($F4*README!$B$6)-1)</f>
        <v>199</v>
      </c>
      <c r="O4" s="39">
        <f>IF($A4="", -1, ($B4*README!$B$2)+($C4*README!$B$3)+($D4*README!$B$4)+($E4*README!$B$5)+($F4*README!$B$6)+1)</f>
        <v>201</v>
      </c>
      <c r="P4" s="39">
        <v>2.0</v>
      </c>
      <c r="Q4" s="39" t="str">
        <f>JOIN(", ", README!$L$2, README!$B$27, -1, README!$B$9, 0)</f>
        <v>-1, -1, -1, -1, 0</v>
      </c>
      <c r="R4" s="39" t="str">
        <f>JOIN(", ", README!$L$2, README!$B$27, -1, README!$B$9, 0)</f>
        <v>-1, -1, -1, -1, 0</v>
      </c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</row>
    <row r="5">
      <c r="A5" s="26" t="s">
        <v>197</v>
      </c>
      <c r="B5" s="15">
        <v>1.0</v>
      </c>
      <c r="C5" s="15">
        <v>0.0</v>
      </c>
      <c r="D5" s="15">
        <v>0.0</v>
      </c>
      <c r="E5" s="15">
        <v>0.0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 t="s">
        <v>198</v>
      </c>
      <c r="L5" s="26"/>
      <c r="M5" s="14">
        <f>IF($A5="", -1, ($B5*README!$B$2)+($C5*README!$B$3)+($D5*README!$B$4)+($E5*README!$B$5)+($F5*README!$B$6))</f>
        <v>100000000</v>
      </c>
      <c r="N5" s="14">
        <f>IF($A5="", -1, ($B5*README!$B$2)+($C5*README!$B$3)+($D5*README!$B$4)+($E5*README!$B$5)+($F5*README!$B$6)-1)</f>
        <v>99999999</v>
      </c>
      <c r="O5" s="14">
        <f>IF($A5="", -1, ($B5*README!$B$2)+($C5*README!$B$3)+($D5*README!$B$4)+($E5*README!$B$5)+($F5*README!$B$6)+1)</f>
        <v>100000001</v>
      </c>
      <c r="P5" s="14">
        <v>3.0</v>
      </c>
      <c r="Q5" s="14" t="str">
        <f>JOIN(", ", README!$L$2, README!$B$27, -1, README!$B$9, 0)</f>
        <v>-1, -1, -1, -1, 0</v>
      </c>
      <c r="R5" s="14" t="str">
        <f>JOIN(", ", README!$L$2, README!$B$27, -1, README!$B$9, 0)</f>
        <v>-1, -1, -1, -1, 0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 t="s">
        <v>40</v>
      </c>
      <c r="B6" s="15">
        <v>1.0</v>
      </c>
      <c r="C6" s="15">
        <v>0.0</v>
      </c>
      <c r="D6" s="15">
        <v>0.0</v>
      </c>
      <c r="E6" s="15">
        <v>1.0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 t="s">
        <v>200</v>
      </c>
      <c r="L6" s="26"/>
      <c r="M6" s="14">
        <f>IF($A6="", -1, ($B6*README!$B$2)+($C6*README!$B$3)+($D6*README!$B$4)+($E6*README!$B$5)+($F6*README!$B$6))</f>
        <v>100000100</v>
      </c>
      <c r="N6" s="14">
        <f>IF($A6="", -1, ($B6*README!$B$2)+($C6*README!$B$3)+($D6*README!$B$4)+($E6*README!$B$5)+($F6*README!$B$6)-1)</f>
        <v>100000099</v>
      </c>
      <c r="O6" s="14">
        <f>IF($A6="", -1, ($B6*README!$B$2)+($C6*README!$B$3)+($D6*README!$B$4)+($E6*README!$B$5)+($F6*README!$B$6)+1)</f>
        <v>100000101</v>
      </c>
      <c r="P6" s="14">
        <v>4.0</v>
      </c>
      <c r="Q6" s="14" t="str">
        <f>JOIN(", ", README!$L$2, README!$B$27, -1, README!$B$9, 0)</f>
        <v>-1, -1, -1, -1, 0</v>
      </c>
      <c r="R6" s="14" t="str">
        <f>JOIN(", ", README!$L$2, README!$B$27, -1, README!$B$9, 0)</f>
        <v>-1, -1, -1, -1, 0</v>
      </c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