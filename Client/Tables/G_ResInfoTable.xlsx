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<sst xmlns="http://schemas.openxmlformats.org/spreadsheetml/2006/main" count="289" uniqueCount="269">
  <si>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</si>
  <si>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</si>
  <si>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</si>
  <si>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</si>
  <si>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</si>
  <si>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</si>
  <si>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</si>
  <si>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</si>
  <si>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</si>
  <si>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</si>
  <si>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</si>
  <si>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</si>
  <si>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</si>
  <si>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</si>
  <si>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</si>
  <si>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</si>
  <si>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</si>
  <si>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</si>
  <si>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</si>
  <si>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</si>
  <si>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</si>
  <si>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</si>
  <si>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</si>
  <si>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</si>
  <si>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</si>
  <si>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</si>
  <si>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</si>
  <si>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</si>
  <si>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</si>
  <si>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</si>
  <si>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</si>
  <si>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</si>
  <si>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</si>
  <si>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</si>
  <si>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</si>
  <si>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</si>
  <si>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</si>
  <si>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</si>
  <si>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</si>
  <si>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</si>
  <si>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</si>
  <si>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</si>
  <si>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</si>
  <si>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</si>
  <si>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</si>
  <si>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</si>
  <si>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</si>
  <si>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</si>
  <si>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</si>
  <si>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</si>
  <si>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</si>
  <si>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</si>
  <si>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</si>
  <si>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</si>
  <si>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</si>
  <si>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</si>
  <si>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</si>
  <si>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</si>
  <si>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</si>
  <si>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</si>
  <si>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</si>
  <si>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</si>
  <si>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</si>
  <si>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</si>
  <si>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</si>
  <si>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</si>
  <si>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</si>
  <si>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</si>
  <si>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</si>
  <si>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</si>
  <si>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</si>
  <si>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</si>
  <si>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</si>
  <si>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</si>
  <si>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</si>
  <si>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</si>
  <si>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</si>
  <si>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사운드 기본 경로</t>
  </si>
  <si>
    <t>기력 감소 - 1</t>
  </si>
  <si>
    <t>Global</t>
  </si>
  <si>
    <t>Sounds/Global</t>
  </si>
  <si>
    <t>회복 - 1</t>
  </si>
  <si>
    <t>폰트 기본 경로</t>
  </si>
  <si>
    <t>회복 - 2</t>
  </si>
  <si>
    <t>Fonts/Global</t>
  </si>
  <si>
    <t>회복 증가 - 1</t>
  </si>
  <si>
    <t>회복 감소 - 1</t>
  </si>
  <si>
    <t>이미지 기본 경로</t>
  </si>
  <si>
    <t>Images/Global</t>
  </si>
  <si>
    <t>체력 회복 - 1</t>
  </si>
  <si>
    <t>체력 회복 - 2</t>
  </si>
  <si>
    <t>G_SpriteAtlas_01</t>
  </si>
  <si>
    <t>Images/G_SpriteAtlas_01</t>
  </si>
  <si>
    <t>체력 회복 증가 - 1</t>
  </si>
  <si>
    <t>G_SpriteAtlas_02</t>
  </si>
  <si>
    <t>Images/G_SpriteAtlas_02</t>
  </si>
  <si>
    <t>체력 회복 감소 - 1</t>
  </si>
  <si>
    <t>G_SpriteAtlas_03</t>
  </si>
  <si>
    <t>Images/G_SpriteAtlas_03</t>
  </si>
  <si>
    <t>G_SpriteAtlas_04</t>
  </si>
  <si>
    <t>Images/G_SpriteAtlas_04</t>
  </si>
  <si>
    <t>마력 회복 - 1</t>
  </si>
  <si>
    <t>G_SpriteAtlas_05</t>
  </si>
  <si>
    <t>Images/G_SpriteAtlas_05</t>
  </si>
  <si>
    <t>마력 회복 - 2</t>
  </si>
  <si>
    <t>G_SpriteAtlas_06</t>
  </si>
  <si>
    <t>Images/G_SpriteAtlas_06</t>
  </si>
  <si>
    <t>마력 회복 증가 - 1</t>
  </si>
  <si>
    <t>G_SpriteAtlas_07</t>
  </si>
  <si>
    <t>Images/G_SpriteAtlas_07</t>
  </si>
  <si>
    <t>마력 회복 감소 - 1</t>
  </si>
  <si>
    <t>G_SpriteAtlas_08</t>
  </si>
  <si>
    <t>Images/G_SpriteAtlas_08</t>
  </si>
  <si>
    <t>G_SpriteAtlas_09</t>
  </si>
  <si>
    <t>Images/G_SpriteAtlas_09</t>
  </si>
  <si>
    <t>기력 회복 - 1</t>
  </si>
  <si>
    <t>기력 회복 - 2</t>
  </si>
  <si>
    <t>U_SpriteAtlas_01</t>
  </si>
  <si>
    <t>Images/U_SpriteAtlas_01</t>
  </si>
  <si>
    <t>기력 회복 증가 - 1</t>
  </si>
  <si>
    <t>U_SpriteAtlas_02</t>
  </si>
  <si>
    <t>Images/U_SpriteAtlas_02</t>
  </si>
  <si>
    <t>기력 회복 감소 - 1</t>
  </si>
  <si>
    <t>U_SpriteAtlas_03</t>
  </si>
  <si>
    <t>Images/U_SpriteAtlas_03</t>
  </si>
  <si>
    <t>U_SpriteAtlas_04</t>
  </si>
  <si>
    <t>Images/U_SpriteAtlas_04</t>
  </si>
  <si>
    <t>공격력 - 1</t>
  </si>
  <si>
    <t>U_SpriteAtlas_05</t>
  </si>
  <si>
    <t>Images/U_SpriteAtlas_05</t>
  </si>
  <si>
    <t>공격력 - 2</t>
  </si>
  <si>
    <t>U_SpriteAtlas_06</t>
  </si>
  <si>
    <t>Images/U_SpriteAtlas_06</t>
  </si>
  <si>
    <t>공격력 증가 - 1</t>
  </si>
  <si>
    <t>U_SpriteAtlas_07</t>
  </si>
  <si>
    <t>Images/U_SpriteAtlas_07</t>
  </si>
  <si>
    <t>공격력 감소 - 1</t>
  </si>
  <si>
    <t>U_SpriteAtlas_08</t>
  </si>
  <si>
    <t>Images/U_SpriteAtlas_08</t>
  </si>
  <si>
    <t>U_SpriteAtlas_09</t>
  </si>
  <si>
    <t>Images/U_SpriteAtlas_09</t>
  </si>
  <si>
    <t>물리 공격력 - 1</t>
  </si>
  <si>
    <t>물리 공격력 - 2</t>
  </si>
  <si>
    <t>EG_SpriteAtlas_01</t>
  </si>
  <si>
    <t>Images/EG_SpriteAtlas_01</t>
  </si>
  <si>
    <t>물리 공격력 증가 - 1</t>
  </si>
  <si>
    <t>EG_SpriteAtlas_02</t>
  </si>
  <si>
    <t>Images/EG_SpriteAtlas_02</t>
  </si>
  <si>
    <t>물리 공격력 감소 - 1</t>
  </si>
  <si>
    <t>EG_SpriteAtlas_03</t>
  </si>
  <si>
    <t>Images/EG_SpriteAtlas_03</t>
  </si>
  <si>
    <t>EG_SpriteAtlas_04</t>
  </si>
  <si>
    <t>Images/EG_SpriteAtlas_04</t>
  </si>
  <si>
    <t>마법 공격력 - 1</t>
  </si>
  <si>
    <t>EG_SpriteAtlas_05</t>
  </si>
  <si>
    <t>Images/EG_SpriteAtlas_05</t>
  </si>
  <si>
    <t>마법 공격력 - 2</t>
  </si>
  <si>
    <t>EG_SpriteAtlas_06</t>
  </si>
  <si>
    <t>Images/EG_SpriteAtlas_06</t>
  </si>
  <si>
    <t>마법 공격력 증가 - 1</t>
  </si>
  <si>
    <t>EG_SpriteAtlas_07</t>
  </si>
  <si>
    <t>Images/EG_SpriteAtlas_07</t>
  </si>
  <si>
    <t>마법 공격력 감소 - 1</t>
  </si>
  <si>
    <t>EG_SpriteAtlas_08</t>
  </si>
  <si>
    <t>Images/EG_SpriteAtlas_08</t>
  </si>
  <si>
    <t>EG_SpriteAtlas_09</t>
  </si>
  <si>
    <t>Images/EG_SpriteAtlas_09</t>
  </si>
  <si>
    <t>방어력 - 1</t>
  </si>
  <si>
    <t>방어력 - 2</t>
  </si>
  <si>
    <t>텍스처 기본 경로</t>
  </si>
  <si>
    <t>방어력 증가 - 1</t>
  </si>
  <si>
    <t>Textures/Global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</si>
  <si>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</si>
  <si>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</si>
  <si>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</si>
  <si>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</si>
  <si>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</si>
  <si>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</si>
  <si>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</si>
  <si>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</si>
  <si>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</si>
  <si>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</si>
  <si>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</si>
  <si>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</si>
  <si>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</si>
  <si>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</si>
  <si>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</si>
  <si>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</si>
  <si>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</si>
  <si>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</si>
  <si>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</si>
  <si>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</si>
  <si>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</si>
  <si>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</si>
  <si>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</si>
  <si>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</si>
  <si>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</si>
  <si>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</si>
  <si>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</si>
  <si>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</si>
  <si>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</si>
  <si>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</si>
  <si>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</si>
  <si>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</si>
  <si>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</si>
  <si>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</si>
  <si>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</si>
  <si>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</si>
  <si>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</si>
  <si>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</si>
  <si>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</si>
  <si>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</si>
  <si>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</si>
  <si>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</si>
  <si>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</si>
  <si>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</si>
  <si>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</si>
  <si>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</si>
  <si>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</si>
  <si>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</si>
  <si>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</si>
  <si>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</si>
  <si>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</si>
  <si>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</si>
  <si>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</si>
  <si>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</si>
  <si>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</si>
  <si>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</si>
  <si>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</si>
  <si>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</si>
  <si>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</si>
  <si>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</si>
  <si>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</si>
  <si>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</si>
  <si>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</si>
  <si>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</si>
  <si>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</si>
  <si>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</si>
  <si>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</si>
  <si>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</si>
  <si>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</si>
  <si>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</si>
  <si>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</si>
  <si>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</si>
  <si>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</si>
  <si>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</si>
  <si>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</si>
  <si>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</si>
  <si>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</si>
  <si>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</si>
  <si>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</si>
  <si>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</si>
  <si>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</si>
  <si>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</si>
  <si>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</si>
  <si>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</si>
  <si>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</si>
  <si>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폰트 - 1</t>
  </si>
  <si>
    <t>영어 폰트 - 1</t>
  </si>
  <si>
    <t>흰색 이미지</t>
  </si>
  <si>
    <t>스플래시 이미지</t>
  </si>
  <si>
    <t>인디케이터 이미지</t>
  </si>
  <si>
    <t>텍스처 리소스 샘플</t>
  </si>
  <si>
    <t>흰색 스프라이트</t>
  </si>
  <si>
    <t>U_SA_01_White</t>
  </si>
  <si>
    <t>스플래시 스프라이트</t>
  </si>
  <si>
    <t>U_SA_01_Splash</t>
  </si>
  <si>
    <t>인디케이터 스프라이트</t>
  </si>
  <si>
    <t>U_SA_01_Indicator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</si>
</sst>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3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21.13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13" t="s">
        <v>77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13" t="s">
        <v>79</v>
      </c>
      <c r="B33" s="25" t="s">
        <v>80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13" t="s">
        <v>82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83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13" t="s">
        <v>79</v>
      </c>
      <c r="B36" s="25" t="s">
        <v>84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86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13" t="s">
        <v>87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13" t="s">
        <v>79</v>
      </c>
      <c r="B39" s="25" t="s">
        <v>88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89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90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13" t="s">
        <v>91</v>
      </c>
      <c r="B41" s="25" t="s">
        <v>92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93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13" t="s">
        <v>94</v>
      </c>
      <c r="B42" s="25" t="s">
        <v>95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96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13" t="s">
        <v>97</v>
      </c>
      <c r="B43" s="25" t="s">
        <v>98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13" t="s">
        <v>99</v>
      </c>
      <c r="B44" s="25" t="s">
        <v>100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101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13" t="s">
        <v>102</v>
      </c>
      <c r="B45" s="25" t="s">
        <v>103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104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13" t="s">
        <v>105</v>
      </c>
      <c r="B46" s="25" t="s">
        <v>106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107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13" t="s">
        <v>108</v>
      </c>
      <c r="B47" s="25" t="s">
        <v>109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110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13" t="s">
        <v>111</v>
      </c>
      <c r="B48" s="25" t="s">
        <v>112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13" t="s">
        <v>113</v>
      </c>
      <c r="B49" s="25" t="s">
        <v>114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115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116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13" t="s">
        <v>117</v>
      </c>
      <c r="B51" s="25" t="s">
        <v>118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119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13" t="s">
        <v>120</v>
      </c>
      <c r="B52" s="25" t="s">
        <v>121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122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13" t="s">
        <v>123</v>
      </c>
      <c r="B53" s="25" t="s">
        <v>124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13" t="s">
        <v>125</v>
      </c>
      <c r="B54" s="25" t="s">
        <v>126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127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13" t="s">
        <v>128</v>
      </c>
      <c r="B55" s="25" t="s">
        <v>129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130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13" t="s">
        <v>131</v>
      </c>
      <c r="B56" s="25" t="s">
        <v>132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133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13" t="s">
        <v>134</v>
      </c>
      <c r="B57" s="25" t="s">
        <v>135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136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13" t="s">
        <v>137</v>
      </c>
      <c r="B58" s="25" t="s">
        <v>138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13" t="s">
        <v>139</v>
      </c>
      <c r="B59" s="25" t="s">
        <v>140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141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142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13" t="s">
        <v>143</v>
      </c>
      <c r="B61" s="25" t="s">
        <v>144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145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13" t="s">
        <v>146</v>
      </c>
      <c r="B62" s="25" t="s">
        <v>147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148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13" t="s">
        <v>149</v>
      </c>
      <c r="B63" s="25" t="s">
        <v>150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13" t="s">
        <v>151</v>
      </c>
      <c r="B64" s="25" t="s">
        <v>152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153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13" t="s">
        <v>154</v>
      </c>
      <c r="B65" s="25" t="s">
        <v>155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156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13" t="s">
        <v>157</v>
      </c>
      <c r="B66" s="25" t="s">
        <v>158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159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13" t="s">
        <v>160</v>
      </c>
      <c r="B67" s="25" t="s">
        <v>161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162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13" t="s">
        <v>163</v>
      </c>
      <c r="B68" s="25" t="s">
        <v>164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13" t="s">
        <v>165</v>
      </c>
      <c r="B69" s="25" t="s">
        <v>166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167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168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13" t="s">
        <v>169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170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13" t="s">
        <v>79</v>
      </c>
      <c r="B72" s="25" t="s">
        <v>171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172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173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174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175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176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177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178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179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180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181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182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183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184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185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186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187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188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189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190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191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192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193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194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195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196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197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198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199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200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201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202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203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204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205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206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207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208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209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210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211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212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213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214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215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216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217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218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219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220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221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222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223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224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225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226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227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228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229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230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231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232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 ht="15.75" customHeight="1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 ht="15.75" customHeight="1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 ht="15.75" customHeight="1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 ht="15.75" customHeight="1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 ht="15.75" customHeight="1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 ht="15.75" customHeight="1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 ht="15.75" customHeight="1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 ht="15.75" customHeight="1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 ht="15.75" customHeight="1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 ht="15.75" customHeight="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 ht="15.75" customHeight="1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 ht="15.75" customHeight="1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 ht="15.75" customHeight="1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 ht="15.75" customHeight="1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 ht="15.75" customHeight="1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 ht="15.75" customHeight="1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 ht="15.75" customHeight="1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 ht="15.75" customHeight="1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 ht="15.75" customHeight="1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 ht="15.75" customHeight="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 ht="15.75" customHeight="1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 ht="15.75" customHeight="1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 ht="15.75" customHeight="1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 ht="15.75" customHeight="1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 ht="15.75" customHeight="1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 ht="15.75" customHeight="1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 ht="15.75" customHeight="1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 ht="15.75" customHeight="1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 ht="15.75" customHeight="1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 ht="15.75" customHeight="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 ht="15.75" customHeight="1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 ht="15.75" customHeight="1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 ht="15.75" customHeight="1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 ht="15.75" customHeight="1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 ht="15.75" customHeight="1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 ht="15.75" customHeight="1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 ht="15.75" customHeight="1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 ht="15.75" customHeight="1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 ht="15.75" customHeight="1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 ht="15.75" customHeight="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 ht="15.75" customHeight="1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 ht="15.75" customHeight="1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 ht="15.75" customHeight="1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 ht="15.75" customHeight="1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 ht="15.75" customHeight="1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 ht="15.75" customHeight="1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 ht="15.75" customHeight="1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 ht="15.75" customHeight="1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 ht="15.75" customHeight="1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 ht="15.75" customHeight="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 ht="15.75" customHeight="1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 ht="15.75" customHeight="1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 ht="15.75" customHeight="1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 ht="15.75" customHeight="1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 ht="15.75" customHeight="1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 ht="15.75" customHeight="1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 ht="15.75" customHeight="1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 ht="15.75" customHeight="1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 ht="15.75" customHeight="1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 ht="15.75" customHeight="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 ht="15.75" customHeight="1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 ht="15.75" customHeight="1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 ht="15.75" customHeight="1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 ht="15.75" customHeight="1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 ht="15.75" customHeight="1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 ht="15.75" customHeight="1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 ht="15.75" customHeight="1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 ht="15.75" customHeight="1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 ht="15.75" customHeight="1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 ht="15.75" customHeight="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 ht="15.75" customHeight="1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 ht="15.75" customHeight="1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 ht="15.75" customHeight="1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 ht="15.75" customHeight="1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 ht="15.75" customHeight="1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 ht="15.75" customHeight="1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 ht="15.75" customHeight="1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 ht="15.75" customHeight="1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 ht="15.75" customHeight="1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 ht="15.75" customHeight="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 ht="15.75" customHeight="1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 ht="15.75" customHeight="1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 ht="15.75" customHeight="1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 ht="15.75" customHeight="1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 ht="15.75" customHeight="1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 ht="15.75" customHeight="1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 ht="15.75" customHeight="1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 ht="15.75" customHeight="1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 ht="15.75" customHeight="1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 ht="15.75" customHeight="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 ht="15.75" customHeight="1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 ht="15.75" customHeight="1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 ht="15.75" customHeight="1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 ht="15.75" customHeight="1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 ht="15.75" customHeight="1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 ht="15.75" customHeight="1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 ht="15.75" customHeight="1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 ht="15.75" customHeight="1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 ht="15.75" customHeight="1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 ht="15.75" customHeight="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 ht="15.75" customHeight="1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 ht="15.75" customHeight="1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 ht="15.75" customHeight="1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 ht="15.75" customHeight="1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 ht="15.75" customHeight="1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 ht="15.75" customHeight="1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 ht="15.75" customHeight="1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 ht="15.75" customHeight="1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 ht="15.75" customHeight="1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 ht="15.75" customHeight="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 ht="15.75" customHeight="1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 ht="15.75" customHeight="1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 ht="15.75" customHeight="1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 ht="15.75" customHeight="1">
      <c r="U345" s="33"/>
      <c r="V345" s="33"/>
    </row>
    <row r="346" ht="15.75" customHeight="1">
      <c r="U346" s="33"/>
      <c r="V346" s="33"/>
    </row>
    <row r="347" ht="15.75" customHeight="1">
      <c r="U347" s="33"/>
      <c r="V347" s="33"/>
    </row>
    <row r="348" ht="15.75" customHeight="1">
      <c r="U348" s="33"/>
      <c r="V348" s="33"/>
    </row>
    <row r="349" ht="15.75" customHeight="1">
      <c r="U349" s="33"/>
      <c r="V349" s="33"/>
    </row>
    <row r="350" ht="15.75" customHeight="1">
      <c r="U350" s="33"/>
      <c r="V350" s="33"/>
    </row>
    <row r="351" ht="15.75" customHeight="1">
      <c r="U351" s="33"/>
      <c r="V351" s="33"/>
    </row>
    <row r="352" ht="15.75" customHeight="1">
      <c r="U352" s="33"/>
      <c r="V352" s="33"/>
    </row>
    <row r="353" ht="15.75" customHeight="1">
      <c r="U353" s="33"/>
      <c r="V353" s="33"/>
    </row>
    <row r="354" ht="15.75" customHeight="1">
      <c r="U354" s="33"/>
      <c r="V354" s="33"/>
    </row>
    <row r="355" ht="15.75" customHeight="1">
      <c r="U355" s="33"/>
      <c r="V355" s="33"/>
    </row>
    <row r="356" ht="15.75" customHeight="1">
      <c r="U356" s="33"/>
      <c r="V356" s="33"/>
    </row>
    <row r="357" ht="15.75" customHeight="1">
      <c r="U357" s="33"/>
      <c r="V357" s="33"/>
    </row>
    <row r="358" ht="15.75" customHeight="1">
      <c r="U358" s="33"/>
      <c r="V358" s="33"/>
    </row>
    <row r="359" ht="15.75" customHeight="1">
      <c r="U359" s="33"/>
      <c r="V359" s="33"/>
    </row>
    <row r="360" ht="15.75" customHeight="1">
      <c r="U360" s="33"/>
      <c r="V360" s="33"/>
    </row>
    <row r="361" ht="15.75" customHeight="1">
      <c r="U361" s="33"/>
      <c r="V361" s="33"/>
    </row>
    <row r="362" ht="15.75" customHeight="1">
      <c r="U362" s="33"/>
      <c r="V362" s="33"/>
    </row>
    <row r="363" ht="15.75" customHeight="1">
      <c r="U363" s="33"/>
      <c r="V363" s="33"/>
    </row>
    <row r="364" ht="15.75" customHeight="1">
      <c r="U364" s="33"/>
      <c r="V364" s="33"/>
    </row>
    <row r="365" ht="15.75" customHeight="1">
      <c r="U365" s="33"/>
      <c r="V365" s="33"/>
    </row>
    <row r="366" ht="15.75" customHeight="1">
      <c r="U366" s="33"/>
      <c r="V366" s="33"/>
    </row>
    <row r="367" ht="15.75" customHeight="1">
      <c r="U367" s="33"/>
      <c r="V367" s="33"/>
    </row>
    <row r="368" ht="15.75" customHeight="1">
      <c r="U368" s="33"/>
      <c r="V368" s="33"/>
    </row>
    <row r="369" ht="15.75" customHeight="1">
      <c r="U369" s="33"/>
      <c r="V369" s="33"/>
    </row>
    <row r="370" ht="15.75" customHeight="1">
      <c r="U370" s="33"/>
      <c r="V370" s="33"/>
    </row>
    <row r="371" ht="15.75" customHeight="1">
      <c r="U371" s="33"/>
      <c r="V371" s="33"/>
    </row>
    <row r="372" ht="15.75" customHeight="1">
      <c r="U372" s="33"/>
      <c r="V372" s="33"/>
    </row>
    <row r="373" ht="15.75" customHeight="1">
      <c r="U373" s="33"/>
      <c r="V373" s="33"/>
    </row>
    <row r="374" ht="15.75" customHeight="1">
      <c r="U374" s="33"/>
      <c r="V374" s="33"/>
    </row>
    <row r="375" ht="15.75" customHeight="1">
      <c r="U375" s="33"/>
      <c r="V375" s="33"/>
    </row>
    <row r="376" ht="15.75" customHeight="1">
      <c r="U376" s="33"/>
      <c r="V376" s="33"/>
    </row>
    <row r="377" ht="15.75" customHeight="1">
      <c r="U377" s="33"/>
      <c r="V377" s="33"/>
    </row>
    <row r="378" ht="15.75" customHeight="1">
      <c r="U378" s="33"/>
      <c r="V378" s="33"/>
    </row>
    <row r="379" ht="15.75" customHeight="1">
      <c r="U379" s="33"/>
      <c r="V379" s="33"/>
    </row>
    <row r="380" ht="15.75" customHeight="1">
      <c r="U380" s="33"/>
      <c r="V380" s="33"/>
    </row>
    <row r="381" ht="15.75" customHeight="1">
      <c r="U381" s="33"/>
      <c r="V381" s="33"/>
    </row>
    <row r="382" ht="15.75" customHeight="1">
      <c r="U382" s="33"/>
      <c r="V382" s="33"/>
    </row>
    <row r="383" ht="15.75" customHeight="1">
      <c r="U383" s="33"/>
      <c r="V383" s="33"/>
    </row>
    <row r="384" ht="15.75" customHeight="1">
      <c r="U384" s="33"/>
      <c r="V384" s="33"/>
    </row>
    <row r="385" ht="15.75" customHeight="1">
      <c r="U385" s="33"/>
      <c r="V385" s="33"/>
    </row>
    <row r="386" ht="15.75" customHeight="1">
      <c r="U386" s="33"/>
      <c r="V386" s="33"/>
    </row>
    <row r="387" ht="15.75" customHeight="1">
      <c r="U387" s="33"/>
      <c r="V387" s="33"/>
    </row>
    <row r="388" ht="15.75" customHeight="1">
      <c r="U388" s="33"/>
      <c r="V388" s="33"/>
    </row>
    <row r="389" ht="15.75" customHeight="1">
      <c r="U389" s="33"/>
      <c r="V389" s="33"/>
    </row>
    <row r="390" ht="15.75" customHeight="1">
      <c r="U390" s="33"/>
      <c r="V390" s="33"/>
    </row>
    <row r="391" ht="15.75" customHeight="1">
      <c r="U391" s="33"/>
      <c r="V391" s="33"/>
    </row>
    <row r="392" ht="15.75" customHeight="1">
      <c r="U392" s="33"/>
      <c r="V392" s="33"/>
    </row>
    <row r="393" ht="15.75" customHeight="1">
      <c r="U393" s="33"/>
      <c r="V393" s="33"/>
    </row>
    <row r="394" ht="15.75" customHeight="1">
      <c r="U394" s="33"/>
      <c r="V394" s="33"/>
    </row>
    <row r="395" ht="15.75" customHeight="1">
      <c r="U395" s="33"/>
      <c r="V395" s="33"/>
    </row>
    <row r="396" ht="15.75" customHeight="1">
      <c r="U396" s="33"/>
      <c r="V396" s="33"/>
    </row>
    <row r="397" ht="15.75" customHeight="1">
      <c r="U397" s="33"/>
      <c r="V397" s="33"/>
    </row>
    <row r="398" ht="15.75" customHeight="1">
      <c r="U398" s="33"/>
      <c r="V398" s="33"/>
    </row>
    <row r="399" ht="15.75" customHeight="1">
      <c r="U399" s="33"/>
      <c r="V399" s="33"/>
    </row>
    <row r="400" ht="15.75" customHeight="1">
      <c r="U400" s="33"/>
      <c r="V400" s="33"/>
    </row>
    <row r="401" ht="15.75" customHeight="1">
      <c r="U401" s="33"/>
      <c r="V401" s="33"/>
    </row>
    <row r="402" ht="15.75" customHeight="1">
      <c r="U402" s="33"/>
      <c r="V402" s="33"/>
    </row>
    <row r="403" ht="15.75" customHeight="1">
      <c r="U403" s="33"/>
      <c r="V403" s="33"/>
    </row>
    <row r="404" ht="15.75" customHeight="1">
      <c r="U404" s="33"/>
      <c r="V404" s="33"/>
    </row>
    <row r="405" ht="15.75" customHeight="1">
      <c r="U405" s="33"/>
      <c r="V405" s="33"/>
    </row>
    <row r="406" ht="15.75" customHeight="1">
      <c r="U406" s="33"/>
      <c r="V406" s="33"/>
    </row>
    <row r="407" ht="15.75" customHeight="1">
      <c r="U407" s="33"/>
      <c r="V407" s="33"/>
    </row>
    <row r="408" ht="15.75" customHeight="1">
      <c r="U408" s="33"/>
      <c r="V408" s="33"/>
    </row>
    <row r="409" ht="15.75" customHeight="1">
      <c r="U409" s="33"/>
      <c r="V409" s="33"/>
    </row>
    <row r="410" ht="15.75" customHeight="1">
      <c r="U410" s="33"/>
      <c r="V410" s="33"/>
    </row>
    <row r="411" ht="15.75" customHeight="1">
      <c r="U411" s="33"/>
      <c r="V411" s="33"/>
    </row>
    <row r="412" ht="15.75" customHeight="1">
      <c r="U412" s="33"/>
      <c r="V412" s="33"/>
    </row>
    <row r="413" ht="15.75" customHeight="1">
      <c r="U413" s="33"/>
      <c r="V413" s="33"/>
    </row>
    <row r="414" ht="15.75" customHeight="1">
      <c r="U414" s="33"/>
      <c r="V414" s="33"/>
    </row>
    <row r="415" ht="15.75" customHeight="1">
      <c r="U415" s="33"/>
      <c r="V415" s="33"/>
    </row>
    <row r="416" ht="15.75" customHeight="1">
      <c r="U416" s="33"/>
      <c r="V416" s="33"/>
    </row>
    <row r="417" ht="15.75" customHeight="1">
      <c r="U417" s="33"/>
      <c r="V417" s="33"/>
    </row>
    <row r="418" ht="15.75" customHeight="1">
      <c r="U418" s="33"/>
      <c r="V418" s="33"/>
    </row>
    <row r="419" ht="15.75" customHeight="1">
      <c r="U419" s="33"/>
      <c r="V419" s="33"/>
    </row>
    <row r="420" ht="15.75" customHeight="1">
      <c r="U420" s="33"/>
      <c r="V420" s="33"/>
    </row>
    <row r="421" ht="15.75" customHeight="1">
      <c r="U421" s="33"/>
      <c r="V421" s="33"/>
    </row>
    <row r="422" ht="15.75" customHeight="1">
      <c r="U422" s="33"/>
      <c r="V422" s="33"/>
    </row>
    <row r="423" ht="15.75" customHeight="1">
      <c r="U423" s="33"/>
      <c r="V423" s="33"/>
    </row>
    <row r="424" ht="15.75" customHeight="1">
      <c r="U424" s="33"/>
      <c r="V424" s="33"/>
    </row>
    <row r="425" ht="15.75" customHeight="1">
      <c r="U425" s="33"/>
      <c r="V425" s="33"/>
    </row>
    <row r="426" ht="15.75" customHeight="1">
      <c r="U426" s="33"/>
      <c r="V426" s="33"/>
    </row>
    <row r="427" ht="15.75" customHeight="1">
      <c r="U427" s="33"/>
      <c r="V427" s="33"/>
    </row>
    <row r="428" ht="15.75" customHeight="1">
      <c r="U428" s="33"/>
      <c r="V428" s="33"/>
    </row>
    <row r="429" ht="15.75" customHeight="1">
      <c r="U429" s="33"/>
      <c r="V429" s="33"/>
    </row>
    <row r="430" ht="15.75" customHeight="1">
      <c r="U430" s="33"/>
      <c r="V430" s="33"/>
    </row>
    <row r="431" ht="15.75" customHeight="1">
      <c r="U431" s="33"/>
      <c r="V431" s="33"/>
    </row>
    <row r="432" ht="15.75" customHeight="1">
      <c r="U432" s="33"/>
      <c r="V432" s="33"/>
    </row>
    <row r="433" ht="15.75" customHeight="1">
      <c r="U433" s="33"/>
      <c r="V433" s="33"/>
    </row>
    <row r="434" ht="15.75" customHeight="1">
      <c r="U434" s="33"/>
      <c r="V434" s="33"/>
    </row>
    <row r="435" ht="15.75" customHeight="1">
      <c r="U435" s="33"/>
      <c r="V435" s="33"/>
    </row>
    <row r="436" ht="15.75" customHeight="1">
      <c r="U436" s="33"/>
      <c r="V436" s="33"/>
    </row>
    <row r="437" ht="15.75" customHeight="1">
      <c r="U437" s="33"/>
      <c r="V437" s="33"/>
    </row>
    <row r="438" ht="15.75" customHeight="1">
      <c r="U438" s="33"/>
      <c r="V438" s="33"/>
    </row>
    <row r="439" ht="15.75" customHeight="1">
      <c r="U439" s="33"/>
      <c r="V439" s="33"/>
    </row>
    <row r="440" ht="15.75" customHeight="1">
      <c r="U440" s="33"/>
      <c r="V440" s="33"/>
    </row>
    <row r="441" ht="15.75" customHeight="1">
      <c r="U441" s="33"/>
      <c r="V441" s="33"/>
    </row>
    <row r="442" ht="15.75" customHeight="1">
      <c r="U442" s="33"/>
      <c r="V442" s="33"/>
    </row>
    <row r="443" ht="15.75" customHeight="1">
      <c r="U443" s="33"/>
      <c r="V443" s="33"/>
    </row>
    <row r="444" ht="15.75" customHeight="1">
      <c r="U444" s="33"/>
      <c r="V444" s="33"/>
    </row>
    <row r="445" ht="15.75" customHeight="1">
      <c r="U445" s="33"/>
      <c r="V445" s="33"/>
    </row>
    <row r="446" ht="15.75" customHeight="1">
      <c r="U446" s="33"/>
      <c r="V446" s="33"/>
    </row>
    <row r="447" ht="15.75" customHeight="1">
      <c r="U447" s="33"/>
      <c r="V447" s="33"/>
    </row>
    <row r="448" ht="15.75" customHeight="1">
      <c r="U448" s="33"/>
      <c r="V448" s="33"/>
    </row>
    <row r="449" ht="15.75" customHeight="1">
      <c r="U449" s="33"/>
      <c r="V449" s="33"/>
    </row>
    <row r="450" ht="15.75" customHeight="1">
      <c r="U450" s="33"/>
      <c r="V450" s="33"/>
    </row>
    <row r="451" ht="15.75" customHeight="1">
      <c r="U451" s="33"/>
      <c r="V451" s="33"/>
    </row>
    <row r="452" ht="15.75" customHeight="1">
      <c r="U452" s="33"/>
      <c r="V452" s="33"/>
    </row>
    <row r="453" ht="15.75" customHeight="1">
      <c r="U453" s="33"/>
      <c r="V453" s="33"/>
    </row>
    <row r="454" ht="15.75" customHeight="1">
      <c r="U454" s="33"/>
      <c r="V454" s="33"/>
    </row>
    <row r="455" ht="15.75" customHeight="1">
      <c r="U455" s="33"/>
      <c r="V455" s="33"/>
    </row>
    <row r="456" ht="15.75" customHeight="1">
      <c r="U456" s="33"/>
      <c r="V456" s="33"/>
    </row>
    <row r="457" ht="15.75" customHeight="1">
      <c r="U457" s="33"/>
      <c r="V457" s="33"/>
    </row>
    <row r="458" ht="15.75" customHeight="1">
      <c r="U458" s="33"/>
      <c r="V458" s="33"/>
    </row>
    <row r="459" ht="15.75" customHeight="1">
      <c r="U459" s="33"/>
      <c r="V459" s="33"/>
    </row>
    <row r="460" ht="15.75" customHeight="1">
      <c r="U460" s="33"/>
      <c r="V460" s="33"/>
    </row>
    <row r="461" ht="15.75" customHeight="1">
      <c r="U461" s="33"/>
      <c r="V461" s="33"/>
    </row>
    <row r="462" ht="15.75" customHeight="1">
      <c r="U462" s="33"/>
      <c r="V462" s="33"/>
    </row>
    <row r="463" ht="15.75" customHeight="1">
      <c r="U463" s="33"/>
      <c r="V463" s="33"/>
    </row>
    <row r="464" ht="15.75" customHeight="1">
      <c r="U464" s="33"/>
      <c r="V464" s="33"/>
    </row>
    <row r="465" ht="15.75" customHeight="1">
      <c r="U465" s="33"/>
      <c r="V465" s="33"/>
    </row>
    <row r="466" ht="15.75" customHeight="1">
      <c r="U466" s="33"/>
      <c r="V466" s="33"/>
    </row>
    <row r="467" ht="15.75" customHeight="1">
      <c r="U467" s="33"/>
      <c r="V467" s="33"/>
    </row>
    <row r="468" ht="15.75" customHeight="1">
      <c r="U468" s="33"/>
      <c r="V468" s="33"/>
    </row>
    <row r="469" ht="15.75" customHeight="1">
      <c r="U469" s="33"/>
      <c r="V469" s="33"/>
    </row>
    <row r="470" ht="15.75" customHeight="1">
      <c r="U470" s="33"/>
      <c r="V470" s="33"/>
    </row>
    <row r="471" ht="15.75" customHeight="1">
      <c r="U471" s="33"/>
      <c r="V471" s="33"/>
    </row>
    <row r="472" ht="15.75" customHeight="1">
      <c r="U472" s="33"/>
      <c r="V472" s="33"/>
    </row>
    <row r="473" ht="15.75" customHeight="1">
      <c r="U473" s="33"/>
      <c r="V473" s="33"/>
    </row>
    <row r="474" ht="15.75" customHeight="1">
      <c r="U474" s="33"/>
      <c r="V474" s="33"/>
    </row>
    <row r="475" ht="15.75" customHeight="1">
      <c r="U475" s="33"/>
      <c r="V475" s="33"/>
    </row>
    <row r="476" ht="15.75" customHeight="1">
      <c r="U476" s="33"/>
      <c r="V476" s="33"/>
    </row>
    <row r="477" ht="15.75" customHeight="1">
      <c r="U477" s="33"/>
      <c r="V477" s="33"/>
    </row>
    <row r="478" ht="15.75" customHeight="1">
      <c r="U478" s="33"/>
      <c r="V478" s="33"/>
    </row>
    <row r="479" ht="15.75" customHeight="1">
      <c r="U479" s="33"/>
      <c r="V479" s="33"/>
    </row>
    <row r="480" ht="15.75" customHeight="1">
      <c r="U480" s="33"/>
      <c r="V480" s="33"/>
    </row>
    <row r="481" ht="15.75" customHeight="1">
      <c r="U481" s="33"/>
      <c r="V481" s="33"/>
    </row>
    <row r="482" ht="15.75" customHeight="1">
      <c r="U482" s="33"/>
      <c r="V482" s="33"/>
    </row>
    <row r="483" ht="15.75" customHeight="1">
      <c r="U483" s="33"/>
      <c r="V483" s="33"/>
    </row>
    <row r="484" ht="15.75" customHeight="1">
      <c r="U484" s="33"/>
      <c r="V484" s="33"/>
    </row>
    <row r="485" ht="15.75" customHeight="1">
      <c r="U485" s="33"/>
      <c r="V485" s="33"/>
    </row>
    <row r="486" ht="15.75" customHeight="1">
      <c r="U486" s="33"/>
      <c r="V486" s="33"/>
    </row>
    <row r="487" ht="15.75" customHeight="1">
      <c r="U487" s="33"/>
      <c r="V487" s="33"/>
    </row>
    <row r="488" ht="15.75" customHeight="1">
      <c r="U488" s="33"/>
      <c r="V488" s="33"/>
    </row>
    <row r="489" ht="15.75" customHeight="1">
      <c r="U489" s="33"/>
      <c r="V489" s="33"/>
    </row>
    <row r="490" ht="15.75" customHeight="1">
      <c r="U490" s="33"/>
      <c r="V490" s="33"/>
    </row>
    <row r="491" ht="15.75" customHeight="1">
      <c r="U491" s="33"/>
      <c r="V491" s="33"/>
    </row>
    <row r="492" ht="15.75" customHeight="1">
      <c r="U492" s="33"/>
      <c r="V492" s="33"/>
    </row>
    <row r="493" ht="15.75" customHeight="1">
      <c r="U493" s="33"/>
      <c r="V493" s="33"/>
    </row>
    <row r="494" ht="15.75" customHeight="1">
      <c r="U494" s="33"/>
      <c r="V494" s="33"/>
    </row>
    <row r="495" ht="15.75" customHeight="1">
      <c r="U495" s="33"/>
      <c r="V495" s="33"/>
    </row>
    <row r="496" ht="15.75" customHeight="1">
      <c r="U496" s="33"/>
      <c r="V496" s="33"/>
    </row>
    <row r="497" ht="15.75" customHeight="1">
      <c r="U497" s="33"/>
      <c r="V497" s="33"/>
    </row>
    <row r="498" ht="15.75" customHeight="1">
      <c r="U498" s="33"/>
      <c r="V498" s="33"/>
    </row>
    <row r="499" ht="15.75" customHeight="1">
      <c r="U499" s="33"/>
      <c r="V499" s="33"/>
    </row>
    <row r="500" ht="15.75" customHeight="1">
      <c r="U500" s="33"/>
      <c r="V500" s="33"/>
    </row>
    <row r="501" ht="15.75" customHeight="1">
      <c r="U501" s="33"/>
      <c r="V501" s="33"/>
    </row>
    <row r="502" ht="15.75" customHeight="1">
      <c r="U502" s="33"/>
      <c r="V502" s="33"/>
    </row>
    <row r="503" ht="15.75" customHeight="1">
      <c r="U503" s="33"/>
      <c r="V503" s="33"/>
    </row>
    <row r="504" ht="15.75" customHeight="1">
      <c r="U504" s="33"/>
      <c r="V504" s="33"/>
    </row>
    <row r="505" ht="15.75" customHeight="1">
      <c r="U505" s="33"/>
      <c r="V505" s="33"/>
    </row>
    <row r="506" ht="15.75" customHeight="1">
      <c r="U506" s="33"/>
      <c r="V506" s="33"/>
    </row>
    <row r="507" ht="15.75" customHeight="1">
      <c r="U507" s="33"/>
      <c r="V507" s="33"/>
    </row>
    <row r="508" ht="15.75" customHeight="1">
      <c r="U508" s="33"/>
      <c r="V508" s="33"/>
    </row>
    <row r="509" ht="15.75" customHeight="1">
      <c r="U509" s="33"/>
      <c r="V509" s="33"/>
    </row>
    <row r="510" ht="15.75" customHeight="1">
      <c r="U510" s="33"/>
      <c r="V510" s="33"/>
    </row>
    <row r="511" ht="15.75" customHeight="1">
      <c r="U511" s="33"/>
      <c r="V511" s="33"/>
    </row>
    <row r="512" ht="15.75" customHeight="1">
      <c r="U512" s="33"/>
      <c r="V512" s="33"/>
    </row>
    <row r="513" ht="15.75" customHeight="1">
      <c r="U513" s="33"/>
      <c r="V513" s="33"/>
    </row>
    <row r="514" ht="15.75" customHeight="1">
      <c r="U514" s="33"/>
      <c r="V514" s="33"/>
    </row>
    <row r="515" ht="15.75" customHeight="1">
      <c r="U515" s="33"/>
      <c r="V515" s="33"/>
    </row>
    <row r="516" ht="15.75" customHeight="1">
      <c r="U516" s="33"/>
      <c r="V516" s="33"/>
    </row>
    <row r="517" ht="15.75" customHeight="1">
      <c r="U517" s="33"/>
      <c r="V517" s="33"/>
    </row>
    <row r="518" ht="15.75" customHeight="1">
      <c r="U518" s="33"/>
      <c r="V518" s="33"/>
    </row>
    <row r="519" ht="15.75" customHeight="1">
      <c r="U519" s="33"/>
      <c r="V519" s="33"/>
    </row>
    <row r="520" ht="15.75" customHeight="1">
      <c r="U520" s="33"/>
      <c r="V520" s="33"/>
    </row>
    <row r="521" ht="15.75" customHeight="1">
      <c r="U521" s="33"/>
      <c r="V521" s="33"/>
    </row>
    <row r="522" ht="15.75" customHeight="1">
      <c r="U522" s="33"/>
      <c r="V522" s="33"/>
    </row>
    <row r="523" ht="15.75" customHeight="1">
      <c r="U523" s="33"/>
      <c r="V523" s="33"/>
    </row>
    <row r="524" ht="15.75" customHeight="1">
      <c r="U524" s="33"/>
      <c r="V524" s="33"/>
    </row>
    <row r="525" ht="15.75" customHeight="1">
      <c r="U525" s="33"/>
      <c r="V525" s="33"/>
    </row>
    <row r="526" ht="15.75" customHeight="1">
      <c r="U526" s="33"/>
      <c r="V526" s="33"/>
    </row>
    <row r="527" ht="15.75" customHeight="1">
      <c r="U527" s="33"/>
      <c r="V527" s="33"/>
    </row>
    <row r="528" ht="15.75" customHeight="1">
      <c r="U528" s="33"/>
      <c r="V528" s="33"/>
    </row>
    <row r="529" ht="15.75" customHeight="1">
      <c r="U529" s="33"/>
      <c r="V529" s="33"/>
    </row>
    <row r="530" ht="15.75" customHeight="1">
      <c r="U530" s="33"/>
      <c r="V530" s="33"/>
    </row>
    <row r="531" ht="15.75" customHeight="1">
      <c r="U531" s="33"/>
      <c r="V531" s="33"/>
    </row>
    <row r="532" ht="15.75" customHeight="1">
      <c r="U532" s="33"/>
      <c r="V532" s="33"/>
    </row>
    <row r="533" ht="15.75" customHeight="1">
      <c r="U533" s="33"/>
      <c r="V533" s="33"/>
    </row>
    <row r="534" ht="15.75" customHeight="1">
      <c r="U534" s="33"/>
      <c r="V534" s="33"/>
    </row>
    <row r="535" ht="15.75" customHeight="1">
      <c r="U535" s="33"/>
      <c r="V535" s="33"/>
    </row>
    <row r="536" ht="15.75" customHeight="1">
      <c r="U536" s="33"/>
      <c r="V536" s="33"/>
    </row>
    <row r="537" ht="15.75" customHeight="1">
      <c r="U537" s="33"/>
      <c r="V537" s="33"/>
    </row>
    <row r="538" ht="15.75" customHeight="1">
      <c r="U538" s="33"/>
      <c r="V538" s="33"/>
    </row>
    <row r="539" ht="15.75" customHeight="1">
      <c r="U539" s="33"/>
      <c r="V539" s="33"/>
    </row>
    <row r="540" ht="15.75" customHeight="1">
      <c r="U540" s="33"/>
      <c r="V540" s="33"/>
    </row>
    <row r="541" ht="15.75" customHeight="1">
      <c r="U541" s="33"/>
      <c r="V541" s="33"/>
    </row>
    <row r="542" ht="15.75" customHeight="1">
      <c r="U542" s="33"/>
      <c r="V542" s="33"/>
    </row>
    <row r="543" ht="15.75" customHeight="1">
      <c r="U543" s="33"/>
      <c r="V543" s="33"/>
    </row>
    <row r="544" ht="15.75" customHeight="1">
      <c r="U544" s="33"/>
      <c r="V544" s="33"/>
    </row>
    <row r="545" ht="15.75" customHeight="1">
      <c r="U545" s="33"/>
      <c r="V545" s="33"/>
    </row>
    <row r="546" ht="15.75" customHeight="1">
      <c r="U546" s="33"/>
      <c r="V546" s="33"/>
    </row>
    <row r="547" ht="15.75" customHeight="1">
      <c r="U547" s="33"/>
      <c r="V547" s="33"/>
    </row>
    <row r="548" ht="15.75" customHeight="1">
      <c r="U548" s="33"/>
      <c r="V548" s="33"/>
    </row>
    <row r="549" ht="15.75" customHeight="1">
      <c r="U549" s="33"/>
      <c r="V549" s="33"/>
    </row>
    <row r="550" ht="15.75" customHeight="1">
      <c r="U550" s="33"/>
      <c r="V550" s="33"/>
    </row>
    <row r="551" ht="15.75" customHeight="1">
      <c r="U551" s="33"/>
      <c r="V551" s="33"/>
    </row>
    <row r="552" ht="15.75" customHeight="1">
      <c r="U552" s="33"/>
      <c r="V552" s="33"/>
    </row>
    <row r="553" ht="15.75" customHeight="1">
      <c r="U553" s="33"/>
      <c r="V553" s="33"/>
    </row>
    <row r="554" ht="15.75" customHeight="1">
      <c r="U554" s="33"/>
      <c r="V554" s="33"/>
    </row>
    <row r="555" ht="15.75" customHeight="1">
      <c r="U555" s="33"/>
      <c r="V555" s="33"/>
    </row>
    <row r="556" ht="15.75" customHeight="1">
      <c r="U556" s="33"/>
      <c r="V556" s="33"/>
    </row>
    <row r="557" ht="15.75" customHeight="1">
      <c r="U557" s="33"/>
      <c r="V557" s="33"/>
    </row>
    <row r="558" ht="15.75" customHeight="1">
      <c r="U558" s="33"/>
      <c r="V558" s="33"/>
    </row>
    <row r="559" ht="15.75" customHeight="1">
      <c r="U559" s="33"/>
      <c r="V559" s="33"/>
    </row>
    <row r="560" ht="15.75" customHeight="1">
      <c r="U560" s="33"/>
      <c r="V560" s="33"/>
    </row>
    <row r="561" ht="15.75" customHeight="1">
      <c r="U561" s="33"/>
      <c r="V561" s="33"/>
    </row>
    <row r="562" ht="15.75" customHeight="1">
      <c r="U562" s="33"/>
      <c r="V562" s="33"/>
    </row>
    <row r="563" ht="15.75" customHeight="1">
      <c r="U563" s="33"/>
      <c r="V563" s="33"/>
    </row>
    <row r="564" ht="15.75" customHeight="1">
      <c r="U564" s="33"/>
      <c r="V564" s="33"/>
    </row>
    <row r="565" ht="15.75" customHeight="1">
      <c r="U565" s="33"/>
      <c r="V565" s="33"/>
    </row>
    <row r="566" ht="15.75" customHeight="1">
      <c r="U566" s="33"/>
      <c r="V566" s="33"/>
    </row>
    <row r="567" ht="15.75" customHeight="1">
      <c r="U567" s="33"/>
      <c r="V567" s="33"/>
    </row>
    <row r="568" ht="15.75" customHeight="1">
      <c r="U568" s="33"/>
      <c r="V568" s="33"/>
    </row>
    <row r="569" ht="15.75" customHeight="1">
      <c r="U569" s="33"/>
      <c r="V569" s="33"/>
    </row>
    <row r="570" ht="15.75" customHeight="1">
      <c r="U570" s="33"/>
      <c r="V570" s="33"/>
    </row>
    <row r="571" ht="15.75" customHeight="1">
      <c r="U571" s="33"/>
      <c r="V571" s="33"/>
    </row>
    <row r="572" ht="15.75" customHeight="1">
      <c r="U572" s="33"/>
      <c r="V572" s="33"/>
    </row>
    <row r="573" ht="15.75" customHeight="1">
      <c r="U573" s="33"/>
      <c r="V573" s="33"/>
    </row>
    <row r="574" ht="15.75" customHeight="1">
      <c r="U574" s="33"/>
      <c r="V574" s="33"/>
    </row>
    <row r="575" ht="15.75" customHeight="1">
      <c r="U575" s="33"/>
      <c r="V575" s="33"/>
    </row>
    <row r="576" ht="15.75" customHeight="1">
      <c r="U576" s="33"/>
      <c r="V576" s="33"/>
    </row>
    <row r="577" ht="15.75" customHeight="1">
      <c r="U577" s="33"/>
      <c r="V577" s="33"/>
    </row>
    <row r="578" ht="15.75" customHeight="1">
      <c r="U578" s="33"/>
      <c r="V578" s="33"/>
    </row>
    <row r="579" ht="15.75" customHeight="1">
      <c r="U579" s="33"/>
      <c r="V579" s="33"/>
    </row>
    <row r="580" ht="15.75" customHeight="1">
      <c r="U580" s="33"/>
      <c r="V580" s="33"/>
    </row>
    <row r="581" ht="15.75" customHeight="1">
      <c r="U581" s="33"/>
      <c r="V581" s="33"/>
    </row>
    <row r="582" ht="15.75" customHeight="1">
      <c r="U582" s="33"/>
      <c r="V582" s="33"/>
    </row>
    <row r="583" ht="15.75" customHeight="1">
      <c r="U583" s="33"/>
      <c r="V583" s="33"/>
    </row>
    <row r="584" ht="15.75" customHeight="1">
      <c r="U584" s="33"/>
      <c r="V584" s="33"/>
    </row>
    <row r="585" ht="15.75" customHeight="1">
      <c r="U585" s="33"/>
      <c r="V585" s="33"/>
    </row>
    <row r="586" ht="15.75" customHeight="1">
      <c r="U586" s="33"/>
      <c r="V586" s="33"/>
    </row>
    <row r="587" ht="15.75" customHeight="1">
      <c r="U587" s="33"/>
      <c r="V587" s="33"/>
    </row>
    <row r="588" ht="15.75" customHeight="1">
      <c r="U588" s="33"/>
      <c r="V588" s="33"/>
    </row>
    <row r="589" ht="15.75" customHeight="1">
      <c r="U589" s="33"/>
      <c r="V589" s="33"/>
    </row>
    <row r="590" ht="15.75" customHeight="1">
      <c r="U590" s="33"/>
      <c r="V590" s="33"/>
    </row>
    <row r="591" ht="15.75" customHeight="1">
      <c r="U591" s="33"/>
      <c r="V591" s="33"/>
    </row>
    <row r="592" ht="15.75" customHeight="1">
      <c r="U592" s="33"/>
      <c r="V592" s="33"/>
    </row>
    <row r="593" ht="15.75" customHeight="1">
      <c r="U593" s="33"/>
      <c r="V593" s="33"/>
    </row>
    <row r="594" ht="15.75" customHeight="1">
      <c r="U594" s="33"/>
      <c r="V594" s="33"/>
    </row>
    <row r="595" ht="15.75" customHeight="1">
      <c r="U595" s="33"/>
      <c r="V595" s="33"/>
    </row>
    <row r="596" ht="15.75" customHeight="1">
      <c r="U596" s="33"/>
      <c r="V596" s="33"/>
    </row>
    <row r="597" ht="15.75" customHeight="1">
      <c r="U597" s="33"/>
      <c r="V597" s="33"/>
    </row>
    <row r="598" ht="15.75" customHeight="1">
      <c r="U598" s="33"/>
      <c r="V598" s="33"/>
    </row>
    <row r="599" ht="15.75" customHeight="1">
      <c r="U599" s="33"/>
      <c r="V599" s="33"/>
    </row>
    <row r="600" ht="15.75" customHeight="1">
      <c r="U600" s="33"/>
      <c r="V600" s="33"/>
    </row>
    <row r="601" ht="15.75" customHeight="1">
      <c r="U601" s="33"/>
      <c r="V601" s="33"/>
    </row>
    <row r="602" ht="15.75" customHeight="1">
      <c r="U602" s="33"/>
      <c r="V602" s="33"/>
    </row>
    <row r="603" ht="15.75" customHeight="1">
      <c r="U603" s="33"/>
      <c r="V603" s="33"/>
    </row>
    <row r="604" ht="15.75" customHeight="1">
      <c r="U604" s="33"/>
      <c r="V604" s="33"/>
    </row>
    <row r="605" ht="15.75" customHeight="1">
      <c r="U605" s="33"/>
      <c r="V605" s="33"/>
    </row>
    <row r="606" ht="15.75" customHeight="1">
      <c r="U606" s="33"/>
      <c r="V606" s="33"/>
    </row>
    <row r="607" ht="15.75" customHeight="1">
      <c r="U607" s="33"/>
      <c r="V607" s="33"/>
    </row>
    <row r="608" ht="15.75" customHeight="1">
      <c r="U608" s="33"/>
      <c r="V608" s="33"/>
    </row>
    <row r="609" ht="15.75" customHeight="1">
      <c r="U609" s="33"/>
      <c r="V609" s="33"/>
    </row>
    <row r="610" ht="15.75" customHeight="1">
      <c r="U610" s="33"/>
      <c r="V610" s="33"/>
    </row>
    <row r="611" ht="15.75" customHeight="1">
      <c r="U611" s="33"/>
      <c r="V611" s="33"/>
    </row>
    <row r="612" ht="15.75" customHeight="1">
      <c r="U612" s="33"/>
      <c r="V612" s="33"/>
    </row>
    <row r="613" ht="15.75" customHeight="1">
      <c r="U613" s="33"/>
      <c r="V613" s="33"/>
    </row>
    <row r="614" ht="15.75" customHeight="1">
      <c r="U614" s="33"/>
      <c r="V614" s="33"/>
    </row>
    <row r="615" ht="15.75" customHeight="1">
      <c r="U615" s="33"/>
      <c r="V615" s="33"/>
    </row>
    <row r="616" ht="15.75" customHeight="1">
      <c r="U616" s="33"/>
      <c r="V616" s="33"/>
    </row>
    <row r="617" ht="15.75" customHeight="1">
      <c r="U617" s="33"/>
      <c r="V617" s="33"/>
    </row>
    <row r="618" ht="15.75" customHeight="1">
      <c r="U618" s="33"/>
      <c r="V618" s="33"/>
    </row>
    <row r="619" ht="15.75" customHeight="1">
      <c r="U619" s="33"/>
      <c r="V619" s="33"/>
    </row>
    <row r="620" ht="15.75" customHeight="1">
      <c r="U620" s="33"/>
      <c r="V620" s="33"/>
    </row>
    <row r="621" ht="15.75" customHeight="1">
      <c r="U621" s="33"/>
      <c r="V621" s="33"/>
    </row>
    <row r="622" ht="15.75" customHeight="1">
      <c r="U622" s="33"/>
      <c r="V622" s="33"/>
    </row>
    <row r="623" ht="15.75" customHeight="1">
      <c r="U623" s="33"/>
      <c r="V623" s="33"/>
    </row>
    <row r="624" ht="15.75" customHeight="1">
      <c r="U624" s="33"/>
      <c r="V624" s="33"/>
    </row>
    <row r="625" ht="15.75" customHeight="1">
      <c r="U625" s="33"/>
      <c r="V625" s="33"/>
    </row>
    <row r="626" ht="15.75" customHeight="1">
      <c r="U626" s="33"/>
      <c r="V626" s="33"/>
    </row>
    <row r="627" ht="15.75" customHeight="1">
      <c r="U627" s="33"/>
      <c r="V627" s="33"/>
    </row>
    <row r="628" ht="15.75" customHeight="1">
      <c r="U628" s="33"/>
      <c r="V628" s="33"/>
    </row>
    <row r="629" ht="15.75" customHeight="1">
      <c r="U629" s="33"/>
      <c r="V629" s="33"/>
    </row>
    <row r="630" ht="15.75" customHeight="1">
      <c r="U630" s="33"/>
      <c r="V630" s="33"/>
    </row>
    <row r="631" ht="15.75" customHeight="1">
      <c r="U631" s="33"/>
      <c r="V631" s="33"/>
    </row>
    <row r="632" ht="15.75" customHeight="1">
      <c r="U632" s="33"/>
      <c r="V632" s="33"/>
    </row>
    <row r="633" ht="15.75" customHeight="1">
      <c r="U633" s="33"/>
      <c r="V633" s="33"/>
    </row>
    <row r="634" ht="15.75" customHeight="1">
      <c r="U634" s="33"/>
      <c r="V634" s="33"/>
    </row>
    <row r="635" ht="15.75" customHeight="1">
      <c r="U635" s="33"/>
      <c r="V635" s="33"/>
    </row>
    <row r="636" ht="15.75" customHeight="1">
      <c r="U636" s="33"/>
      <c r="V636" s="33"/>
    </row>
    <row r="637" ht="15.75" customHeight="1">
      <c r="U637" s="33"/>
      <c r="V637" s="33"/>
    </row>
    <row r="638" ht="15.75" customHeight="1">
      <c r="U638" s="33"/>
      <c r="V638" s="33"/>
    </row>
    <row r="639" ht="15.75" customHeight="1">
      <c r="U639" s="33"/>
      <c r="V639" s="33"/>
    </row>
    <row r="640" ht="15.75" customHeight="1">
      <c r="U640" s="33"/>
      <c r="V640" s="33"/>
    </row>
    <row r="641" ht="15.75" customHeight="1">
      <c r="U641" s="33"/>
      <c r="V641" s="33"/>
    </row>
    <row r="642" ht="15.75" customHeight="1">
      <c r="U642" s="33"/>
      <c r="V642" s="33"/>
    </row>
    <row r="643" ht="15.75" customHeight="1">
      <c r="U643" s="33"/>
      <c r="V643" s="33"/>
    </row>
    <row r="644" ht="15.75" customHeight="1">
      <c r="U644" s="33"/>
      <c r="V644" s="33"/>
    </row>
    <row r="645" ht="15.75" customHeight="1">
      <c r="U645" s="33"/>
      <c r="V645" s="33"/>
    </row>
    <row r="646" ht="15.75" customHeight="1">
      <c r="U646" s="33"/>
      <c r="V646" s="33"/>
    </row>
    <row r="647" ht="15.75" customHeight="1">
      <c r="U647" s="33"/>
      <c r="V647" s="33"/>
    </row>
    <row r="648" ht="15.75" customHeight="1">
      <c r="U648" s="33"/>
      <c r="V648" s="33"/>
    </row>
    <row r="649" ht="15.75" customHeight="1">
      <c r="U649" s="33"/>
      <c r="V649" s="33"/>
    </row>
    <row r="650" ht="15.75" customHeight="1">
      <c r="U650" s="33"/>
      <c r="V650" s="33"/>
    </row>
    <row r="651" ht="15.75" customHeight="1">
      <c r="U651" s="33"/>
      <c r="V651" s="33"/>
    </row>
    <row r="652" ht="15.75" customHeight="1">
      <c r="U652" s="33"/>
      <c r="V652" s="33"/>
    </row>
    <row r="653" ht="15.75" customHeight="1">
      <c r="U653" s="33"/>
      <c r="V653" s="33"/>
    </row>
    <row r="654" ht="15.75" customHeight="1">
      <c r="U654" s="33"/>
      <c r="V654" s="33"/>
    </row>
    <row r="655" ht="15.75" customHeight="1">
      <c r="U655" s="33"/>
      <c r="V655" s="33"/>
    </row>
    <row r="656" ht="15.75" customHeight="1">
      <c r="U656" s="33"/>
      <c r="V656" s="33"/>
    </row>
    <row r="657" ht="15.75" customHeight="1">
      <c r="U657" s="33"/>
      <c r="V657" s="33"/>
    </row>
    <row r="658" ht="15.75" customHeight="1">
      <c r="U658" s="33"/>
      <c r="V658" s="33"/>
    </row>
    <row r="659" ht="15.75" customHeight="1">
      <c r="U659" s="33"/>
      <c r="V659" s="33"/>
    </row>
    <row r="660" ht="15.75" customHeight="1">
      <c r="U660" s="33"/>
      <c r="V660" s="33"/>
    </row>
    <row r="661" ht="15.75" customHeight="1">
      <c r="U661" s="33"/>
      <c r="V661" s="33"/>
    </row>
    <row r="662" ht="15.75" customHeight="1">
      <c r="U662" s="33"/>
      <c r="V662" s="33"/>
    </row>
    <row r="663" ht="15.75" customHeight="1">
      <c r="U663" s="33"/>
      <c r="V663" s="33"/>
    </row>
    <row r="664" ht="15.75" customHeight="1">
      <c r="U664" s="33"/>
      <c r="V664" s="33"/>
    </row>
    <row r="665" ht="15.75" customHeight="1">
      <c r="U665" s="33"/>
      <c r="V665" s="33"/>
    </row>
    <row r="666" ht="15.75" customHeight="1">
      <c r="U666" s="33"/>
      <c r="V666" s="33"/>
    </row>
    <row r="667" ht="15.75" customHeight="1">
      <c r="U667" s="33"/>
      <c r="V667" s="33"/>
    </row>
    <row r="668" ht="15.75" customHeight="1">
      <c r="U668" s="33"/>
      <c r="V668" s="33"/>
    </row>
    <row r="669" ht="15.75" customHeight="1">
      <c r="U669" s="33"/>
      <c r="V669" s="33"/>
    </row>
    <row r="670" ht="15.75" customHeight="1">
      <c r="U670" s="33"/>
      <c r="V670" s="33"/>
    </row>
    <row r="671" ht="15.75" customHeight="1">
      <c r="U671" s="33"/>
      <c r="V671" s="33"/>
    </row>
    <row r="672" ht="15.75" customHeight="1">
      <c r="U672" s="33"/>
      <c r="V672" s="33"/>
    </row>
    <row r="673" ht="15.75" customHeight="1">
      <c r="U673" s="33"/>
      <c r="V673" s="33"/>
    </row>
    <row r="674" ht="15.75" customHeight="1">
      <c r="U674" s="33"/>
      <c r="V674" s="33"/>
    </row>
    <row r="675" ht="15.75" customHeight="1">
      <c r="U675" s="33"/>
      <c r="V675" s="33"/>
    </row>
    <row r="676" ht="15.75" customHeight="1">
      <c r="U676" s="33"/>
      <c r="V676" s="33"/>
    </row>
    <row r="677" ht="15.75" customHeight="1">
      <c r="U677" s="33"/>
      <c r="V677" s="33"/>
    </row>
    <row r="678" ht="15.75" customHeight="1">
      <c r="U678" s="33"/>
      <c r="V678" s="33"/>
    </row>
    <row r="679" ht="15.75" customHeight="1">
      <c r="U679" s="33"/>
      <c r="V679" s="33"/>
    </row>
    <row r="680" ht="15.75" customHeight="1">
      <c r="U680" s="33"/>
      <c r="V680" s="33"/>
    </row>
    <row r="681" ht="15.75" customHeight="1">
      <c r="U681" s="33"/>
      <c r="V681" s="33"/>
    </row>
    <row r="682" ht="15.75" customHeight="1">
      <c r="U682" s="33"/>
      <c r="V682" s="33"/>
    </row>
    <row r="683" ht="15.75" customHeight="1">
      <c r="U683" s="33"/>
      <c r="V683" s="33"/>
    </row>
    <row r="684" ht="15.75" customHeight="1">
      <c r="U684" s="33"/>
      <c r="V684" s="33"/>
    </row>
    <row r="685" ht="15.75" customHeight="1">
      <c r="U685" s="33"/>
      <c r="V685" s="33"/>
    </row>
    <row r="686" ht="15.75" customHeight="1">
      <c r="U686" s="33"/>
      <c r="V686" s="33"/>
    </row>
    <row r="687" ht="15.75" customHeight="1">
      <c r="U687" s="33"/>
      <c r="V687" s="33"/>
    </row>
    <row r="688" ht="15.75" customHeight="1">
      <c r="U688" s="33"/>
      <c r="V688" s="33"/>
    </row>
    <row r="689" ht="15.75" customHeight="1">
      <c r="U689" s="33"/>
      <c r="V689" s="33"/>
    </row>
    <row r="690" ht="15.75" customHeight="1">
      <c r="U690" s="33"/>
      <c r="V690" s="33"/>
    </row>
    <row r="691" ht="15.75" customHeight="1">
      <c r="U691" s="33"/>
      <c r="V691" s="33"/>
    </row>
    <row r="692" ht="15.75" customHeight="1">
      <c r="U692" s="33"/>
      <c r="V692" s="33"/>
    </row>
    <row r="693" ht="15.75" customHeight="1">
      <c r="U693" s="33"/>
      <c r="V693" s="33"/>
    </row>
    <row r="694" ht="15.75" customHeight="1">
      <c r="U694" s="33"/>
      <c r="V694" s="33"/>
    </row>
    <row r="695" ht="15.75" customHeight="1">
      <c r="U695" s="33"/>
      <c r="V695" s="33"/>
    </row>
    <row r="696" ht="15.75" customHeight="1">
      <c r="U696" s="33"/>
      <c r="V696" s="33"/>
    </row>
    <row r="697" ht="15.75" customHeight="1">
      <c r="U697" s="33"/>
      <c r="V697" s="33"/>
    </row>
    <row r="698" ht="15.75" customHeight="1">
      <c r="U698" s="33"/>
      <c r="V698" s="33"/>
    </row>
    <row r="699" ht="15.75" customHeight="1">
      <c r="U699" s="33"/>
      <c r="V699" s="33"/>
    </row>
    <row r="700" ht="15.75" customHeight="1">
      <c r="U700" s="33"/>
      <c r="V700" s="33"/>
    </row>
    <row r="701" ht="15.75" customHeight="1">
      <c r="U701" s="33"/>
      <c r="V701" s="33"/>
    </row>
    <row r="702" ht="15.75" customHeight="1">
      <c r="U702" s="33"/>
      <c r="V702" s="33"/>
    </row>
    <row r="703" ht="15.75" customHeight="1">
      <c r="U703" s="33"/>
      <c r="V703" s="33"/>
    </row>
    <row r="704" ht="15.75" customHeight="1">
      <c r="U704" s="33"/>
      <c r="V704" s="33"/>
    </row>
    <row r="705" ht="15.75" customHeight="1">
      <c r="U705" s="33"/>
      <c r="V705" s="33"/>
    </row>
    <row r="706" ht="15.75" customHeight="1">
      <c r="U706" s="33"/>
      <c r="V706" s="33"/>
    </row>
    <row r="707" ht="15.75" customHeight="1">
      <c r="U707" s="33"/>
      <c r="V707" s="33"/>
    </row>
    <row r="708" ht="15.75" customHeight="1">
      <c r="U708" s="33"/>
      <c r="V708" s="33"/>
    </row>
    <row r="709" ht="15.75" customHeight="1">
      <c r="U709" s="33"/>
      <c r="V709" s="33"/>
    </row>
    <row r="710" ht="15.75" customHeight="1">
      <c r="U710" s="33"/>
      <c r="V710" s="33"/>
    </row>
    <row r="711" ht="15.75" customHeight="1">
      <c r="U711" s="33"/>
      <c r="V711" s="33"/>
    </row>
    <row r="712" ht="15.75" customHeight="1">
      <c r="U712" s="33"/>
      <c r="V712" s="33"/>
    </row>
    <row r="713" ht="15.75" customHeight="1">
      <c r="U713" s="33"/>
      <c r="V713" s="33"/>
    </row>
    <row r="714" ht="15.75" customHeight="1">
      <c r="U714" s="33"/>
      <c r="V714" s="33"/>
    </row>
    <row r="715" ht="15.75" customHeight="1">
      <c r="U715" s="33"/>
      <c r="V715" s="33"/>
    </row>
    <row r="716" ht="15.75" customHeight="1">
      <c r="U716" s="33"/>
      <c r="V716" s="33"/>
    </row>
    <row r="717" ht="15.75" customHeight="1">
      <c r="U717" s="33"/>
      <c r="V717" s="33"/>
    </row>
    <row r="718" ht="15.75" customHeight="1">
      <c r="U718" s="33"/>
      <c r="V718" s="33"/>
    </row>
    <row r="719" ht="15.75" customHeight="1">
      <c r="U719" s="33"/>
      <c r="V719" s="33"/>
    </row>
    <row r="720" ht="15.75" customHeight="1">
      <c r="U720" s="33"/>
      <c r="V720" s="33"/>
    </row>
    <row r="721" ht="15.75" customHeight="1">
      <c r="U721" s="33"/>
      <c r="V721" s="33"/>
    </row>
    <row r="722" ht="15.75" customHeight="1">
      <c r="U722" s="33"/>
      <c r="V722" s="33"/>
    </row>
    <row r="723" ht="15.75" customHeight="1">
      <c r="U723" s="33"/>
      <c r="V723" s="33"/>
    </row>
    <row r="724" ht="15.75" customHeight="1">
      <c r="U724" s="33"/>
      <c r="V724" s="33"/>
    </row>
    <row r="725" ht="15.75" customHeight="1">
      <c r="U725" s="33"/>
      <c r="V725" s="33"/>
    </row>
    <row r="726" ht="15.75" customHeight="1">
      <c r="U726" s="33"/>
      <c r="V726" s="33"/>
    </row>
    <row r="727" ht="15.75" customHeight="1">
      <c r="U727" s="33"/>
      <c r="V727" s="33"/>
    </row>
    <row r="728" ht="15.75" customHeight="1">
      <c r="U728" s="33"/>
      <c r="V728" s="33"/>
    </row>
    <row r="729" ht="15.75" customHeight="1">
      <c r="U729" s="33"/>
      <c r="V729" s="33"/>
    </row>
    <row r="730" ht="15.75" customHeight="1">
      <c r="U730" s="33"/>
      <c r="V730" s="33"/>
    </row>
    <row r="731" ht="15.75" customHeight="1">
      <c r="U731" s="33"/>
      <c r="V731" s="33"/>
    </row>
    <row r="732" ht="15.75" customHeight="1">
      <c r="U732" s="33"/>
      <c r="V732" s="33"/>
    </row>
    <row r="733" ht="15.75" customHeight="1">
      <c r="U733" s="33"/>
      <c r="V733" s="33"/>
    </row>
    <row r="734" ht="15.75" customHeight="1">
      <c r="U734" s="33"/>
      <c r="V734" s="33"/>
    </row>
    <row r="735" ht="15.75" customHeight="1">
      <c r="U735" s="33"/>
      <c r="V735" s="33"/>
    </row>
    <row r="736" ht="15.75" customHeight="1">
      <c r="U736" s="33"/>
      <c r="V736" s="33"/>
    </row>
    <row r="737" ht="15.75" customHeight="1">
      <c r="U737" s="33"/>
      <c r="V737" s="33"/>
    </row>
    <row r="738" ht="15.75" customHeight="1">
      <c r="U738" s="33"/>
      <c r="V738" s="33"/>
    </row>
    <row r="739" ht="15.75" customHeight="1">
      <c r="U739" s="33"/>
      <c r="V739" s="33"/>
    </row>
    <row r="740" ht="15.75" customHeight="1">
      <c r="U740" s="33"/>
      <c r="V740" s="33"/>
    </row>
    <row r="741" ht="15.75" customHeight="1">
      <c r="U741" s="33"/>
      <c r="V741" s="33"/>
    </row>
    <row r="742" ht="15.75" customHeight="1">
      <c r="U742" s="33"/>
      <c r="V742" s="33"/>
    </row>
    <row r="743" ht="15.75" customHeight="1">
      <c r="U743" s="33"/>
      <c r="V743" s="33"/>
    </row>
    <row r="744" ht="15.75" customHeight="1">
      <c r="U744" s="33"/>
      <c r="V744" s="33"/>
    </row>
    <row r="745" ht="15.75" customHeight="1">
      <c r="U745" s="33"/>
      <c r="V745" s="33"/>
    </row>
    <row r="746" ht="15.75" customHeight="1">
      <c r="U746" s="33"/>
      <c r="V746" s="33"/>
    </row>
    <row r="747" ht="15.75" customHeight="1">
      <c r="U747" s="33"/>
      <c r="V747" s="33"/>
    </row>
    <row r="748" ht="15.75" customHeight="1">
      <c r="U748" s="33"/>
      <c r="V748" s="33"/>
    </row>
    <row r="749" ht="15.75" customHeight="1">
      <c r="U749" s="33"/>
      <c r="V749" s="33"/>
    </row>
    <row r="750" ht="15.75" customHeight="1">
      <c r="U750" s="33"/>
      <c r="V750" s="33"/>
    </row>
    <row r="751" ht="15.75" customHeight="1">
      <c r="U751" s="33"/>
      <c r="V751" s="33"/>
    </row>
    <row r="752" ht="15.75" customHeight="1">
      <c r="U752" s="33"/>
      <c r="V752" s="33"/>
    </row>
    <row r="753" ht="15.75" customHeight="1">
      <c r="U753" s="33"/>
      <c r="V753" s="33"/>
    </row>
    <row r="754" ht="15.75" customHeight="1">
      <c r="U754" s="33"/>
      <c r="V754" s="33"/>
    </row>
    <row r="755" ht="15.75" customHeight="1">
      <c r="U755" s="33"/>
      <c r="V755" s="33"/>
    </row>
    <row r="756" ht="15.75" customHeight="1">
      <c r="U756" s="33"/>
      <c r="V756" s="33"/>
    </row>
    <row r="757" ht="15.75" customHeight="1">
      <c r="U757" s="33"/>
      <c r="V757" s="33"/>
    </row>
    <row r="758" ht="15.75" customHeight="1">
      <c r="U758" s="33"/>
      <c r="V758" s="33"/>
    </row>
    <row r="759" ht="15.75" customHeight="1">
      <c r="U759" s="33"/>
      <c r="V759" s="33"/>
    </row>
    <row r="760" ht="15.75" customHeight="1">
      <c r="U760" s="33"/>
      <c r="V760" s="33"/>
    </row>
    <row r="761" ht="15.75" customHeight="1">
      <c r="U761" s="33"/>
      <c r="V761" s="33"/>
    </row>
    <row r="762" ht="15.75" customHeight="1">
      <c r="U762" s="33"/>
      <c r="V762" s="33"/>
    </row>
    <row r="763" ht="15.75" customHeight="1">
      <c r="U763" s="33"/>
      <c r="V763" s="33"/>
    </row>
    <row r="764" ht="15.75" customHeight="1">
      <c r="U764" s="33"/>
      <c r="V764" s="33"/>
    </row>
    <row r="765" ht="15.75" customHeight="1">
      <c r="U765" s="33"/>
      <c r="V765" s="33"/>
    </row>
    <row r="766" ht="15.75" customHeight="1">
      <c r="U766" s="33"/>
      <c r="V766" s="33"/>
    </row>
    <row r="767" ht="15.75" customHeight="1">
      <c r="U767" s="33"/>
      <c r="V767" s="33"/>
    </row>
    <row r="768" ht="15.75" customHeight="1">
      <c r="U768" s="33"/>
      <c r="V768" s="33"/>
    </row>
    <row r="769" ht="15.75" customHeight="1">
      <c r="U769" s="33"/>
      <c r="V769" s="33"/>
    </row>
    <row r="770" ht="15.75" customHeight="1">
      <c r="U770" s="33"/>
      <c r="V770" s="33"/>
    </row>
    <row r="771" ht="15.75" customHeight="1">
      <c r="U771" s="33"/>
      <c r="V771" s="33"/>
    </row>
    <row r="772" ht="15.75" customHeight="1">
      <c r="U772" s="33"/>
      <c r="V772" s="33"/>
    </row>
    <row r="773" ht="15.75" customHeight="1">
      <c r="U773" s="33"/>
      <c r="V773" s="33"/>
    </row>
    <row r="774" ht="15.75" customHeight="1">
      <c r="U774" s="33"/>
      <c r="V774" s="33"/>
    </row>
    <row r="775" ht="15.75" customHeight="1">
      <c r="U775" s="33"/>
      <c r="V775" s="33"/>
    </row>
    <row r="776" ht="15.75" customHeight="1">
      <c r="U776" s="33"/>
      <c r="V776" s="33"/>
    </row>
    <row r="777" ht="15.75" customHeight="1">
      <c r="U777" s="33"/>
      <c r="V777" s="33"/>
    </row>
    <row r="778" ht="15.75" customHeight="1">
      <c r="U778" s="33"/>
      <c r="V778" s="33"/>
    </row>
    <row r="779" ht="15.75" customHeight="1">
      <c r="U779" s="33"/>
      <c r="V779" s="33"/>
    </row>
    <row r="780" ht="15.75" customHeight="1">
      <c r="U780" s="33"/>
      <c r="V780" s="33"/>
    </row>
    <row r="781" ht="15.75" customHeight="1">
      <c r="U781" s="33"/>
      <c r="V781" s="33"/>
    </row>
    <row r="782" ht="15.75" customHeight="1">
      <c r="U782" s="33"/>
      <c r="V782" s="33"/>
    </row>
    <row r="783" ht="15.75" customHeight="1">
      <c r="U783" s="33"/>
      <c r="V783" s="33"/>
    </row>
    <row r="784" ht="15.75" customHeight="1">
      <c r="U784" s="33"/>
      <c r="V784" s="33"/>
    </row>
    <row r="785" ht="15.75" customHeight="1">
      <c r="U785" s="33"/>
      <c r="V785" s="33"/>
    </row>
    <row r="786" ht="15.75" customHeight="1">
      <c r="U786" s="33"/>
      <c r="V786" s="33"/>
    </row>
    <row r="787" ht="15.75" customHeight="1">
      <c r="U787" s="33"/>
      <c r="V787" s="33"/>
    </row>
    <row r="788" ht="15.75" customHeight="1">
      <c r="U788" s="33"/>
      <c r="V788" s="33"/>
    </row>
    <row r="789" ht="15.75" customHeight="1">
      <c r="U789" s="33"/>
      <c r="V789" s="33"/>
    </row>
    <row r="790" ht="15.75" customHeight="1">
      <c r="U790" s="33"/>
      <c r="V790" s="33"/>
    </row>
    <row r="791" ht="15.75" customHeight="1">
      <c r="U791" s="33"/>
      <c r="V791" s="33"/>
    </row>
    <row r="792" ht="15.75" customHeight="1">
      <c r="U792" s="33"/>
      <c r="V792" s="33"/>
    </row>
    <row r="793" ht="15.75" customHeight="1">
      <c r="U793" s="33"/>
      <c r="V793" s="33"/>
    </row>
    <row r="794" ht="15.75" customHeight="1">
      <c r="U794" s="33"/>
      <c r="V794" s="33"/>
    </row>
    <row r="795" ht="15.75" customHeight="1">
      <c r="U795" s="33"/>
      <c r="V795" s="33"/>
    </row>
    <row r="796" ht="15.75" customHeight="1">
      <c r="U796" s="33"/>
      <c r="V796" s="33"/>
    </row>
    <row r="797" ht="15.75" customHeight="1">
      <c r="U797" s="33"/>
      <c r="V797" s="33"/>
    </row>
    <row r="798" ht="15.75" customHeight="1">
      <c r="U798" s="33"/>
      <c r="V798" s="33"/>
    </row>
    <row r="799" ht="15.75" customHeight="1">
      <c r="U799" s="33"/>
      <c r="V799" s="33"/>
    </row>
    <row r="800" ht="15.75" customHeight="1">
      <c r="U800" s="33"/>
      <c r="V800" s="33"/>
    </row>
    <row r="801" ht="15.75" customHeight="1">
      <c r="U801" s="33"/>
      <c r="V801" s="33"/>
    </row>
    <row r="802" ht="15.75" customHeight="1">
      <c r="U802" s="33"/>
      <c r="V802" s="33"/>
    </row>
    <row r="803" ht="15.75" customHeight="1">
      <c r="U803" s="33"/>
      <c r="V803" s="33"/>
    </row>
    <row r="804" ht="15.75" customHeight="1">
      <c r="U804" s="33"/>
      <c r="V804" s="33"/>
    </row>
    <row r="805" ht="15.75" customHeight="1">
      <c r="U805" s="33"/>
      <c r="V805" s="33"/>
    </row>
    <row r="806" ht="15.75" customHeight="1">
      <c r="U806" s="33"/>
      <c r="V806" s="33"/>
    </row>
    <row r="807" ht="15.75" customHeight="1">
      <c r="U807" s="33"/>
      <c r="V807" s="33"/>
    </row>
    <row r="808" ht="15.75" customHeight="1">
      <c r="U808" s="33"/>
      <c r="V808" s="33"/>
    </row>
    <row r="809" ht="15.75" customHeight="1">
      <c r="U809" s="33"/>
      <c r="V809" s="33"/>
    </row>
    <row r="810" ht="15.75" customHeight="1">
      <c r="U810" s="33"/>
      <c r="V810" s="33"/>
    </row>
    <row r="811" ht="15.75" customHeight="1">
      <c r="U811" s="33"/>
      <c r="V811" s="33"/>
    </row>
    <row r="812" ht="15.75" customHeight="1">
      <c r="U812" s="33"/>
      <c r="V812" s="33"/>
    </row>
    <row r="813" ht="15.75" customHeight="1">
      <c r="U813" s="33"/>
      <c r="V813" s="33"/>
    </row>
    <row r="814" ht="15.75" customHeight="1">
      <c r="U814" s="33"/>
      <c r="V814" s="33"/>
    </row>
    <row r="815" ht="15.75" customHeight="1">
      <c r="U815" s="33"/>
      <c r="V815" s="33"/>
    </row>
    <row r="816" ht="15.75" customHeight="1">
      <c r="U816" s="33"/>
      <c r="V816" s="33"/>
    </row>
    <row r="817" ht="15.75" customHeight="1">
      <c r="U817" s="33"/>
      <c r="V817" s="33"/>
    </row>
    <row r="818" ht="15.75" customHeight="1">
      <c r="U818" s="33"/>
      <c r="V818" s="33"/>
    </row>
    <row r="819" ht="15.75" customHeight="1">
      <c r="U819" s="33"/>
      <c r="V819" s="33"/>
    </row>
    <row r="820" ht="15.75" customHeight="1">
      <c r="U820" s="33"/>
      <c r="V820" s="33"/>
    </row>
    <row r="821" ht="15.75" customHeight="1">
      <c r="U821" s="33"/>
      <c r="V821" s="33"/>
    </row>
    <row r="822" ht="15.75" customHeight="1">
      <c r="U822" s="33"/>
      <c r="V822" s="33"/>
    </row>
    <row r="823" ht="15.75" customHeight="1">
      <c r="U823" s="33"/>
      <c r="V823" s="33"/>
    </row>
    <row r="824" ht="15.75" customHeight="1">
      <c r="U824" s="33"/>
      <c r="V824" s="33"/>
    </row>
    <row r="825" ht="15.75" customHeight="1">
      <c r="U825" s="33"/>
      <c r="V825" s="33"/>
    </row>
    <row r="826" ht="15.75" customHeight="1">
      <c r="U826" s="33"/>
      <c r="V826" s="33"/>
    </row>
    <row r="827" ht="15.75" customHeight="1">
      <c r="U827" s="33"/>
      <c r="V827" s="33"/>
    </row>
    <row r="828" ht="15.75" customHeight="1">
      <c r="U828" s="33"/>
      <c r="V828" s="33"/>
    </row>
    <row r="829" ht="15.75" customHeight="1">
      <c r="U829" s="33"/>
      <c r="V829" s="33"/>
    </row>
    <row r="830" ht="15.75" customHeight="1">
      <c r="U830" s="33"/>
      <c r="V830" s="33"/>
    </row>
    <row r="831" ht="15.75" customHeight="1">
      <c r="U831" s="33"/>
      <c r="V831" s="33"/>
    </row>
    <row r="832" ht="15.75" customHeight="1">
      <c r="U832" s="33"/>
      <c r="V832" s="33"/>
    </row>
    <row r="833" ht="15.75" customHeight="1">
      <c r="U833" s="33"/>
      <c r="V833" s="33"/>
    </row>
    <row r="834" ht="15.75" customHeight="1">
      <c r="U834" s="33"/>
      <c r="V834" s="33"/>
    </row>
    <row r="835" ht="15.75" customHeight="1">
      <c r="U835" s="33"/>
      <c r="V835" s="33"/>
    </row>
    <row r="836" ht="15.75" customHeight="1">
      <c r="U836" s="33"/>
      <c r="V836" s="33"/>
    </row>
    <row r="837" ht="15.75" customHeight="1">
      <c r="U837" s="33"/>
      <c r="V837" s="33"/>
    </row>
    <row r="838" ht="15.75" customHeight="1">
      <c r="U838" s="33"/>
      <c r="V838" s="33"/>
    </row>
    <row r="839" ht="15.75" customHeight="1">
      <c r="U839" s="33"/>
      <c r="V839" s="33"/>
    </row>
    <row r="840" ht="15.75" customHeight="1">
      <c r="U840" s="33"/>
      <c r="V840" s="33"/>
    </row>
    <row r="841" ht="15.75" customHeight="1">
      <c r="U841" s="33"/>
      <c r="V841" s="33"/>
    </row>
    <row r="842" ht="15.75" customHeight="1">
      <c r="U842" s="33"/>
      <c r="V842" s="33"/>
    </row>
    <row r="843" ht="15.75" customHeight="1">
      <c r="U843" s="33"/>
      <c r="V843" s="33"/>
    </row>
    <row r="844" ht="15.75" customHeight="1">
      <c r="U844" s="33"/>
      <c r="V844" s="33"/>
    </row>
    <row r="845" ht="15.75" customHeight="1">
      <c r="U845" s="33"/>
      <c r="V845" s="33"/>
    </row>
    <row r="846" ht="15.75" customHeight="1">
      <c r="U846" s="33"/>
      <c r="V846" s="33"/>
    </row>
    <row r="847" ht="15.75" customHeight="1">
      <c r="U847" s="33"/>
      <c r="V847" s="33"/>
    </row>
    <row r="848" ht="15.75" customHeight="1">
      <c r="U848" s="33"/>
      <c r="V848" s="33"/>
    </row>
    <row r="849" ht="15.75" customHeight="1">
      <c r="U849" s="33"/>
      <c r="V849" s="33"/>
    </row>
    <row r="850" ht="15.75" customHeight="1">
      <c r="U850" s="33"/>
      <c r="V850" s="33"/>
    </row>
    <row r="851" ht="15.75" customHeight="1">
      <c r="U851" s="33"/>
      <c r="V851" s="33"/>
    </row>
    <row r="852" ht="15.75" customHeight="1">
      <c r="U852" s="33"/>
      <c r="V852" s="33"/>
    </row>
    <row r="853" ht="15.75" customHeight="1">
      <c r="U853" s="33"/>
      <c r="V853" s="33"/>
    </row>
    <row r="854" ht="15.75" customHeight="1">
      <c r="U854" s="33"/>
      <c r="V854" s="33"/>
    </row>
    <row r="855" ht="15.75" customHeight="1">
      <c r="U855" s="33"/>
      <c r="V855" s="33"/>
    </row>
    <row r="856" ht="15.75" customHeight="1">
      <c r="U856" s="33"/>
      <c r="V856" s="33"/>
    </row>
    <row r="857" ht="15.75" customHeight="1">
      <c r="U857" s="33"/>
      <c r="V857" s="33"/>
    </row>
    <row r="858" ht="15.75" customHeight="1">
      <c r="U858" s="33"/>
      <c r="V858" s="33"/>
    </row>
    <row r="859" ht="15.75" customHeight="1">
      <c r="U859" s="33"/>
      <c r="V859" s="33"/>
    </row>
    <row r="860" ht="15.75" customHeight="1">
      <c r="U860" s="33"/>
      <c r="V860" s="33"/>
    </row>
    <row r="861" ht="15.75" customHeight="1">
      <c r="U861" s="33"/>
      <c r="V861" s="33"/>
    </row>
    <row r="862" ht="15.75" customHeight="1">
      <c r="U862" s="33"/>
      <c r="V862" s="33"/>
    </row>
    <row r="863" ht="15.75" customHeight="1">
      <c r="U863" s="33"/>
      <c r="V863" s="33"/>
    </row>
    <row r="864" ht="15.75" customHeight="1">
      <c r="U864" s="33"/>
      <c r="V864" s="33"/>
    </row>
    <row r="865" ht="15.75" customHeight="1">
      <c r="U865" s="33"/>
      <c r="V865" s="33"/>
    </row>
    <row r="866" ht="15.75" customHeight="1">
      <c r="U866" s="33"/>
      <c r="V866" s="33"/>
    </row>
    <row r="867" ht="15.75" customHeight="1">
      <c r="U867" s="33"/>
      <c r="V867" s="33"/>
    </row>
    <row r="868" ht="15.75" customHeight="1">
      <c r="U868" s="33"/>
      <c r="V868" s="33"/>
    </row>
    <row r="869" ht="15.75" customHeight="1">
      <c r="U869" s="33"/>
      <c r="V869" s="33"/>
    </row>
    <row r="870" ht="15.75" customHeight="1">
      <c r="U870" s="33"/>
      <c r="V870" s="33"/>
    </row>
    <row r="871" ht="15.75" customHeight="1">
      <c r="U871" s="33"/>
      <c r="V871" s="33"/>
    </row>
    <row r="872" ht="15.75" customHeight="1">
      <c r="U872" s="33"/>
      <c r="V872" s="33"/>
    </row>
    <row r="873" ht="15.75" customHeight="1">
      <c r="U873" s="33"/>
      <c r="V873" s="33"/>
    </row>
    <row r="874" ht="15.75" customHeight="1">
      <c r="U874" s="33"/>
      <c r="V874" s="33"/>
    </row>
    <row r="875" ht="15.75" customHeight="1">
      <c r="U875" s="33"/>
      <c r="V875" s="33"/>
    </row>
    <row r="876" ht="15.75" customHeight="1">
      <c r="U876" s="33"/>
      <c r="V876" s="33"/>
    </row>
    <row r="877" ht="15.75" customHeight="1">
      <c r="U877" s="33"/>
      <c r="V877" s="33"/>
    </row>
    <row r="878" ht="15.75" customHeight="1">
      <c r="U878" s="33"/>
      <c r="V878" s="33"/>
    </row>
    <row r="879" ht="15.75" customHeight="1">
      <c r="U879" s="33"/>
      <c r="V879" s="33"/>
    </row>
    <row r="880" ht="15.75" customHeight="1">
      <c r="U880" s="33"/>
      <c r="V880" s="33"/>
    </row>
    <row r="881" ht="15.75" customHeight="1">
      <c r="U881" s="33"/>
      <c r="V881" s="33"/>
    </row>
    <row r="882" ht="15.75" customHeight="1">
      <c r="U882" s="33"/>
      <c r="V882" s="33"/>
    </row>
    <row r="883" ht="15.75" customHeight="1">
      <c r="U883" s="33"/>
      <c r="V883" s="33"/>
    </row>
    <row r="884" ht="15.75" customHeight="1">
      <c r="U884" s="33"/>
      <c r="V884" s="33"/>
    </row>
    <row r="885" ht="15.75" customHeight="1">
      <c r="U885" s="33"/>
      <c r="V885" s="33"/>
    </row>
    <row r="886" ht="15.75" customHeight="1">
      <c r="U886" s="33"/>
      <c r="V886" s="33"/>
    </row>
    <row r="887" ht="15.75" customHeight="1">
      <c r="U887" s="33"/>
      <c r="V887" s="33"/>
    </row>
    <row r="888" ht="15.75" customHeight="1">
      <c r="U888" s="33"/>
      <c r="V888" s="33"/>
    </row>
    <row r="889" ht="15.75" customHeight="1">
      <c r="U889" s="33"/>
      <c r="V889" s="33"/>
    </row>
    <row r="890" ht="15.75" customHeight="1">
      <c r="U890" s="33"/>
      <c r="V890" s="33"/>
    </row>
    <row r="891" ht="15.75" customHeight="1">
      <c r="U891" s="33"/>
      <c r="V891" s="33"/>
    </row>
    <row r="892" ht="15.75" customHeight="1">
      <c r="U892" s="33"/>
      <c r="V892" s="33"/>
    </row>
    <row r="893" ht="15.75" customHeight="1">
      <c r="U893" s="33"/>
      <c r="V893" s="33"/>
    </row>
    <row r="894" ht="15.75" customHeight="1">
      <c r="U894" s="33"/>
      <c r="V894" s="33"/>
    </row>
    <row r="895" ht="15.75" customHeight="1">
      <c r="U895" s="33"/>
      <c r="V895" s="33"/>
    </row>
    <row r="896" ht="15.75" customHeight="1">
      <c r="U896" s="33"/>
      <c r="V896" s="33"/>
    </row>
    <row r="897" ht="15.75" customHeight="1">
      <c r="U897" s="33"/>
      <c r="V897" s="33"/>
    </row>
    <row r="898" ht="15.75" customHeight="1">
      <c r="U898" s="33"/>
      <c r="V898" s="33"/>
    </row>
    <row r="899" ht="15.75" customHeight="1">
      <c r="U899" s="33"/>
      <c r="V899" s="33"/>
    </row>
    <row r="900" ht="15.75" customHeight="1">
      <c r="U900" s="33"/>
      <c r="V900" s="33"/>
    </row>
    <row r="901" ht="15.75" customHeight="1">
      <c r="U901" s="33"/>
      <c r="V901" s="33"/>
    </row>
    <row r="902" ht="15.75" customHeight="1">
      <c r="U902" s="33"/>
      <c r="V902" s="33"/>
    </row>
    <row r="903" ht="15.75" customHeight="1">
      <c r="U903" s="33"/>
      <c r="V903" s="33"/>
    </row>
    <row r="904" ht="15.75" customHeight="1">
      <c r="U904" s="33"/>
      <c r="V904" s="33"/>
    </row>
    <row r="905" ht="15.75" customHeight="1">
      <c r="U905" s="33"/>
      <c r="V905" s="33"/>
    </row>
    <row r="906" ht="15.75" customHeight="1">
      <c r="U906" s="33"/>
      <c r="V906" s="33"/>
    </row>
    <row r="907" ht="15.75" customHeight="1">
      <c r="U907" s="33"/>
      <c r="V907" s="33"/>
    </row>
    <row r="908" ht="15.75" customHeight="1">
      <c r="U908" s="33"/>
      <c r="V908" s="33"/>
    </row>
    <row r="909" ht="15.75" customHeight="1">
      <c r="U909" s="33"/>
      <c r="V909" s="33"/>
    </row>
    <row r="910" ht="15.75" customHeight="1">
      <c r="U910" s="33"/>
      <c r="V910" s="33"/>
    </row>
    <row r="911" ht="15.75" customHeight="1">
      <c r="U911" s="33"/>
      <c r="V911" s="33"/>
    </row>
    <row r="912" ht="15.75" customHeight="1">
      <c r="U912" s="33"/>
      <c r="V912" s="33"/>
    </row>
    <row r="913" ht="15.75" customHeight="1">
      <c r="U913" s="33"/>
      <c r="V913" s="33"/>
    </row>
    <row r="914" ht="15.75" customHeight="1">
      <c r="U914" s="33"/>
      <c r="V914" s="33"/>
    </row>
    <row r="915" ht="15.75" customHeight="1">
      <c r="U915" s="33"/>
      <c r="V915" s="33"/>
    </row>
    <row r="916" ht="15.75" customHeight="1">
      <c r="U916" s="33"/>
      <c r="V916" s="33"/>
    </row>
    <row r="917" ht="15.75" customHeight="1">
      <c r="U917" s="33"/>
      <c r="V917" s="33"/>
    </row>
    <row r="918" ht="15.75" customHeight="1">
      <c r="U918" s="33"/>
      <c r="V918" s="33"/>
    </row>
    <row r="919" ht="15.75" customHeight="1">
      <c r="U919" s="33"/>
      <c r="V919" s="33"/>
    </row>
    <row r="920" ht="15.75" customHeight="1">
      <c r="U920" s="33"/>
      <c r="V920" s="33"/>
    </row>
    <row r="921" ht="15.75" customHeight="1">
      <c r="U921" s="33"/>
      <c r="V921" s="33"/>
    </row>
    <row r="922" ht="15.75" customHeight="1">
      <c r="U922" s="33"/>
      <c r="V922" s="33"/>
    </row>
    <row r="923" ht="15.75" customHeight="1">
      <c r="U923" s="33"/>
      <c r="V923" s="33"/>
    </row>
    <row r="924" ht="15.75" customHeight="1">
      <c r="U924" s="33"/>
      <c r="V924" s="33"/>
    </row>
    <row r="925" ht="15.75" customHeight="1">
      <c r="U925" s="33"/>
      <c r="V925" s="33"/>
    </row>
    <row r="926" ht="15.75" customHeight="1">
      <c r="U926" s="33"/>
      <c r="V926" s="33"/>
    </row>
    <row r="927" ht="15.75" customHeight="1">
      <c r="U927" s="33"/>
      <c r="V927" s="33"/>
    </row>
    <row r="928" ht="15.75" customHeight="1">
      <c r="U928" s="33"/>
      <c r="V928" s="33"/>
    </row>
    <row r="929" ht="15.75" customHeight="1">
      <c r="U929" s="33"/>
      <c r="V929" s="33"/>
    </row>
    <row r="930" ht="15.75" customHeight="1">
      <c r="U930" s="33"/>
      <c r="V930" s="33"/>
    </row>
    <row r="931" ht="15.75" customHeight="1">
      <c r="U931" s="33"/>
      <c r="V931" s="33"/>
    </row>
    <row r="932" ht="15.75" customHeight="1">
      <c r="U932" s="33"/>
      <c r="V932" s="33"/>
    </row>
    <row r="933" ht="15.75" customHeight="1">
      <c r="U933" s="33"/>
      <c r="V933" s="33"/>
    </row>
    <row r="934" ht="15.75" customHeight="1">
      <c r="U934" s="33"/>
      <c r="V934" s="33"/>
    </row>
    <row r="935" ht="15.75" customHeight="1">
      <c r="U935" s="33"/>
      <c r="V935" s="33"/>
    </row>
    <row r="936" ht="15.75" customHeight="1">
      <c r="U936" s="33"/>
      <c r="V936" s="33"/>
    </row>
    <row r="937" ht="15.75" customHeight="1">
      <c r="U937" s="33"/>
      <c r="V937" s="33"/>
    </row>
    <row r="938" ht="15.75" customHeight="1">
      <c r="U938" s="33"/>
      <c r="V938" s="33"/>
    </row>
    <row r="939" ht="15.75" customHeight="1">
      <c r="U939" s="33"/>
      <c r="V939" s="33"/>
    </row>
    <row r="940" ht="15.75" customHeight="1">
      <c r="U940" s="33"/>
      <c r="V940" s="33"/>
    </row>
    <row r="941" ht="15.75" customHeight="1">
      <c r="U941" s="33"/>
      <c r="V941" s="33"/>
    </row>
    <row r="942" ht="15.75" customHeight="1">
      <c r="U942" s="33"/>
      <c r="V942" s="33"/>
    </row>
    <row r="943" ht="15.75" customHeight="1">
      <c r="U943" s="33"/>
      <c r="V943" s="33"/>
    </row>
    <row r="944" ht="15.75" customHeight="1">
      <c r="U944" s="33"/>
      <c r="V944" s="33"/>
    </row>
    <row r="945" ht="15.75" customHeight="1">
      <c r="U945" s="33"/>
      <c r="V945" s="33"/>
    </row>
    <row r="946" ht="15.75" customHeight="1">
      <c r="U946" s="33"/>
      <c r="V946" s="33"/>
    </row>
    <row r="947" ht="15.75" customHeight="1">
      <c r="U947" s="33"/>
      <c r="V947" s="33"/>
    </row>
    <row r="948" ht="15.75" customHeight="1">
      <c r="U948" s="33"/>
      <c r="V948" s="33"/>
    </row>
    <row r="949" ht="15.75" customHeight="1">
      <c r="U949" s="33"/>
      <c r="V949" s="33"/>
    </row>
    <row r="950" ht="15.75" customHeight="1">
      <c r="U950" s="33"/>
      <c r="V950" s="33"/>
    </row>
    <row r="951" ht="15.75" customHeight="1">
      <c r="U951" s="33"/>
      <c r="V951" s="33"/>
    </row>
    <row r="952" ht="15.75" customHeight="1">
      <c r="U952" s="33"/>
      <c r="V952" s="33"/>
    </row>
    <row r="953" ht="15.75" customHeight="1">
      <c r="U953" s="33"/>
      <c r="V953" s="33"/>
    </row>
    <row r="954" ht="15.75" customHeight="1">
      <c r="U954" s="33"/>
      <c r="V954" s="33"/>
    </row>
    <row r="955" ht="15.75" customHeight="1">
      <c r="U955" s="33"/>
      <c r="V955" s="33"/>
    </row>
    <row r="956" ht="15.75" customHeight="1">
      <c r="U956" s="33"/>
      <c r="V956" s="33"/>
    </row>
    <row r="957" ht="15.75" customHeight="1">
      <c r="U957" s="33"/>
      <c r="V957" s="33"/>
    </row>
    <row r="958" ht="15.75" customHeight="1">
      <c r="U958" s="33"/>
      <c r="V958" s="33"/>
    </row>
    <row r="959" ht="15.75" customHeight="1">
      <c r="U959" s="33"/>
      <c r="V959" s="33"/>
    </row>
    <row r="960" ht="15.75" customHeight="1">
      <c r="U960" s="33"/>
      <c r="V960" s="33"/>
    </row>
    <row r="961" ht="15.75" customHeight="1">
      <c r="U961" s="33"/>
      <c r="V961" s="33"/>
    </row>
    <row r="962" ht="15.75" customHeight="1">
      <c r="U962" s="33"/>
      <c r="V962" s="33"/>
    </row>
    <row r="963" ht="15.75" customHeight="1">
      <c r="U963" s="33"/>
      <c r="V963" s="33"/>
    </row>
    <row r="964" ht="15.75" customHeight="1">
      <c r="U964" s="33"/>
      <c r="V964" s="33"/>
    </row>
    <row r="965" ht="15.75" customHeight="1">
      <c r="U965" s="33"/>
      <c r="V965" s="33"/>
    </row>
    <row r="966" ht="15.75" customHeight="1">
      <c r="U966" s="33"/>
      <c r="V966" s="33"/>
    </row>
    <row r="967" ht="15.75" customHeight="1">
      <c r="U967" s="33"/>
      <c r="V967" s="33"/>
    </row>
    <row r="968" ht="15.75" customHeight="1">
      <c r="U968" s="33"/>
      <c r="V968" s="33"/>
    </row>
    <row r="969" ht="15.75" customHeight="1">
      <c r="U969" s="33"/>
      <c r="V969" s="33"/>
    </row>
    <row r="970" ht="15.75" customHeight="1">
      <c r="U970" s="33"/>
      <c r="V970" s="33"/>
    </row>
    <row r="971" ht="15.75" customHeight="1">
      <c r="U971" s="33"/>
      <c r="V971" s="33"/>
    </row>
    <row r="972" ht="15.75" customHeight="1">
      <c r="U972" s="33"/>
      <c r="V972" s="33"/>
    </row>
    <row r="973" ht="15.75" customHeight="1">
      <c r="U973" s="33"/>
      <c r="V973" s="33"/>
    </row>
    <row r="974" ht="15.75" customHeight="1">
      <c r="U974" s="33"/>
      <c r="V974" s="33"/>
    </row>
    <row r="975" ht="15.75" customHeight="1">
      <c r="U975" s="33"/>
      <c r="V975" s="33"/>
    </row>
    <row r="976" ht="15.75" customHeight="1">
      <c r="U976" s="33"/>
      <c r="V976" s="33"/>
    </row>
    <row r="977" ht="15.75" customHeight="1">
      <c r="U977" s="33"/>
      <c r="V977" s="33"/>
    </row>
    <row r="978" ht="15.75" customHeight="1">
      <c r="U978" s="33"/>
      <c r="V978" s="33"/>
    </row>
    <row r="979" ht="15.75" customHeight="1">
      <c r="U979" s="33"/>
      <c r="V979" s="33"/>
    </row>
    <row r="980" ht="15.75" customHeight="1">
      <c r="U980" s="33"/>
      <c r="V980" s="33"/>
    </row>
    <row r="981" ht="15.75" customHeight="1">
      <c r="U981" s="33"/>
      <c r="V981" s="33"/>
    </row>
    <row r="982" ht="15.75" customHeight="1">
      <c r="U982" s="33"/>
      <c r="V982" s="33"/>
    </row>
    <row r="983" ht="15.75" customHeight="1">
      <c r="U983" s="33"/>
      <c r="V983" s="33"/>
    </row>
    <row r="984" ht="15.75" customHeight="1">
      <c r="U984" s="33"/>
      <c r="V984" s="33"/>
    </row>
    <row r="985" ht="15.75" customHeight="1">
      <c r="U985" s="33"/>
      <c r="V985" s="33"/>
    </row>
    <row r="986" ht="15.75" customHeight="1">
      <c r="U986" s="33"/>
      <c r="V986" s="33"/>
    </row>
    <row r="987" ht="15.75" customHeight="1">
      <c r="U987" s="33"/>
      <c r="V987" s="33"/>
    </row>
    <row r="988" ht="15.75" customHeight="1">
      <c r="U988" s="33"/>
      <c r="V988" s="33"/>
    </row>
    <row r="989" ht="15.75" customHeight="1">
      <c r="U989" s="33"/>
      <c r="V989" s="33"/>
    </row>
    <row r="990" ht="15.75" customHeight="1">
      <c r="U990" s="33"/>
      <c r="V990" s="33"/>
    </row>
    <row r="991" ht="15.75" customHeight="1">
      <c r="U991" s="33"/>
      <c r="V991" s="33"/>
    </row>
    <row r="992" ht="15.75" customHeight="1">
      <c r="U992" s="33"/>
      <c r="V992" s="33"/>
    </row>
    <row r="993" ht="15.75" customHeight="1">
      <c r="U993" s="33"/>
      <c r="V993" s="33"/>
    </row>
    <row r="994" ht="15.75" customHeight="1">
      <c r="U994" s="33"/>
      <c r="V994" s="33"/>
    </row>
    <row r="995" ht="15.75" customHeight="1">
      <c r="U995" s="33"/>
      <c r="V995" s="33"/>
    </row>
    <row r="996" ht="15.75" customHeight="1">
      <c r="U996" s="33"/>
      <c r="V996" s="33"/>
    </row>
    <row r="997" ht="15.75" customHeight="1">
      <c r="U997" s="33"/>
      <c r="V997" s="33"/>
    </row>
    <row r="998" ht="15.75" customHeight="1">
      <c r="U998" s="33"/>
      <c r="V998" s="33"/>
    </row>
    <row r="999" ht="15.75" customHeight="1">
      <c r="U999" s="33"/>
      <c r="V999" s="33"/>
    </row>
    <row r="1000" ht="15.75" customHeight="1">
      <c r="U1000" s="33"/>
      <c r="V1000" s="3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34.75"/>
    <col customWidth="1" min="18" max="37" width="12.63"/>
  </cols>
  <sheetData>
    <row r="1">
      <c r="A1" s="1" t="s">
        <v>233</v>
      </c>
      <c r="B1" s="2" t="s">
        <v>234</v>
      </c>
      <c r="C1" s="2" t="s">
        <v>235</v>
      </c>
      <c r="D1" s="2" t="s">
        <v>236</v>
      </c>
      <c r="E1" s="2" t="s">
        <v>237</v>
      </c>
      <c r="F1" s="2" t="s">
        <v>238</v>
      </c>
      <c r="G1" s="34" t="s">
        <v>239</v>
      </c>
      <c r="H1" s="35" t="s">
        <v>240</v>
      </c>
      <c r="I1" s="35" t="s">
        <v>241</v>
      </c>
      <c r="J1" s="35" t="s">
        <v>242</v>
      </c>
      <c r="K1" s="26" t="s">
        <v>243</v>
      </c>
      <c r="L1" s="26" t="s">
        <v>244</v>
      </c>
      <c r="M1" s="34" t="s">
        <v>245</v>
      </c>
      <c r="N1" s="34" t="s">
        <v>246</v>
      </c>
      <c r="O1" s="34" t="s">
        <v>247</v>
      </c>
      <c r="P1" s="36" t="s">
        <v>248</v>
      </c>
      <c r="Q1" s="36" t="s">
        <v>249</v>
      </c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29"/>
    </row>
    <row r="2">
      <c r="A2" s="36" t="s">
        <v>250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8">
        <v>1.0</v>
      </c>
      <c r="Q2" s="36" t="str">
        <f>JOIN("/", README!$B$33, "G_BGM_TitleScene")</f>
        <v>Sounds/Global/G_BGM_TitleScene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6" t="s">
        <v>251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38">
        <v>1.0</v>
      </c>
      <c r="Q3" s="36" t="str">
        <f>JOIN("/", README!$B$33, "G_BGM_MainScene")</f>
        <v>Sounds/Global/G_BGM_MainScene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6" t="s">
        <v>252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38">
        <v>1.0</v>
      </c>
      <c r="Q4" s="36" t="str">
        <f>JOIN("/", README!$B$33, "G_BGM_GameScene")</f>
        <v>Sounds/Global/G_BGM_GameScene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6" t="s">
        <v>253</v>
      </c>
      <c r="B5" s="15">
        <v>0.0</v>
      </c>
      <c r="C5" s="15">
        <v>0.0</v>
      </c>
      <c r="D5" s="15">
        <v>1.0</v>
      </c>
      <c r="E5" s="15">
        <v>0.0</v>
      </c>
      <c r="F5" s="15">
        <v>0.0</v>
      </c>
      <c r="G5" s="37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100000</v>
      </c>
      <c r="N5" s="14">
        <f>IF($A5="", -1, ($B5*README!$B$2)+($C5*README!$B$3)+($D5*README!$B$4)+($E5*README!$B$5)+($F5*README!$B$6)-1)</f>
        <v>99999</v>
      </c>
      <c r="O5" s="14">
        <f>IF($A5="", -1, ($B5*README!$B$2)+($C5*README!$B$3)+($D5*README!$B$4)+($E5*README!$B$5)+($F5*README!$B$6)+1)</f>
        <v>100001</v>
      </c>
      <c r="P5" s="38">
        <v>1.0</v>
      </c>
      <c r="Q5" s="36" t="str">
        <f>JOIN("/", README!$B$33, "G_SFX_TouchBegin")</f>
        <v>Sounds/Global/G_SFX_TouchBegin</v>
      </c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6" t="s">
        <v>254</v>
      </c>
      <c r="B6" s="15">
        <v>0.0</v>
      </c>
      <c r="C6" s="15">
        <v>0.0</v>
      </c>
      <c r="D6" s="15">
        <v>1.0</v>
      </c>
      <c r="E6" s="15">
        <v>1.0</v>
      </c>
      <c r="F6" s="15">
        <v>0.0</v>
      </c>
      <c r="G6" s="37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100100</v>
      </c>
      <c r="N6" s="14">
        <f>IF($A6="", -1, ($B6*README!$B$2)+($C6*README!$B$3)+($D6*README!$B$4)+($E6*README!$B$5)+($F6*README!$B$6)-1)</f>
        <v>100099</v>
      </c>
      <c r="O6" s="14">
        <f>IF($A6="", -1, ($B6*README!$B$2)+($C6*README!$B$3)+($D6*README!$B$4)+($E6*README!$B$5)+($F6*README!$B$6)+1)</f>
        <v>100101</v>
      </c>
      <c r="P6" s="38">
        <v>1.0</v>
      </c>
      <c r="Q6" s="36" t="str">
        <f>JOIN("/", README!$B$33, "G_SFX_TouchEnd")</f>
        <v>Sounds/Global/G_SFX_TouchEnd</v>
      </c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6" t="s">
        <v>255</v>
      </c>
      <c r="B7" s="15">
        <v>0.0</v>
      </c>
      <c r="C7" s="15">
        <v>0.0</v>
      </c>
      <c r="D7" s="15">
        <v>2.0</v>
      </c>
      <c r="E7" s="15">
        <v>0.0</v>
      </c>
      <c r="F7" s="15">
        <v>0.0</v>
      </c>
      <c r="G7" s="37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200000</v>
      </c>
      <c r="N7" s="14">
        <f>IF($A7="", -1, ($B7*README!$B$2)+($C7*README!$B$3)+($D7*README!$B$4)+($E7*README!$B$5)+($F7*README!$B$6)-1)</f>
        <v>199999</v>
      </c>
      <c r="O7" s="14">
        <f>IF($A7="", -1, ($B7*README!$B$2)+($C7*README!$B$3)+($D7*README!$B$4)+($E7*README!$B$5)+($F7*README!$B$6)+1)</f>
        <v>200001</v>
      </c>
      <c r="P7" s="38">
        <v>1.0</v>
      </c>
      <c r="Q7" s="36" t="str">
        <f>JOIN("/", README!$B$33, "G_SFX_PopupShow")</f>
        <v>Sounds/Global/G_SFX_PopupShow</v>
      </c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6" t="s">
        <v>256</v>
      </c>
      <c r="B8" s="15">
        <v>0.0</v>
      </c>
      <c r="C8" s="15">
        <v>0.0</v>
      </c>
      <c r="D8" s="15">
        <v>2.0</v>
      </c>
      <c r="E8" s="15">
        <v>1.0</v>
      </c>
      <c r="F8" s="15">
        <v>0.0</v>
      </c>
      <c r="G8" s="37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200100</v>
      </c>
      <c r="N8" s="14">
        <f>IF($A8="", -1, ($B8*README!$B$2)+($C8*README!$B$3)+($D8*README!$B$4)+($E8*README!$B$5)+($F8*README!$B$6)-1)</f>
        <v>200099</v>
      </c>
      <c r="O8" s="14">
        <f>IF($A8="", -1, ($B8*README!$B$2)+($C8*README!$B$3)+($D8*README!$B$4)+($E8*README!$B$5)+($F8*README!$B$6)+1)</f>
        <v>200101</v>
      </c>
      <c r="P8" s="38">
        <v>1.0</v>
      </c>
      <c r="Q8" s="36" t="str">
        <f>JOIN("/", README!$B$33, "G_SFX_PopupClose")</f>
        <v>Sounds/Global/G_SFX_PopupClose</v>
      </c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9" t="s">
        <v>257</v>
      </c>
      <c r="B9" s="15">
        <v>1.0</v>
      </c>
      <c r="C9" s="15">
        <v>0.0</v>
      </c>
      <c r="D9" s="15">
        <v>0.0</v>
      </c>
      <c r="E9" s="15">
        <v>0.0</v>
      </c>
      <c r="F9" s="15">
        <v>0.0</v>
      </c>
      <c r="G9" s="37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100000000</v>
      </c>
      <c r="N9" s="14">
        <f>IF($A9="", -1, ($B9*README!$B$2)+($C9*README!$B$3)+($D9*README!$B$4)+($E9*README!$B$5)+($F9*README!$B$6)-1)</f>
        <v>99999999</v>
      </c>
      <c r="O9" s="14">
        <f>IF($A9="", -1, ($B9*README!$B$2)+($C9*README!$B$3)+($D9*README!$B$4)+($E9*README!$B$5)+($F9*README!$B$6)+1)</f>
        <v>100000001</v>
      </c>
      <c r="P9" s="38">
        <v>0.0</v>
      </c>
      <c r="Q9" s="36" t="str">
        <f>JOIN("/", README!$B$36, "G_KoreanFont")</f>
        <v>Fonts/Global/G_KoreanFont</v>
      </c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9" t="s">
        <v>258</v>
      </c>
      <c r="B10" s="15">
        <v>1.0</v>
      </c>
      <c r="C10" s="15">
        <v>0.0</v>
      </c>
      <c r="D10" s="15">
        <v>0.0</v>
      </c>
      <c r="E10" s="15">
        <v>1.0</v>
      </c>
      <c r="F10" s="15">
        <v>0.0</v>
      </c>
      <c r="G10" s="37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100000100</v>
      </c>
      <c r="N10" s="14">
        <f>IF($A10="", -1, ($B10*README!$B$2)+($C10*README!$B$3)+($D10*README!$B$4)+($E10*README!$B$5)+($F10*README!$B$6)-1)</f>
        <v>100000099</v>
      </c>
      <c r="O10" s="14">
        <f>IF($A10="", -1, ($B10*README!$B$2)+($C10*README!$B$3)+($D10*README!$B$4)+($E10*README!$B$5)+($F10*README!$B$6)+1)</f>
        <v>100000101</v>
      </c>
      <c r="P10" s="38">
        <v>0.0</v>
      </c>
      <c r="Q10" s="36" t="str">
        <f>JOIN("/", README!$B$36, "G_EnglishFont")</f>
        <v>Fonts/Global/G_EnglishFont</v>
      </c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9" t="s">
        <v>259</v>
      </c>
      <c r="B11" s="15">
        <v>2.0</v>
      </c>
      <c r="C11" s="15">
        <v>0.0</v>
      </c>
      <c r="D11" s="15">
        <v>0.0</v>
      </c>
      <c r="E11" s="15">
        <v>0.0</v>
      </c>
      <c r="F11" s="15">
        <v>0.0</v>
      </c>
      <c r="G11" s="37">
        <v>0.0</v>
      </c>
      <c r="H11" s="14">
        <v>0.0</v>
      </c>
      <c r="I11" s="14">
        <v>0.0</v>
      </c>
      <c r="J11" s="14">
        <v>0.0</v>
      </c>
      <c r="K11" s="26"/>
      <c r="L11" s="26"/>
      <c r="M11" s="14">
        <f>IF($A11="", -1, ($B11*README!$B$2)+($C11*README!$B$3)+($D11*README!$B$4)+($E11*README!$B$5)+($F11*README!$B$6))</f>
        <v>200000000</v>
      </c>
      <c r="N11" s="14">
        <f>IF($A11="", -1, ($B11*README!$B$2)+($C11*README!$B$3)+($D11*README!$B$4)+($E11*README!$B$5)+($F11*README!$B$6)-1)</f>
        <v>199999999</v>
      </c>
      <c r="O11" s="14">
        <f>IF($A11="", -1, ($B11*README!$B$2)+($C11*README!$B$3)+($D11*README!$B$4)+($E11*README!$B$5)+($F11*README!$B$6)+1)</f>
        <v>200000001</v>
      </c>
      <c r="P11" s="38">
        <v>1.0</v>
      </c>
      <c r="Q11" s="36" t="str">
        <f>JOIN("/", README!$B$51, "U_SA_01_White")</f>
        <v>Images/U_SpriteAtlas_01/U_SA_01_White</v>
      </c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9" t="s">
        <v>260</v>
      </c>
      <c r="B12" s="15">
        <v>2.0</v>
      </c>
      <c r="C12" s="15">
        <v>0.0</v>
      </c>
      <c r="D12" s="15">
        <v>0.0</v>
      </c>
      <c r="E12" s="15">
        <v>0.0</v>
      </c>
      <c r="F12" s="15">
        <v>1.0</v>
      </c>
      <c r="G12" s="37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200000001</v>
      </c>
      <c r="N12" s="14">
        <f>IF($A12="", -1, ($B12*README!$B$2)+($C12*README!$B$3)+($D12*README!$B$4)+($E12*README!$B$5)+($F12*README!$B$6)-1)</f>
        <v>200000000</v>
      </c>
      <c r="O12" s="14">
        <f>IF($A12="", -1, ($B12*README!$B$2)+($C12*README!$B$3)+($D12*README!$B$4)+($E12*README!$B$5)+($F12*README!$B$6)+1)</f>
        <v>200000002</v>
      </c>
      <c r="P12" s="38">
        <v>1.0</v>
      </c>
      <c r="Q12" s="36" t="str">
        <f>JOIN("/", README!$B$51, "U_SA_01_Splash")</f>
        <v>Images/U_SpriteAtlas_01/U_SA_01_Splash</v>
      </c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9" t="s">
        <v>261</v>
      </c>
      <c r="B13" s="15">
        <v>2.0</v>
      </c>
      <c r="C13" s="15">
        <v>0.0</v>
      </c>
      <c r="D13" s="15">
        <v>0.0</v>
      </c>
      <c r="E13" s="15">
        <v>0.0</v>
      </c>
      <c r="F13" s="15">
        <v>2.0</v>
      </c>
      <c r="G13" s="37">
        <v>0.0</v>
      </c>
      <c r="H13" s="14">
        <v>0.0</v>
      </c>
      <c r="I13" s="14">
        <v>0.0</v>
      </c>
      <c r="J13" s="14">
        <v>0.0</v>
      </c>
      <c r="K13" s="26"/>
      <c r="L13" s="26"/>
      <c r="M13" s="14">
        <f>IF($A13="", -1, ($B13*README!$B$2)+($C13*README!$B$3)+($D13*README!$B$4)+($E13*README!$B$5)+($F13*README!$B$6))</f>
        <v>200000002</v>
      </c>
      <c r="N13" s="14">
        <f>IF($A13="", -1, ($B13*README!$B$2)+($C13*README!$B$3)+($D13*README!$B$4)+($E13*README!$B$5)+($F13*README!$B$6)-1)</f>
        <v>200000001</v>
      </c>
      <c r="O13" s="14">
        <f>IF($A13="", -1, ($B13*README!$B$2)+($C13*README!$B$3)+($D13*README!$B$4)+($E13*README!$B$5)+($F13*README!$B$6)+1)</f>
        <v>200000003</v>
      </c>
      <c r="P13" s="38">
        <v>1.0</v>
      </c>
      <c r="Q13" s="36" t="str">
        <f>JOIN("/", README!$B$51, "U_SA_01_Indicator")</f>
        <v>Images/U_SpriteAtlas_01/U_SA_01_Indicator</v>
      </c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6" t="s">
        <v>262</v>
      </c>
      <c r="B14" s="40">
        <v>3.0</v>
      </c>
      <c r="C14" s="15">
        <v>0.0</v>
      </c>
      <c r="D14" s="15">
        <v>0.0</v>
      </c>
      <c r="E14" s="15">
        <v>0.0</v>
      </c>
      <c r="F14" s="15">
        <v>0.0</v>
      </c>
      <c r="G14" s="37">
        <v>0.0</v>
      </c>
      <c r="H14" s="14">
        <v>0.0</v>
      </c>
      <c r="I14" s="14">
        <v>0.0</v>
      </c>
      <c r="J14" s="14">
        <v>0.0</v>
      </c>
      <c r="K14" s="26"/>
      <c r="L14" s="26"/>
      <c r="M14" s="14">
        <f>IF($A14="", -1, ($B14*README!$B$2)+($C14*README!$B$3)+($D14*README!$B$4)+($E14*README!$B$5)+($F14*README!$B$6))</f>
        <v>300000000</v>
      </c>
      <c r="N14" s="14">
        <f>IF($A14="", -1, ($B14*README!$B$2)+($C14*README!$B$3)+($D14*README!$B$4)+($E14*README!$B$5)+($F14*README!$B$6)-1)</f>
        <v>299999999</v>
      </c>
      <c r="O14" s="14">
        <f>IF($A14="", -1, ($B14*README!$B$2)+($C14*README!$B$3)+($D14*README!$B$4)+($E14*README!$B$5)+($F14*README!$B$6)+1)</f>
        <v>300000001</v>
      </c>
      <c r="P14" s="38">
        <v>1.0</v>
      </c>
      <c r="Q14" s="36" t="str">
        <f>JOIN("/", README!$B$72, "G_Sample")</f>
        <v>Textures/Global/G_Sample</v>
      </c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9" t="s">
        <v>263</v>
      </c>
      <c r="B15" s="40">
        <v>4.0</v>
      </c>
      <c r="C15" s="15">
        <v>0.0</v>
      </c>
      <c r="D15" s="15">
        <v>0.0</v>
      </c>
      <c r="E15" s="15">
        <v>0.0</v>
      </c>
      <c r="F15" s="15">
        <v>0.0</v>
      </c>
      <c r="G15" s="37">
        <v>0.0</v>
      </c>
      <c r="H15" s="14">
        <v>0.0</v>
      </c>
      <c r="I15" s="14">
        <v>0.0</v>
      </c>
      <c r="J15" s="14">
        <v>0.0</v>
      </c>
      <c r="K15" s="26"/>
      <c r="L15" s="26"/>
      <c r="M15" s="14">
        <f>IF($A15="", -1, ($B15*README!$B$2)+($C15*README!$B$3)+($D15*README!$B$4)+($E15*README!$B$5)+($F15*README!$B$6))</f>
        <v>400000000</v>
      </c>
      <c r="N15" s="14">
        <f>IF($A15="", -1, ($B15*README!$B$2)+($C15*README!$B$3)+($D15*README!$B$4)+($E15*README!$B$5)+($F15*README!$B$6)-1)</f>
        <v>399999999</v>
      </c>
      <c r="O15" s="14">
        <f>IF($A15="", -1, ($B15*README!$B$2)+($C15*README!$B$3)+($D15*README!$B$4)+($E15*README!$B$5)+($F15*README!$B$6)+1)</f>
        <v>400000001</v>
      </c>
      <c r="P15" s="38">
        <v>1.0</v>
      </c>
      <c r="Q15" s="36" t="s">
        <v>264</v>
      </c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9" t="s">
        <v>265</v>
      </c>
      <c r="B16" s="40">
        <v>4.0</v>
      </c>
      <c r="C16" s="15">
        <v>0.0</v>
      </c>
      <c r="D16" s="15">
        <v>0.0</v>
      </c>
      <c r="E16" s="15">
        <v>0.0</v>
      </c>
      <c r="F16" s="15">
        <v>1.0</v>
      </c>
      <c r="G16" s="37">
        <v>0.0</v>
      </c>
      <c r="H16" s="14">
        <v>0.0</v>
      </c>
      <c r="I16" s="14">
        <v>0.0</v>
      </c>
      <c r="J16" s="14">
        <v>0.0</v>
      </c>
      <c r="K16" s="26"/>
      <c r="L16" s="26"/>
      <c r="M16" s="14">
        <f>IF($A16="", -1, ($B16*README!$B$2)+($C16*README!$B$3)+($D16*README!$B$4)+($E16*README!$B$5)+($F16*README!$B$6))</f>
        <v>400000001</v>
      </c>
      <c r="N16" s="14">
        <f>IF($A16="", -1, ($B16*README!$B$2)+($C16*README!$B$3)+($D16*README!$B$4)+($E16*README!$B$5)+($F16*README!$B$6)-1)</f>
        <v>400000000</v>
      </c>
      <c r="O16" s="14">
        <f>IF($A16="", -1, ($B16*README!$B$2)+($C16*README!$B$3)+($D16*README!$B$4)+($E16*README!$B$5)+($F16*README!$B$6)+1)</f>
        <v>400000002</v>
      </c>
      <c r="P16" s="38">
        <v>1.0</v>
      </c>
      <c r="Q16" s="36" t="s">
        <v>266</v>
      </c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9" t="s">
        <v>267</v>
      </c>
      <c r="B17" s="40">
        <v>4.0</v>
      </c>
      <c r="C17" s="15">
        <v>0.0</v>
      </c>
      <c r="D17" s="15">
        <v>0.0</v>
      </c>
      <c r="E17" s="15">
        <v>0.0</v>
      </c>
      <c r="F17" s="15">
        <v>2.0</v>
      </c>
      <c r="G17" s="37">
        <v>0.0</v>
      </c>
      <c r="H17" s="14">
        <v>0.0</v>
      </c>
      <c r="I17" s="14">
        <v>0.0</v>
      </c>
      <c r="J17" s="14">
        <v>0.0</v>
      </c>
      <c r="K17" s="26"/>
      <c r="L17" s="26"/>
      <c r="M17" s="14">
        <f>IF($A17="", -1, ($B17*README!$B$2)+($C17*README!$B$3)+($D17*README!$B$4)+($E17*README!$B$5)+($F17*README!$B$6))</f>
        <v>400000002</v>
      </c>
      <c r="N17" s="14">
        <f>IF($A17="", -1, ($B17*README!$B$2)+($C17*README!$B$3)+($D17*README!$B$4)+($E17*README!$B$5)+($F17*README!$B$6)-1)</f>
        <v>400000001</v>
      </c>
      <c r="O17" s="14">
        <f>IF($A17="", -1, ($B17*README!$B$2)+($C17*README!$B$3)+($D17*README!$B$4)+($E17*README!$B$5)+($F17*README!$B$6)+1)</f>
        <v>400000003</v>
      </c>
      <c r="P17" s="38">
        <v>1.0</v>
      </c>
      <c r="Q17" s="36" t="s">
        <v>268</v>
      </c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6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7"/>
      <c r="N18" s="37"/>
      <c r="O18" s="37"/>
      <c r="P18" s="38"/>
      <c r="Q18" s="36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B19" s="41"/>
      <c r="C19" s="41"/>
      <c r="D19" s="41"/>
      <c r="E19" s="41"/>
      <c r="F19" s="41"/>
    </row>
    <row r="20">
      <c r="A20" s="36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7"/>
      <c r="N20" s="37"/>
      <c r="O20" s="37"/>
      <c r="P20" s="38"/>
      <c r="Q20" s="3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B21" s="41"/>
      <c r="C21" s="41"/>
      <c r="D21" s="41"/>
      <c r="E21" s="41"/>
      <c r="F21" s="41"/>
    </row>
    <row r="22">
      <c r="B22" s="41"/>
      <c r="C22" s="41"/>
      <c r="D22" s="41"/>
      <c r="E22" s="41"/>
      <c r="F22" s="41"/>
    </row>
    <row r="23">
      <c r="B23" s="41"/>
      <c r="C23" s="41"/>
      <c r="D23" s="41"/>
      <c r="E23" s="41"/>
      <c r="F23" s="41"/>
    </row>
    <row r="24" ht="15.75" customHeight="1">
      <c r="A24" s="36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7"/>
      <c r="N24" s="37"/>
      <c r="O24" s="37"/>
      <c r="P24" s="38"/>
      <c r="Q24" s="36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 ht="15.75" customHeight="1">
      <c r="A25" s="36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7"/>
      <c r="N25" s="37"/>
      <c r="O25" s="37"/>
      <c r="P25" s="38"/>
      <c r="Q25" s="36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 ht="15.75" customHeight="1">
      <c r="A26" s="36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7"/>
      <c r="N26" s="37"/>
      <c r="O26" s="37"/>
      <c r="P26" s="38"/>
      <c r="Q26" s="36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 ht="15.75" customHeight="1">
      <c r="A27" s="36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7"/>
      <c r="N27" s="37"/>
      <c r="O27" s="37"/>
      <c r="P27" s="38"/>
      <c r="Q27" s="36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 ht="15.75" customHeight="1">
      <c r="A28" s="36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7"/>
      <c r="N28" s="37"/>
      <c r="O28" s="37"/>
      <c r="P28" s="38"/>
      <c r="Q28" s="36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 ht="15.75" customHeight="1">
      <c r="A29" s="36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7"/>
      <c r="N29" s="37"/>
      <c r="O29" s="37"/>
      <c r="P29" s="38"/>
      <c r="Q29" s="36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 ht="15.75" customHeight="1">
      <c r="A30" s="36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7"/>
      <c r="N30" s="37"/>
      <c r="O30" s="37"/>
      <c r="P30" s="38"/>
      <c r="Q30" s="36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 ht="15.75" customHeight="1">
      <c r="A31" s="36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7"/>
      <c r="N31" s="37"/>
      <c r="O31" s="37"/>
      <c r="P31" s="38"/>
      <c r="Q31" s="36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 ht="15.75" customHeight="1">
      <c r="A32" s="36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7"/>
      <c r="N32" s="37"/>
      <c r="O32" s="37"/>
      <c r="P32" s="38"/>
      <c r="Q32" s="36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 ht="15.75" customHeight="1">
      <c r="A33" s="36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7"/>
      <c r="N33" s="37"/>
      <c r="O33" s="37"/>
      <c r="P33" s="38"/>
      <c r="Q33" s="36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 ht="15.75" customHeight="1">
      <c r="A34" s="36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7"/>
      <c r="N34" s="37"/>
      <c r="O34" s="37"/>
      <c r="P34" s="38"/>
      <c r="Q34" s="36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 ht="15.75" customHeight="1">
      <c r="A35" s="36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7"/>
      <c r="N35" s="37"/>
      <c r="O35" s="37"/>
      <c r="P35" s="38"/>
      <c r="Q35" s="36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 ht="15.75" customHeight="1">
      <c r="A36" s="36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7"/>
      <c r="N36" s="37"/>
      <c r="O36" s="37"/>
      <c r="P36" s="38"/>
      <c r="Q36" s="36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 ht="15.75" customHeight="1">
      <c r="A37" s="36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7"/>
      <c r="N37" s="37"/>
      <c r="O37" s="37"/>
      <c r="P37" s="38"/>
      <c r="Q37" s="36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 ht="15.75" customHeight="1">
      <c r="A38" s="36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7"/>
      <c r="N38" s="37"/>
      <c r="O38" s="37"/>
      <c r="P38" s="38"/>
      <c r="Q38" s="36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 ht="15.75" customHeight="1">
      <c r="A39" s="36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7"/>
      <c r="N39" s="37"/>
      <c r="O39" s="37"/>
      <c r="P39" s="38"/>
      <c r="Q39" s="36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 ht="15.75" customHeight="1">
      <c r="A40" s="36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7"/>
      <c r="N40" s="37"/>
      <c r="O40" s="37"/>
      <c r="P40" s="38"/>
      <c r="Q40" s="36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 ht="15.75" customHeight="1">
      <c r="A41" s="36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7"/>
      <c r="N41" s="37"/>
      <c r="O41" s="37"/>
      <c r="P41" s="38"/>
      <c r="Q41" s="36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 ht="15.75" customHeight="1">
      <c r="A42" s="36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7"/>
      <c r="N42" s="37"/>
      <c r="O42" s="37"/>
      <c r="P42" s="38"/>
      <c r="Q42" s="36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 ht="15.75" customHeight="1">
      <c r="A43" s="36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7"/>
      <c r="N43" s="37"/>
      <c r="O43" s="37"/>
      <c r="P43" s="38"/>
      <c r="Q43" s="36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 ht="15.75" customHeight="1">
      <c r="A44" s="36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7"/>
      <c r="N44" s="37"/>
      <c r="O44" s="37"/>
      <c r="P44" s="38"/>
      <c r="Q44" s="36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 ht="15.75" customHeight="1">
      <c r="A45" s="36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7"/>
      <c r="N45" s="37"/>
      <c r="O45" s="37"/>
      <c r="P45" s="38"/>
      <c r="Q45" s="36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 ht="15.75" customHeight="1">
      <c r="A46" s="36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7"/>
      <c r="N46" s="37"/>
      <c r="O46" s="37"/>
      <c r="P46" s="38"/>
      <c r="Q46" s="36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 ht="15.75" customHeight="1">
      <c r="A47" s="36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7"/>
      <c r="N47" s="37"/>
      <c r="O47" s="37"/>
      <c r="P47" s="38"/>
      <c r="Q47" s="36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 ht="15.75" customHeight="1">
      <c r="A48" s="36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7"/>
      <c r="N48" s="37"/>
      <c r="O48" s="37"/>
      <c r="P48" s="38"/>
      <c r="Q48" s="36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 ht="15.75" customHeight="1">
      <c r="A49" s="36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7"/>
      <c r="N49" s="37"/>
      <c r="O49" s="37"/>
      <c r="P49" s="38"/>
      <c r="Q49" s="36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 ht="15.75" customHeight="1">
      <c r="A50" s="36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7"/>
      <c r="N50" s="37"/>
      <c r="O50" s="37"/>
      <c r="P50" s="38"/>
      <c r="Q50" s="36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 ht="15.75" customHeight="1">
      <c r="A51" s="36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7"/>
      <c r="N51" s="37"/>
      <c r="O51" s="37"/>
      <c r="P51" s="38"/>
      <c r="Q51" s="36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 ht="15.75" customHeight="1">
      <c r="A52" s="36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7"/>
      <c r="N52" s="37"/>
      <c r="O52" s="37"/>
      <c r="P52" s="38"/>
      <c r="Q52" s="36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 ht="15.75" customHeight="1">
      <c r="A53" s="36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7"/>
      <c r="N53" s="37"/>
      <c r="O53" s="37"/>
      <c r="P53" s="38"/>
      <c r="Q53" s="36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 ht="15.75" customHeight="1">
      <c r="A54" s="36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7"/>
      <c r="N54" s="37"/>
      <c r="O54" s="37"/>
      <c r="P54" s="38"/>
      <c r="Q54" s="36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 ht="15.75" customHeight="1">
      <c r="A55" s="36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7"/>
      <c r="N55" s="37"/>
      <c r="O55" s="37"/>
      <c r="P55" s="38"/>
      <c r="Q55" s="36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 ht="15.75" customHeight="1">
      <c r="A56" s="36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7"/>
      <c r="N56" s="37"/>
      <c r="O56" s="37"/>
      <c r="P56" s="38"/>
      <c r="Q56" s="36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 ht="15.75" customHeight="1">
      <c r="A57" s="36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7"/>
      <c r="N57" s="37"/>
      <c r="O57" s="37"/>
      <c r="P57" s="38"/>
      <c r="Q57" s="36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 ht="15.75" customHeight="1">
      <c r="A58" s="36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7"/>
      <c r="N58" s="37"/>
      <c r="O58" s="37"/>
      <c r="P58" s="38"/>
      <c r="Q58" s="36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 ht="15.75" customHeight="1">
      <c r="A59" s="36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7"/>
      <c r="N59" s="37"/>
      <c r="O59" s="37"/>
      <c r="P59" s="38"/>
      <c r="Q59" s="36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 ht="15.75" customHeight="1">
      <c r="A60" s="36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7"/>
      <c r="N60" s="37"/>
      <c r="O60" s="37"/>
      <c r="P60" s="38"/>
      <c r="Q60" s="36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 ht="15.75" customHeight="1">
      <c r="A61" s="36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7"/>
      <c r="N61" s="37"/>
      <c r="O61" s="37"/>
      <c r="P61" s="38"/>
      <c r="Q61" s="36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 ht="15.75" customHeight="1">
      <c r="A62" s="36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7"/>
      <c r="N62" s="37"/>
      <c r="O62" s="37"/>
      <c r="P62" s="38"/>
      <c r="Q62" s="36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 ht="15.75" customHeight="1">
      <c r="A63" s="36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7"/>
      <c r="N63" s="37"/>
      <c r="O63" s="37"/>
      <c r="P63" s="38"/>
      <c r="Q63" s="36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 ht="15.75" customHeight="1">
      <c r="A64" s="36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7"/>
      <c r="N64" s="37"/>
      <c r="O64" s="37"/>
      <c r="P64" s="38"/>
      <c r="Q64" s="36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 ht="15.75" customHeight="1">
      <c r="A65" s="36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7"/>
      <c r="N65" s="37"/>
      <c r="O65" s="37"/>
      <c r="P65" s="38"/>
      <c r="Q65" s="36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 ht="15.75" customHeight="1">
      <c r="A66" s="36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7"/>
      <c r="N66" s="37"/>
      <c r="O66" s="37"/>
      <c r="P66" s="38"/>
      <c r="Q66" s="36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 ht="15.75" customHeight="1">
      <c r="A67" s="36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7"/>
      <c r="N67" s="37"/>
      <c r="O67" s="37"/>
      <c r="P67" s="38"/>
      <c r="Q67" s="36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 ht="15.75" customHeight="1">
      <c r="A68" s="36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7"/>
      <c r="N68" s="37"/>
      <c r="O68" s="37"/>
      <c r="P68" s="38"/>
      <c r="Q68" s="36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 ht="15.75" customHeight="1">
      <c r="A69" s="36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7"/>
      <c r="N69" s="37"/>
      <c r="O69" s="37"/>
      <c r="P69" s="38"/>
      <c r="Q69" s="36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 ht="15.75" customHeight="1">
      <c r="A70" s="36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7"/>
      <c r="N70" s="37"/>
      <c r="O70" s="37"/>
      <c r="P70" s="38"/>
      <c r="Q70" s="36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 ht="15.75" customHeight="1">
      <c r="A71" s="36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7"/>
      <c r="N71" s="37"/>
      <c r="O71" s="37"/>
      <c r="P71" s="38"/>
      <c r="Q71" s="36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 ht="15.75" customHeight="1">
      <c r="A72" s="36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7"/>
      <c r="N72" s="37"/>
      <c r="O72" s="37"/>
      <c r="P72" s="38"/>
      <c r="Q72" s="36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 ht="15.75" customHeight="1">
      <c r="A73" s="36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7"/>
      <c r="N73" s="37"/>
      <c r="O73" s="37"/>
      <c r="P73" s="38"/>
      <c r="Q73" s="36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 ht="15.75" customHeight="1">
      <c r="A74" s="36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7"/>
      <c r="N74" s="37"/>
      <c r="O74" s="37"/>
      <c r="P74" s="38"/>
      <c r="Q74" s="36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 ht="15.75" customHeight="1">
      <c r="A75" s="36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7"/>
      <c r="N75" s="37"/>
      <c r="O75" s="37"/>
      <c r="P75" s="38"/>
      <c r="Q75" s="36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 ht="15.75" customHeight="1">
      <c r="A76" s="36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7"/>
      <c r="N76" s="37"/>
      <c r="O76" s="37"/>
      <c r="P76" s="38"/>
      <c r="Q76" s="36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 ht="15.75" customHeight="1">
      <c r="A77" s="36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7"/>
      <c r="N77" s="37"/>
      <c r="O77" s="37"/>
      <c r="P77" s="38"/>
      <c r="Q77" s="36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 ht="15.75" customHeight="1">
      <c r="A78" s="36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7"/>
      <c r="N78" s="37"/>
      <c r="O78" s="37"/>
      <c r="P78" s="38"/>
      <c r="Q78" s="36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 ht="15.75" customHeight="1">
      <c r="A79" s="36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7"/>
      <c r="N79" s="37"/>
      <c r="O79" s="37"/>
      <c r="P79" s="38"/>
      <c r="Q79" s="36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 ht="15.75" customHeight="1">
      <c r="A80" s="36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7"/>
      <c r="N80" s="37"/>
      <c r="O80" s="37"/>
      <c r="P80" s="38"/>
      <c r="Q80" s="36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 ht="15.75" customHeight="1">
      <c r="A81" s="36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7"/>
      <c r="N81" s="37"/>
      <c r="O81" s="37"/>
      <c r="P81" s="38"/>
      <c r="Q81" s="36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 ht="15.75" customHeight="1">
      <c r="A82" s="36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7"/>
      <c r="N82" s="37"/>
      <c r="O82" s="37"/>
      <c r="P82" s="38"/>
      <c r="Q82" s="36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 ht="15.75" customHeight="1">
      <c r="A83" s="36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7"/>
      <c r="N83" s="37"/>
      <c r="O83" s="37"/>
      <c r="P83" s="38"/>
      <c r="Q83" s="36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 ht="15.75" customHeight="1">
      <c r="A84" s="36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7"/>
      <c r="N84" s="37"/>
      <c r="O84" s="37"/>
      <c r="P84" s="38"/>
      <c r="Q84" s="36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 ht="15.75" customHeight="1">
      <c r="A85" s="36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7"/>
      <c r="N85" s="37"/>
      <c r="O85" s="37"/>
      <c r="P85" s="38"/>
      <c r="Q85" s="36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 ht="15.75" customHeight="1">
      <c r="A86" s="36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7"/>
      <c r="N86" s="37"/>
      <c r="O86" s="37"/>
      <c r="P86" s="38"/>
      <c r="Q86" s="36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 ht="15.75" customHeight="1">
      <c r="A87" s="36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7"/>
      <c r="N87" s="37"/>
      <c r="O87" s="37"/>
      <c r="P87" s="38"/>
      <c r="Q87" s="36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 ht="15.75" customHeight="1">
      <c r="A88" s="36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7"/>
      <c r="N88" s="37"/>
      <c r="O88" s="37"/>
      <c r="P88" s="38"/>
      <c r="Q88" s="36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 ht="15.75" customHeight="1">
      <c r="A89" s="36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7"/>
      <c r="N89" s="37"/>
      <c r="O89" s="37"/>
      <c r="P89" s="38"/>
      <c r="Q89" s="36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 ht="15.75" customHeight="1">
      <c r="A90" s="36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7"/>
      <c r="N90" s="37"/>
      <c r="O90" s="37"/>
      <c r="P90" s="38"/>
      <c r="Q90" s="36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 ht="15.75" customHeight="1">
      <c r="A91" s="36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7"/>
      <c r="N91" s="37"/>
      <c r="O91" s="37"/>
      <c r="P91" s="38"/>
      <c r="Q91" s="36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 ht="15.75" customHeight="1">
      <c r="A92" s="36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7"/>
      <c r="N92" s="37"/>
      <c r="O92" s="37"/>
      <c r="P92" s="38"/>
      <c r="Q92" s="36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 ht="15.75" customHeight="1">
      <c r="A93" s="36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7"/>
      <c r="N93" s="37"/>
      <c r="O93" s="37"/>
      <c r="P93" s="38"/>
      <c r="Q93" s="36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 ht="15.75" customHeight="1">
      <c r="A94" s="36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7"/>
      <c r="N94" s="37"/>
      <c r="O94" s="37"/>
      <c r="P94" s="38"/>
      <c r="Q94" s="36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 ht="15.75" customHeight="1">
      <c r="A95" s="36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7"/>
      <c r="N95" s="37"/>
      <c r="O95" s="37"/>
      <c r="P95" s="38"/>
      <c r="Q95" s="36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 ht="15.75" customHeight="1">
      <c r="A96" s="36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7"/>
      <c r="N96" s="37"/>
      <c r="O96" s="37"/>
      <c r="P96" s="38"/>
      <c r="Q96" s="36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 ht="15.75" customHeight="1">
      <c r="A97" s="36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7"/>
      <c r="N97" s="37"/>
      <c r="O97" s="37"/>
      <c r="P97" s="38"/>
      <c r="Q97" s="36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 ht="15.75" customHeight="1">
      <c r="A98" s="36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7"/>
      <c r="N98" s="37"/>
      <c r="O98" s="37"/>
      <c r="P98" s="38"/>
      <c r="Q98" s="36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 ht="15.75" customHeight="1">
      <c r="A99" s="36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7"/>
      <c r="N99" s="37"/>
      <c r="O99" s="37"/>
      <c r="P99" s="38"/>
      <c r="Q99" s="36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 ht="15.75" customHeight="1">
      <c r="A100" s="36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7"/>
      <c r="N100" s="37"/>
      <c r="O100" s="37"/>
      <c r="P100" s="38"/>
      <c r="Q100" s="36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 ht="15.75" customHeight="1">
      <c r="A101" s="36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7"/>
      <c r="N101" s="37"/>
      <c r="O101" s="37"/>
      <c r="P101" s="38"/>
      <c r="Q101" s="36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 ht="15.75" customHeight="1">
      <c r="A102" s="36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7"/>
      <c r="N102" s="37"/>
      <c r="O102" s="37"/>
      <c r="P102" s="38"/>
      <c r="Q102" s="36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 ht="15.75" customHeight="1">
      <c r="A103" s="36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7"/>
      <c r="N103" s="37"/>
      <c r="O103" s="37"/>
      <c r="P103" s="38"/>
      <c r="Q103" s="36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 ht="15.75" customHeight="1">
      <c r="A104" s="36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7"/>
      <c r="N104" s="37"/>
      <c r="O104" s="37"/>
      <c r="P104" s="38"/>
      <c r="Q104" s="36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 ht="15.75" customHeight="1">
      <c r="A105" s="36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7"/>
      <c r="N105" s="37"/>
      <c r="O105" s="37"/>
      <c r="P105" s="38"/>
      <c r="Q105" s="36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 ht="15.75" customHeight="1">
      <c r="A106" s="36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7"/>
      <c r="N106" s="37"/>
      <c r="O106" s="37"/>
      <c r="P106" s="38"/>
      <c r="Q106" s="36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 ht="15.75" customHeight="1">
      <c r="A107" s="36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7"/>
      <c r="N107" s="37"/>
      <c r="O107" s="37"/>
      <c r="P107" s="38"/>
      <c r="Q107" s="36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 ht="15.75" customHeight="1">
      <c r="A108" s="36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7"/>
      <c r="N108" s="37"/>
      <c r="O108" s="37"/>
      <c r="P108" s="38"/>
      <c r="Q108" s="36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 ht="15.75" customHeight="1">
      <c r="A109" s="36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7"/>
      <c r="N109" s="37"/>
      <c r="O109" s="37"/>
      <c r="P109" s="38"/>
      <c r="Q109" s="36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 ht="15.75" customHeight="1">
      <c r="A110" s="36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7"/>
      <c r="N110" s="37"/>
      <c r="O110" s="37"/>
      <c r="P110" s="38"/>
      <c r="Q110" s="36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 ht="15.75" customHeight="1">
      <c r="A111" s="36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7"/>
      <c r="N111" s="37"/>
      <c r="O111" s="37"/>
      <c r="P111" s="38"/>
      <c r="Q111" s="36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 ht="15.75" customHeight="1">
      <c r="A112" s="36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7"/>
      <c r="N112" s="37"/>
      <c r="O112" s="37"/>
      <c r="P112" s="38"/>
      <c r="Q112" s="36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 ht="15.75" customHeight="1">
      <c r="A113" s="36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7"/>
      <c r="N113" s="37"/>
      <c r="O113" s="37"/>
      <c r="P113" s="38"/>
      <c r="Q113" s="36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 ht="15.75" customHeight="1">
      <c r="A114" s="36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7"/>
      <c r="N114" s="37"/>
      <c r="O114" s="37"/>
      <c r="P114" s="38"/>
      <c r="Q114" s="36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 ht="15.75" customHeight="1">
      <c r="A115" s="36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7"/>
      <c r="N115" s="37"/>
      <c r="O115" s="37"/>
      <c r="P115" s="38"/>
      <c r="Q115" s="36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 ht="15.75" customHeight="1">
      <c r="A116" s="36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7"/>
      <c r="N116" s="37"/>
      <c r="O116" s="37"/>
      <c r="P116" s="38"/>
      <c r="Q116" s="36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 ht="15.75" customHeight="1">
      <c r="A117" s="36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7"/>
      <c r="N117" s="37"/>
      <c r="O117" s="37"/>
      <c r="P117" s="38"/>
      <c r="Q117" s="36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 ht="15.75" customHeight="1">
      <c r="A118" s="36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7"/>
      <c r="N118" s="37"/>
      <c r="O118" s="37"/>
      <c r="P118" s="38"/>
      <c r="Q118" s="36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 ht="15.75" customHeight="1">
      <c r="A119" s="36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7"/>
      <c r="N119" s="37"/>
      <c r="O119" s="37"/>
      <c r="P119" s="38"/>
      <c r="Q119" s="36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 ht="15.75" customHeight="1">
      <c r="A120" s="36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7"/>
      <c r="N120" s="37"/>
      <c r="O120" s="37"/>
      <c r="P120" s="38"/>
      <c r="Q120" s="36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 ht="15.75" customHeight="1">
      <c r="A121" s="36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7"/>
      <c r="N121" s="37"/>
      <c r="O121" s="37"/>
      <c r="P121" s="38"/>
      <c r="Q121" s="36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 ht="15.75" customHeight="1">
      <c r="A122" s="36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7"/>
      <c r="N122" s="37"/>
      <c r="O122" s="37"/>
      <c r="P122" s="38"/>
      <c r="Q122" s="36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 ht="15.75" customHeight="1">
      <c r="A123" s="36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7"/>
      <c r="N123" s="37"/>
      <c r="O123" s="37"/>
      <c r="P123" s="38"/>
      <c r="Q123" s="36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 ht="15.75" customHeight="1">
      <c r="A124" s="36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7"/>
      <c r="N124" s="37"/>
      <c r="O124" s="37"/>
      <c r="P124" s="38"/>
      <c r="Q124" s="36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 ht="15.75" customHeight="1">
      <c r="A125" s="36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7"/>
      <c r="N125" s="37"/>
      <c r="O125" s="37"/>
      <c r="P125" s="38"/>
      <c r="Q125" s="36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 ht="15.75" customHeight="1">
      <c r="A126" s="36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7"/>
      <c r="N126" s="37"/>
      <c r="O126" s="37"/>
      <c r="P126" s="38"/>
      <c r="Q126" s="36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 ht="15.75" customHeight="1">
      <c r="A127" s="36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7"/>
      <c r="N127" s="37"/>
      <c r="O127" s="37"/>
      <c r="P127" s="38"/>
      <c r="Q127" s="36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 ht="15.75" customHeight="1">
      <c r="A128" s="36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7"/>
      <c r="N128" s="37"/>
      <c r="O128" s="37"/>
      <c r="P128" s="38"/>
      <c r="Q128" s="36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 ht="15.75" customHeight="1">
      <c r="A129" s="36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7"/>
      <c r="N129" s="37"/>
      <c r="O129" s="37"/>
      <c r="P129" s="38"/>
      <c r="Q129" s="36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 ht="15.75" customHeight="1">
      <c r="A130" s="36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7"/>
      <c r="N130" s="37"/>
      <c r="O130" s="37"/>
      <c r="P130" s="38"/>
      <c r="Q130" s="36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 ht="15.75" customHeight="1">
      <c r="A131" s="36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7"/>
      <c r="N131" s="37"/>
      <c r="O131" s="37"/>
      <c r="P131" s="38"/>
      <c r="Q131" s="36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 ht="15.75" customHeight="1">
      <c r="A132" s="36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7"/>
      <c r="N132" s="37"/>
      <c r="O132" s="37"/>
      <c r="P132" s="38"/>
      <c r="Q132" s="36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 ht="15.75" customHeight="1">
      <c r="A133" s="36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7"/>
      <c r="N133" s="37"/>
      <c r="O133" s="37"/>
      <c r="P133" s="38"/>
      <c r="Q133" s="36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 ht="15.75" customHeight="1">
      <c r="A134" s="36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7"/>
      <c r="N134" s="37"/>
      <c r="O134" s="37"/>
      <c r="P134" s="38"/>
      <c r="Q134" s="36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 ht="15.75" customHeight="1">
      <c r="A135" s="36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7"/>
      <c r="N135" s="37"/>
      <c r="O135" s="37"/>
      <c r="P135" s="38"/>
      <c r="Q135" s="36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 ht="15.75" customHeight="1">
      <c r="A136" s="36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7"/>
      <c r="N136" s="37"/>
      <c r="O136" s="37"/>
      <c r="P136" s="38"/>
      <c r="Q136" s="36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 ht="15.75" customHeight="1">
      <c r="A137" s="36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7"/>
      <c r="N137" s="37"/>
      <c r="O137" s="37"/>
      <c r="P137" s="38"/>
      <c r="Q137" s="36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 ht="15.75" customHeight="1">
      <c r="A138" s="36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7"/>
      <c r="N138" s="37"/>
      <c r="O138" s="37"/>
      <c r="P138" s="38"/>
      <c r="Q138" s="36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 ht="15.75" customHeight="1">
      <c r="A139" s="36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7"/>
      <c r="N139" s="37"/>
      <c r="O139" s="37"/>
      <c r="P139" s="38"/>
      <c r="Q139" s="36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 ht="15.75" customHeight="1">
      <c r="A140" s="36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7"/>
      <c r="N140" s="37"/>
      <c r="O140" s="37"/>
      <c r="P140" s="38"/>
      <c r="Q140" s="36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 ht="15.75" customHeight="1">
      <c r="A141" s="36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7"/>
      <c r="N141" s="37"/>
      <c r="O141" s="37"/>
      <c r="P141" s="38"/>
      <c r="Q141" s="36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 ht="15.75" customHeight="1">
      <c r="A142" s="36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7"/>
      <c r="N142" s="37"/>
      <c r="O142" s="37"/>
      <c r="P142" s="38"/>
      <c r="Q142" s="36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 ht="15.75" customHeight="1">
      <c r="A143" s="36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7"/>
      <c r="N143" s="37"/>
      <c r="O143" s="37"/>
      <c r="P143" s="38"/>
      <c r="Q143" s="36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 ht="15.75" customHeight="1">
      <c r="A144" s="36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7"/>
      <c r="N144" s="37"/>
      <c r="O144" s="37"/>
      <c r="P144" s="38"/>
      <c r="Q144" s="36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 ht="15.75" customHeight="1">
      <c r="A145" s="36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7"/>
      <c r="N145" s="37"/>
      <c r="O145" s="37"/>
      <c r="P145" s="38"/>
      <c r="Q145" s="36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 ht="15.75" customHeight="1">
      <c r="A146" s="36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7"/>
      <c r="N146" s="37"/>
      <c r="O146" s="37"/>
      <c r="P146" s="38"/>
      <c r="Q146" s="36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 ht="15.75" customHeight="1">
      <c r="A147" s="36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7"/>
      <c r="N147" s="37"/>
      <c r="O147" s="37"/>
      <c r="P147" s="38"/>
      <c r="Q147" s="36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 ht="15.75" customHeight="1">
      <c r="A148" s="36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7"/>
      <c r="N148" s="37"/>
      <c r="O148" s="37"/>
      <c r="P148" s="38"/>
      <c r="Q148" s="36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 ht="15.75" customHeight="1">
      <c r="A149" s="36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7"/>
      <c r="N149" s="37"/>
      <c r="O149" s="37"/>
      <c r="P149" s="38"/>
      <c r="Q149" s="36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 ht="15.75" customHeight="1">
      <c r="A150" s="36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7"/>
      <c r="N150" s="37"/>
      <c r="O150" s="37"/>
      <c r="P150" s="38"/>
      <c r="Q150" s="36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 ht="15.75" customHeight="1">
      <c r="A151" s="36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7"/>
      <c r="N151" s="37"/>
      <c r="O151" s="37"/>
      <c r="P151" s="38"/>
      <c r="Q151" s="36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 ht="15.75" customHeight="1">
      <c r="A152" s="36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7"/>
      <c r="N152" s="37"/>
      <c r="O152" s="37"/>
      <c r="P152" s="38"/>
      <c r="Q152" s="36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 ht="15.75" customHeight="1">
      <c r="A153" s="36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7"/>
      <c r="N153" s="37"/>
      <c r="O153" s="37"/>
      <c r="P153" s="38"/>
      <c r="Q153" s="36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 ht="15.75" customHeight="1">
      <c r="A154" s="36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7"/>
      <c r="N154" s="37"/>
      <c r="O154" s="37"/>
      <c r="P154" s="38"/>
      <c r="Q154" s="36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 ht="15.75" customHeight="1">
      <c r="A155" s="36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7"/>
      <c r="N155" s="37"/>
      <c r="O155" s="37"/>
      <c r="P155" s="38"/>
      <c r="Q155" s="36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 ht="15.75" customHeight="1">
      <c r="A156" s="36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7"/>
      <c r="N156" s="37"/>
      <c r="O156" s="37"/>
      <c r="P156" s="38"/>
      <c r="Q156" s="36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 ht="15.75" customHeight="1">
      <c r="A157" s="36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7"/>
      <c r="N157" s="37"/>
      <c r="O157" s="37"/>
      <c r="P157" s="38"/>
      <c r="Q157" s="36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 ht="15.75" customHeight="1">
      <c r="A158" s="36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7"/>
      <c r="N158" s="37"/>
      <c r="O158" s="37"/>
      <c r="P158" s="38"/>
      <c r="Q158" s="36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 ht="15.75" customHeight="1">
      <c r="A159" s="36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7"/>
      <c r="N159" s="37"/>
      <c r="O159" s="37"/>
      <c r="P159" s="38"/>
      <c r="Q159" s="36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 ht="15.75" customHeight="1">
      <c r="A160" s="36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7"/>
      <c r="N160" s="37"/>
      <c r="O160" s="37"/>
      <c r="P160" s="38"/>
      <c r="Q160" s="36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 ht="15.75" customHeight="1">
      <c r="A161" s="36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7"/>
      <c r="N161" s="37"/>
      <c r="O161" s="37"/>
      <c r="P161" s="38"/>
      <c r="Q161" s="36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 ht="15.75" customHeight="1">
      <c r="A162" s="36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7"/>
      <c r="N162" s="37"/>
      <c r="O162" s="37"/>
      <c r="P162" s="38"/>
      <c r="Q162" s="36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 ht="15.75" customHeight="1">
      <c r="A163" s="36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7"/>
      <c r="N163" s="37"/>
      <c r="O163" s="37"/>
      <c r="P163" s="38"/>
      <c r="Q163" s="36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 ht="15.75" customHeight="1">
      <c r="A164" s="36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7"/>
      <c r="N164" s="37"/>
      <c r="O164" s="37"/>
      <c r="P164" s="38"/>
      <c r="Q164" s="36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 ht="15.75" customHeight="1">
      <c r="A165" s="36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7"/>
      <c r="N165" s="37"/>
      <c r="O165" s="37"/>
      <c r="P165" s="38"/>
      <c r="Q165" s="36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 ht="15.75" customHeight="1">
      <c r="A166" s="36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7"/>
      <c r="N166" s="37"/>
      <c r="O166" s="37"/>
      <c r="P166" s="38"/>
      <c r="Q166" s="36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 ht="15.75" customHeight="1">
      <c r="A167" s="36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7"/>
      <c r="N167" s="37"/>
      <c r="O167" s="37"/>
      <c r="P167" s="38"/>
      <c r="Q167" s="36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 ht="15.75" customHeight="1">
      <c r="A168" s="36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7"/>
      <c r="N168" s="37"/>
      <c r="O168" s="37"/>
      <c r="P168" s="38"/>
      <c r="Q168" s="36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 ht="15.75" customHeight="1">
      <c r="A169" s="36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7"/>
      <c r="N169" s="37"/>
      <c r="O169" s="37"/>
      <c r="P169" s="38"/>
      <c r="Q169" s="36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 ht="15.75" customHeight="1">
      <c r="A170" s="36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7"/>
      <c r="N170" s="37"/>
      <c r="O170" s="37"/>
      <c r="P170" s="38"/>
      <c r="Q170" s="36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 ht="15.75" customHeight="1">
      <c r="A171" s="36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7"/>
      <c r="N171" s="37"/>
      <c r="O171" s="37"/>
      <c r="P171" s="38"/>
      <c r="Q171" s="36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 ht="15.75" customHeight="1">
      <c r="A172" s="36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7"/>
      <c r="N172" s="37"/>
      <c r="O172" s="37"/>
      <c r="P172" s="38"/>
      <c r="Q172" s="36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 ht="15.75" customHeight="1">
      <c r="A173" s="36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7"/>
      <c r="N173" s="37"/>
      <c r="O173" s="37"/>
      <c r="P173" s="38"/>
      <c r="Q173" s="36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 ht="15.75" customHeight="1">
      <c r="A174" s="36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7"/>
      <c r="N174" s="37"/>
      <c r="O174" s="37"/>
      <c r="P174" s="38"/>
      <c r="Q174" s="36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 ht="15.75" customHeight="1">
      <c r="A175" s="36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7"/>
      <c r="N175" s="37"/>
      <c r="O175" s="37"/>
      <c r="P175" s="38"/>
      <c r="Q175" s="36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 ht="15.75" customHeight="1">
      <c r="A176" s="36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7"/>
      <c r="N176" s="37"/>
      <c r="O176" s="37"/>
      <c r="P176" s="38"/>
      <c r="Q176" s="36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 ht="15.75" customHeight="1">
      <c r="A177" s="36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7"/>
      <c r="N177" s="37"/>
      <c r="O177" s="37"/>
      <c r="P177" s="38"/>
      <c r="Q177" s="36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 ht="15.75" customHeight="1">
      <c r="A178" s="36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7"/>
      <c r="N178" s="37"/>
      <c r="O178" s="37"/>
      <c r="P178" s="38"/>
      <c r="Q178" s="36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 ht="15.75" customHeight="1">
      <c r="A179" s="36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7"/>
      <c r="N179" s="37"/>
      <c r="O179" s="37"/>
      <c r="P179" s="38"/>
      <c r="Q179" s="36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 ht="15.75" customHeight="1">
      <c r="A180" s="36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7"/>
      <c r="N180" s="37"/>
      <c r="O180" s="37"/>
      <c r="P180" s="38"/>
      <c r="Q180" s="36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 ht="15.75" customHeight="1">
      <c r="A181" s="36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7"/>
      <c r="N181" s="37"/>
      <c r="O181" s="37"/>
      <c r="P181" s="38"/>
      <c r="Q181" s="36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 ht="15.75" customHeight="1">
      <c r="A182" s="36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7"/>
      <c r="N182" s="37"/>
      <c r="O182" s="37"/>
      <c r="P182" s="38"/>
      <c r="Q182" s="36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 ht="15.75" customHeight="1">
      <c r="A183" s="36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7"/>
      <c r="N183" s="37"/>
      <c r="O183" s="37"/>
      <c r="P183" s="38"/>
      <c r="Q183" s="36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 ht="15.75" customHeight="1">
      <c r="A184" s="36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7"/>
      <c r="N184" s="37"/>
      <c r="O184" s="37"/>
      <c r="P184" s="38"/>
      <c r="Q184" s="36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 ht="15.75" customHeight="1">
      <c r="A185" s="36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7"/>
      <c r="N185" s="37"/>
      <c r="O185" s="37"/>
      <c r="P185" s="38"/>
      <c r="Q185" s="36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 ht="15.75" customHeight="1">
      <c r="A186" s="36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7"/>
      <c r="N186" s="37"/>
      <c r="O186" s="37"/>
      <c r="P186" s="38"/>
      <c r="Q186" s="36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 ht="15.75" customHeight="1">
      <c r="A187" s="36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7"/>
      <c r="N187" s="37"/>
      <c r="O187" s="37"/>
      <c r="P187" s="38"/>
      <c r="Q187" s="36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 ht="15.75" customHeight="1">
      <c r="A188" s="36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7"/>
      <c r="N188" s="37"/>
      <c r="O188" s="37"/>
      <c r="P188" s="38"/>
      <c r="Q188" s="36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 ht="15.75" customHeight="1">
      <c r="A189" s="36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7"/>
      <c r="N189" s="37"/>
      <c r="O189" s="37"/>
      <c r="P189" s="38"/>
      <c r="Q189" s="36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 ht="15.75" customHeight="1">
      <c r="A190" s="36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7"/>
      <c r="N190" s="37"/>
      <c r="O190" s="37"/>
      <c r="P190" s="38"/>
      <c r="Q190" s="36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 ht="15.75" customHeight="1">
      <c r="A191" s="36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7"/>
      <c r="N191" s="37"/>
      <c r="O191" s="37"/>
      <c r="P191" s="38"/>
      <c r="Q191" s="36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 ht="15.75" customHeight="1">
      <c r="A192" s="36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7"/>
      <c r="N192" s="37"/>
      <c r="O192" s="37"/>
      <c r="P192" s="38"/>
      <c r="Q192" s="36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 ht="15.75" customHeight="1">
      <c r="A193" s="36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7"/>
      <c r="N193" s="37"/>
      <c r="O193" s="37"/>
      <c r="P193" s="38"/>
      <c r="Q193" s="36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 ht="15.75" customHeight="1">
      <c r="A194" s="36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7"/>
      <c r="N194" s="37"/>
      <c r="O194" s="37"/>
      <c r="P194" s="38"/>
      <c r="Q194" s="36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 ht="15.75" customHeight="1">
      <c r="A195" s="36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7"/>
      <c r="N195" s="37"/>
      <c r="O195" s="37"/>
      <c r="P195" s="38"/>
      <c r="Q195" s="36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 ht="15.75" customHeight="1">
      <c r="A196" s="36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7"/>
      <c r="N196" s="37"/>
      <c r="O196" s="37"/>
      <c r="P196" s="38"/>
      <c r="Q196" s="36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 ht="15.75" customHeight="1">
      <c r="A197" s="36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7"/>
      <c r="N197" s="37"/>
      <c r="O197" s="37"/>
      <c r="P197" s="38"/>
      <c r="Q197" s="36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 ht="15.75" customHeight="1">
      <c r="A198" s="36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7"/>
      <c r="N198" s="37"/>
      <c r="O198" s="37"/>
      <c r="P198" s="38"/>
      <c r="Q198" s="36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 ht="15.75" customHeight="1">
      <c r="A199" s="36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7"/>
      <c r="N199" s="37"/>
      <c r="O199" s="37"/>
      <c r="P199" s="38"/>
      <c r="Q199" s="36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 ht="15.75" customHeight="1">
      <c r="A200" s="36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7"/>
      <c r="N200" s="37"/>
      <c r="O200" s="37"/>
      <c r="P200" s="38"/>
      <c r="Q200" s="36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 ht="15.75" customHeight="1">
      <c r="A201" s="36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7"/>
      <c r="N201" s="37"/>
      <c r="O201" s="37"/>
      <c r="P201" s="38"/>
      <c r="Q201" s="36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 ht="15.75" customHeight="1">
      <c r="A202" s="36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7"/>
      <c r="N202" s="37"/>
      <c r="O202" s="37"/>
      <c r="P202" s="38"/>
      <c r="Q202" s="36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 ht="15.75" customHeight="1">
      <c r="A203" s="36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7"/>
      <c r="N203" s="37"/>
      <c r="O203" s="37"/>
      <c r="P203" s="38"/>
      <c r="Q203" s="36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 ht="15.75" customHeight="1">
      <c r="A204" s="36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7"/>
      <c r="N204" s="37"/>
      <c r="O204" s="37"/>
      <c r="P204" s="38"/>
      <c r="Q204" s="36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 ht="15.75" customHeight="1">
      <c r="A205" s="36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7"/>
      <c r="N205" s="37"/>
      <c r="O205" s="37"/>
      <c r="P205" s="38"/>
      <c r="Q205" s="36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 ht="15.75" customHeight="1">
      <c r="A206" s="36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7"/>
      <c r="N206" s="37"/>
      <c r="O206" s="37"/>
      <c r="P206" s="38"/>
      <c r="Q206" s="36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 ht="15.75" customHeight="1">
      <c r="A207" s="36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7"/>
      <c r="N207" s="37"/>
      <c r="O207" s="37"/>
      <c r="P207" s="38"/>
      <c r="Q207" s="36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 ht="15.75" customHeight="1">
      <c r="A208" s="36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7"/>
      <c r="N208" s="37"/>
      <c r="O208" s="37"/>
      <c r="P208" s="38"/>
      <c r="Q208" s="36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 ht="15.75" customHeight="1">
      <c r="A209" s="36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7"/>
      <c r="N209" s="37"/>
      <c r="O209" s="37"/>
      <c r="P209" s="38"/>
      <c r="Q209" s="36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 ht="15.75" customHeight="1">
      <c r="A210" s="36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7"/>
      <c r="N210" s="37"/>
      <c r="O210" s="37"/>
      <c r="P210" s="38"/>
      <c r="Q210" s="36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 ht="15.75" customHeight="1">
      <c r="A211" s="36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7"/>
      <c r="N211" s="37"/>
      <c r="O211" s="37"/>
      <c r="P211" s="38"/>
      <c r="Q211" s="36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 ht="15.75" customHeight="1">
      <c r="A212" s="36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7"/>
      <c r="N212" s="37"/>
      <c r="O212" s="37"/>
      <c r="P212" s="38"/>
      <c r="Q212" s="36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 ht="15.75" customHeight="1">
      <c r="A213" s="36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7"/>
      <c r="N213" s="37"/>
      <c r="O213" s="37"/>
      <c r="P213" s="38"/>
      <c r="Q213" s="36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 ht="15.75" customHeight="1">
      <c r="A214" s="36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7"/>
      <c r="N214" s="37"/>
      <c r="O214" s="37"/>
      <c r="P214" s="38"/>
      <c r="Q214" s="36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 ht="15.75" customHeight="1">
      <c r="A215" s="36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7"/>
      <c r="N215" s="37"/>
      <c r="O215" s="37"/>
      <c r="P215" s="38"/>
      <c r="Q215" s="36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 ht="15.75" customHeight="1">
      <c r="A216" s="36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7"/>
      <c r="N216" s="37"/>
      <c r="O216" s="37"/>
      <c r="P216" s="38"/>
      <c r="Q216" s="36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 ht="15.75" customHeight="1">
      <c r="A217" s="36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7"/>
      <c r="N217" s="37"/>
      <c r="O217" s="37"/>
      <c r="P217" s="38"/>
      <c r="Q217" s="36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 ht="15.75" customHeight="1">
      <c r="A218" s="36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7"/>
      <c r="N218" s="37"/>
      <c r="O218" s="37"/>
      <c r="P218" s="38"/>
      <c r="Q218" s="36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 ht="15.75" customHeight="1">
      <c r="A219" s="36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7"/>
      <c r="N219" s="37"/>
      <c r="O219" s="37"/>
      <c r="P219" s="38"/>
      <c r="Q219" s="36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 ht="15.75" customHeight="1">
      <c r="A220" s="36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7"/>
      <c r="N220" s="37"/>
      <c r="O220" s="37"/>
      <c r="P220" s="38"/>
      <c r="Q220" s="36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 ht="15.75" customHeight="1">
      <c r="B221" s="41"/>
      <c r="C221" s="41"/>
      <c r="D221" s="41"/>
      <c r="E221" s="41"/>
      <c r="F221" s="41"/>
    </row>
    <row r="222" ht="15.75" customHeight="1">
      <c r="B222" s="41"/>
      <c r="C222" s="41"/>
      <c r="D222" s="41"/>
      <c r="E222" s="41"/>
      <c r="F222" s="41"/>
    </row>
    <row r="223" ht="15.75" customHeight="1">
      <c r="B223" s="41"/>
      <c r="C223" s="41"/>
      <c r="D223" s="41"/>
      <c r="E223" s="41"/>
      <c r="F223" s="41"/>
    </row>
    <row r="224" ht="15.75" customHeight="1">
      <c r="B224" s="41"/>
      <c r="C224" s="41"/>
      <c r="D224" s="41"/>
      <c r="E224" s="41"/>
      <c r="F224" s="41"/>
    </row>
    <row r="225" ht="15.75" customHeight="1">
      <c r="B225" s="41"/>
      <c r="C225" s="41"/>
      <c r="D225" s="41"/>
      <c r="E225" s="41"/>
      <c r="F225" s="41"/>
    </row>
    <row r="226" ht="15.75" customHeight="1">
      <c r="B226" s="41"/>
      <c r="C226" s="41"/>
      <c r="D226" s="41"/>
      <c r="E226" s="41"/>
      <c r="F226" s="41"/>
    </row>
    <row r="227" ht="15.75" customHeight="1">
      <c r="B227" s="41"/>
      <c r="C227" s="41"/>
      <c r="D227" s="41"/>
      <c r="E227" s="41"/>
      <c r="F227" s="41"/>
    </row>
    <row r="228" ht="15.75" customHeight="1">
      <c r="B228" s="41"/>
      <c r="C228" s="41"/>
      <c r="D228" s="41"/>
      <c r="E228" s="41"/>
      <c r="F228" s="41"/>
    </row>
    <row r="229" ht="15.75" customHeight="1">
      <c r="B229" s="41"/>
      <c r="C229" s="41"/>
      <c r="D229" s="41"/>
      <c r="E229" s="41"/>
      <c r="F229" s="41"/>
    </row>
    <row r="230" ht="15.75" customHeight="1">
      <c r="B230" s="41"/>
      <c r="C230" s="41"/>
      <c r="D230" s="41"/>
      <c r="E230" s="41"/>
      <c r="F230" s="41"/>
    </row>
    <row r="231" ht="15.75" customHeight="1">
      <c r="B231" s="41"/>
      <c r="C231" s="41"/>
      <c r="D231" s="41"/>
      <c r="E231" s="41"/>
      <c r="F231" s="41"/>
    </row>
    <row r="232" ht="15.75" customHeight="1">
      <c r="B232" s="41"/>
      <c r="C232" s="41"/>
      <c r="D232" s="41"/>
      <c r="E232" s="41"/>
      <c r="F232" s="41"/>
    </row>
    <row r="233" ht="15.75" customHeight="1">
      <c r="B233" s="41"/>
      <c r="C233" s="41"/>
      <c r="D233" s="41"/>
      <c r="E233" s="41"/>
      <c r="F233" s="41"/>
    </row>
    <row r="234" ht="15.75" customHeight="1">
      <c r="B234" s="41"/>
      <c r="C234" s="41"/>
      <c r="D234" s="41"/>
      <c r="E234" s="41"/>
      <c r="F234" s="41"/>
    </row>
    <row r="235" ht="15.75" customHeight="1">
      <c r="B235" s="41"/>
      <c r="C235" s="41"/>
      <c r="D235" s="41"/>
      <c r="E235" s="41"/>
      <c r="F235" s="41"/>
    </row>
    <row r="236" ht="15.75" customHeight="1">
      <c r="B236" s="41"/>
      <c r="C236" s="41"/>
      <c r="D236" s="41"/>
      <c r="E236" s="41"/>
      <c r="F236" s="41"/>
    </row>
    <row r="237" ht="15.75" customHeight="1">
      <c r="B237" s="41"/>
      <c r="C237" s="41"/>
      <c r="D237" s="41"/>
      <c r="E237" s="41"/>
      <c r="F237" s="41"/>
    </row>
    <row r="238" ht="15.75" customHeight="1">
      <c r="B238" s="41"/>
      <c r="C238" s="41"/>
      <c r="D238" s="41"/>
      <c r="E238" s="41"/>
      <c r="F238" s="41"/>
    </row>
    <row r="239" ht="15.75" customHeight="1">
      <c r="B239" s="41"/>
      <c r="C239" s="41"/>
      <c r="D239" s="41"/>
      <c r="E239" s="41"/>
      <c r="F239" s="41"/>
    </row>
    <row r="240" ht="15.75" customHeight="1">
      <c r="B240" s="41"/>
      <c r="C240" s="41"/>
      <c r="D240" s="41"/>
      <c r="E240" s="41"/>
      <c r="F240" s="41"/>
    </row>
    <row r="241" ht="15.75" customHeight="1">
      <c r="B241" s="41"/>
      <c r="C241" s="41"/>
      <c r="D241" s="41"/>
      <c r="E241" s="41"/>
      <c r="F241" s="41"/>
    </row>
    <row r="242" ht="15.75" customHeight="1">
      <c r="B242" s="41"/>
      <c r="C242" s="41"/>
      <c r="D242" s="41"/>
      <c r="E242" s="41"/>
      <c r="F242" s="41"/>
    </row>
    <row r="243" ht="15.75" customHeight="1">
      <c r="B243" s="41"/>
      <c r="C243" s="41"/>
      <c r="D243" s="41"/>
      <c r="E243" s="41"/>
      <c r="F243" s="41"/>
    </row>
    <row r="244" ht="15.75" customHeight="1">
      <c r="B244" s="41"/>
      <c r="C244" s="41"/>
      <c r="D244" s="41"/>
      <c r="E244" s="41"/>
      <c r="F244" s="41"/>
    </row>
    <row r="245" ht="15.75" customHeight="1">
      <c r="B245" s="41"/>
      <c r="C245" s="41"/>
      <c r="D245" s="41"/>
      <c r="E245" s="41"/>
      <c r="F245" s="41"/>
    </row>
    <row r="246" ht="15.75" customHeight="1">
      <c r="B246" s="41"/>
      <c r="C246" s="41"/>
      <c r="D246" s="41"/>
      <c r="E246" s="41"/>
      <c r="F246" s="41"/>
    </row>
    <row r="247" ht="15.75" customHeight="1">
      <c r="B247" s="41"/>
      <c r="C247" s="41"/>
      <c r="D247" s="41"/>
      <c r="E247" s="41"/>
      <c r="F247" s="41"/>
    </row>
    <row r="248" ht="15.75" customHeight="1">
      <c r="B248" s="41"/>
      <c r="C248" s="41"/>
      <c r="D248" s="41"/>
      <c r="E248" s="41"/>
      <c r="F248" s="41"/>
    </row>
    <row r="249" ht="15.75" customHeight="1">
      <c r="B249" s="41"/>
      <c r="C249" s="41"/>
      <c r="D249" s="41"/>
      <c r="E249" s="41"/>
      <c r="F249" s="41"/>
    </row>
    <row r="250" ht="15.75" customHeight="1">
      <c r="B250" s="41"/>
      <c r="C250" s="41"/>
      <c r="D250" s="41"/>
      <c r="E250" s="41"/>
      <c r="F250" s="41"/>
    </row>
    <row r="251" ht="15.75" customHeight="1">
      <c r="B251" s="41"/>
      <c r="C251" s="41"/>
      <c r="D251" s="41"/>
      <c r="E251" s="41"/>
      <c r="F251" s="41"/>
    </row>
    <row r="252" ht="15.75" customHeight="1">
      <c r="B252" s="41"/>
      <c r="C252" s="41"/>
      <c r="D252" s="41"/>
      <c r="E252" s="41"/>
      <c r="F252" s="41"/>
    </row>
    <row r="253" ht="15.75" customHeight="1">
      <c r="B253" s="41"/>
      <c r="C253" s="41"/>
      <c r="D253" s="41"/>
      <c r="E253" s="41"/>
      <c r="F253" s="41"/>
    </row>
    <row r="254" ht="15.75" customHeight="1">
      <c r="B254" s="41"/>
      <c r="C254" s="41"/>
      <c r="D254" s="41"/>
      <c r="E254" s="41"/>
      <c r="F254" s="41"/>
    </row>
    <row r="255" ht="15.75" customHeight="1">
      <c r="B255" s="41"/>
      <c r="C255" s="41"/>
      <c r="D255" s="41"/>
      <c r="E255" s="41"/>
      <c r="F255" s="41"/>
    </row>
    <row r="256" ht="15.75" customHeight="1">
      <c r="B256" s="41"/>
      <c r="C256" s="41"/>
      <c r="D256" s="41"/>
      <c r="E256" s="41"/>
      <c r="F256" s="41"/>
    </row>
    <row r="257" ht="15.75" customHeight="1">
      <c r="B257" s="41"/>
      <c r="C257" s="41"/>
      <c r="D257" s="41"/>
      <c r="E257" s="41"/>
      <c r="F257" s="41"/>
    </row>
    <row r="258" ht="15.75" customHeight="1">
      <c r="B258" s="41"/>
      <c r="C258" s="41"/>
      <c r="D258" s="41"/>
      <c r="E258" s="41"/>
      <c r="F258" s="41"/>
    </row>
    <row r="259" ht="15.75" customHeight="1">
      <c r="B259" s="41"/>
      <c r="C259" s="41"/>
      <c r="D259" s="41"/>
      <c r="E259" s="41"/>
      <c r="F259" s="41"/>
    </row>
    <row r="260" ht="15.75" customHeight="1">
      <c r="B260" s="41"/>
      <c r="C260" s="41"/>
      <c r="D260" s="41"/>
      <c r="E260" s="41"/>
      <c r="F260" s="41"/>
    </row>
    <row r="261" ht="15.75" customHeight="1">
      <c r="B261" s="41"/>
      <c r="C261" s="41"/>
      <c r="D261" s="41"/>
      <c r="E261" s="41"/>
      <c r="F261" s="41"/>
    </row>
    <row r="262" ht="15.75" customHeight="1">
      <c r="B262" s="41"/>
      <c r="C262" s="41"/>
      <c r="D262" s="41"/>
      <c r="E262" s="41"/>
      <c r="F262" s="41"/>
    </row>
    <row r="263" ht="15.75" customHeight="1">
      <c r="B263" s="41"/>
      <c r="C263" s="41"/>
      <c r="D263" s="41"/>
      <c r="E263" s="41"/>
      <c r="F263" s="41"/>
    </row>
    <row r="264" ht="15.75" customHeight="1">
      <c r="B264" s="41"/>
      <c r="C264" s="41"/>
      <c r="D264" s="41"/>
      <c r="E264" s="41"/>
      <c r="F264" s="41"/>
    </row>
    <row r="265" ht="15.75" customHeight="1">
      <c r="B265" s="41"/>
      <c r="C265" s="41"/>
      <c r="D265" s="41"/>
      <c r="E265" s="41"/>
      <c r="F265" s="41"/>
    </row>
    <row r="266" ht="15.75" customHeight="1">
      <c r="B266" s="41"/>
      <c r="C266" s="41"/>
      <c r="D266" s="41"/>
      <c r="E266" s="41"/>
      <c r="F266" s="41"/>
    </row>
    <row r="267" ht="15.75" customHeight="1">
      <c r="B267" s="41"/>
      <c r="C267" s="41"/>
      <c r="D267" s="41"/>
      <c r="E267" s="41"/>
      <c r="F267" s="41"/>
    </row>
    <row r="268" ht="15.75" customHeight="1">
      <c r="B268" s="41"/>
      <c r="C268" s="41"/>
      <c r="D268" s="41"/>
      <c r="E268" s="41"/>
      <c r="F268" s="41"/>
    </row>
    <row r="269" ht="15.75" customHeight="1">
      <c r="B269" s="41"/>
      <c r="C269" s="41"/>
      <c r="D269" s="41"/>
      <c r="E269" s="41"/>
      <c r="F269" s="41"/>
    </row>
    <row r="270" ht="15.75" customHeight="1">
      <c r="B270" s="41"/>
      <c r="C270" s="41"/>
      <c r="D270" s="41"/>
      <c r="E270" s="41"/>
      <c r="F270" s="41"/>
    </row>
    <row r="271" ht="15.75" customHeight="1">
      <c r="B271" s="41"/>
      <c r="C271" s="41"/>
      <c r="D271" s="41"/>
      <c r="E271" s="41"/>
      <c r="F271" s="41"/>
    </row>
    <row r="272" ht="15.75" customHeight="1">
      <c r="B272" s="41"/>
      <c r="C272" s="41"/>
      <c r="D272" s="41"/>
      <c r="E272" s="41"/>
      <c r="F272" s="41"/>
    </row>
    <row r="273" ht="15.75" customHeight="1">
      <c r="B273" s="41"/>
      <c r="C273" s="41"/>
      <c r="D273" s="41"/>
      <c r="E273" s="41"/>
      <c r="F273" s="41"/>
    </row>
    <row r="274" ht="15.75" customHeight="1">
      <c r="B274" s="41"/>
      <c r="C274" s="41"/>
      <c r="D274" s="41"/>
      <c r="E274" s="41"/>
      <c r="F274" s="41"/>
    </row>
    <row r="275" ht="15.75" customHeight="1">
      <c r="B275" s="41"/>
      <c r="C275" s="41"/>
      <c r="D275" s="41"/>
      <c r="E275" s="41"/>
      <c r="F275" s="41"/>
    </row>
    <row r="276" ht="15.75" customHeight="1">
      <c r="B276" s="41"/>
      <c r="C276" s="41"/>
      <c r="D276" s="41"/>
      <c r="E276" s="41"/>
      <c r="F276" s="41"/>
    </row>
    <row r="277" ht="15.75" customHeight="1">
      <c r="B277" s="41"/>
      <c r="C277" s="41"/>
      <c r="D277" s="41"/>
      <c r="E277" s="41"/>
      <c r="F277" s="41"/>
    </row>
    <row r="278" ht="15.75" customHeight="1">
      <c r="B278" s="41"/>
      <c r="C278" s="41"/>
      <c r="D278" s="41"/>
      <c r="E278" s="41"/>
      <c r="F278" s="41"/>
    </row>
    <row r="279" ht="15.75" customHeight="1">
      <c r="B279" s="41"/>
      <c r="C279" s="41"/>
      <c r="D279" s="41"/>
      <c r="E279" s="41"/>
      <c r="F279" s="41"/>
    </row>
    <row r="280" ht="15.75" customHeight="1">
      <c r="B280" s="41"/>
      <c r="C280" s="41"/>
      <c r="D280" s="41"/>
      <c r="E280" s="41"/>
      <c r="F280" s="41"/>
    </row>
    <row r="281" ht="15.75" customHeight="1">
      <c r="B281" s="41"/>
      <c r="C281" s="41"/>
      <c r="D281" s="41"/>
      <c r="E281" s="41"/>
      <c r="F281" s="41"/>
    </row>
    <row r="282" ht="15.75" customHeight="1">
      <c r="B282" s="41"/>
      <c r="C282" s="41"/>
      <c r="D282" s="41"/>
      <c r="E282" s="41"/>
      <c r="F282" s="41"/>
    </row>
    <row r="283" ht="15.75" customHeight="1">
      <c r="B283" s="41"/>
      <c r="C283" s="41"/>
      <c r="D283" s="41"/>
      <c r="E283" s="41"/>
      <c r="F283" s="41"/>
    </row>
    <row r="284" ht="15.75" customHeight="1">
      <c r="B284" s="41"/>
      <c r="C284" s="41"/>
      <c r="D284" s="41"/>
      <c r="E284" s="41"/>
      <c r="F284" s="41"/>
    </row>
    <row r="285" ht="15.75" customHeight="1">
      <c r="B285" s="41"/>
      <c r="C285" s="41"/>
      <c r="D285" s="41"/>
      <c r="E285" s="41"/>
      <c r="F285" s="41"/>
    </row>
    <row r="286" ht="15.75" customHeight="1">
      <c r="B286" s="41"/>
      <c r="C286" s="41"/>
      <c r="D286" s="41"/>
      <c r="E286" s="41"/>
      <c r="F286" s="41"/>
    </row>
    <row r="287" ht="15.75" customHeight="1">
      <c r="B287" s="41"/>
      <c r="C287" s="41"/>
      <c r="D287" s="41"/>
      <c r="E287" s="41"/>
      <c r="F287" s="41"/>
    </row>
    <row r="288" ht="15.75" customHeight="1">
      <c r="B288" s="41"/>
      <c r="C288" s="41"/>
      <c r="D288" s="41"/>
      <c r="E288" s="41"/>
      <c r="F288" s="41"/>
    </row>
    <row r="289" ht="15.75" customHeight="1">
      <c r="B289" s="41"/>
      <c r="C289" s="41"/>
      <c r="D289" s="41"/>
      <c r="E289" s="41"/>
      <c r="F289" s="41"/>
    </row>
    <row r="290" ht="15.75" customHeight="1">
      <c r="B290" s="41"/>
      <c r="C290" s="41"/>
      <c r="D290" s="41"/>
      <c r="E290" s="41"/>
      <c r="F290" s="41"/>
    </row>
    <row r="291" ht="15.75" customHeight="1">
      <c r="B291" s="41"/>
      <c r="C291" s="41"/>
      <c r="D291" s="41"/>
      <c r="E291" s="41"/>
      <c r="F291" s="41"/>
    </row>
    <row r="292" ht="15.75" customHeight="1">
      <c r="B292" s="41"/>
      <c r="C292" s="41"/>
      <c r="D292" s="41"/>
      <c r="E292" s="41"/>
      <c r="F292" s="41"/>
    </row>
    <row r="293" ht="15.75" customHeight="1">
      <c r="B293" s="41"/>
      <c r="C293" s="41"/>
      <c r="D293" s="41"/>
      <c r="E293" s="41"/>
      <c r="F293" s="41"/>
    </row>
    <row r="294" ht="15.75" customHeight="1">
      <c r="B294" s="41"/>
      <c r="C294" s="41"/>
      <c r="D294" s="41"/>
      <c r="E294" s="41"/>
      <c r="F294" s="41"/>
    </row>
    <row r="295" ht="15.75" customHeight="1">
      <c r="B295" s="41"/>
      <c r="C295" s="41"/>
      <c r="D295" s="41"/>
      <c r="E295" s="41"/>
      <c r="F295" s="41"/>
    </row>
    <row r="296" ht="15.75" customHeight="1">
      <c r="B296" s="41"/>
      <c r="C296" s="41"/>
      <c r="D296" s="41"/>
      <c r="E296" s="41"/>
      <c r="F296" s="41"/>
    </row>
    <row r="297" ht="15.75" customHeight="1">
      <c r="B297" s="41"/>
      <c r="C297" s="41"/>
      <c r="D297" s="41"/>
      <c r="E297" s="41"/>
      <c r="F297" s="41"/>
    </row>
    <row r="298" ht="15.75" customHeight="1">
      <c r="B298" s="41"/>
      <c r="C298" s="41"/>
      <c r="D298" s="41"/>
      <c r="E298" s="41"/>
      <c r="F298" s="41"/>
    </row>
    <row r="299" ht="15.75" customHeight="1">
      <c r="B299" s="41"/>
      <c r="C299" s="41"/>
      <c r="D299" s="41"/>
      <c r="E299" s="41"/>
      <c r="F299" s="41"/>
    </row>
    <row r="300" ht="15.75" customHeight="1">
      <c r="B300" s="41"/>
      <c r="C300" s="41"/>
      <c r="D300" s="41"/>
      <c r="E300" s="41"/>
      <c r="F300" s="41"/>
    </row>
    <row r="301" ht="15.75" customHeight="1">
      <c r="B301" s="41"/>
      <c r="C301" s="41"/>
      <c r="D301" s="41"/>
      <c r="E301" s="41"/>
      <c r="F301" s="41"/>
    </row>
    <row r="302" ht="15.75" customHeight="1">
      <c r="B302" s="41"/>
      <c r="C302" s="41"/>
      <c r="D302" s="41"/>
      <c r="E302" s="41"/>
      <c r="F302" s="41"/>
    </row>
    <row r="303" ht="15.75" customHeight="1">
      <c r="B303" s="41"/>
      <c r="C303" s="41"/>
      <c r="D303" s="41"/>
      <c r="E303" s="41"/>
      <c r="F303" s="41"/>
    </row>
    <row r="304" ht="15.75" customHeight="1">
      <c r="B304" s="41"/>
      <c r="C304" s="41"/>
      <c r="D304" s="41"/>
      <c r="E304" s="41"/>
      <c r="F304" s="41"/>
    </row>
    <row r="305" ht="15.75" customHeight="1">
      <c r="B305" s="41"/>
      <c r="C305" s="41"/>
      <c r="D305" s="41"/>
      <c r="E305" s="41"/>
      <c r="F305" s="41"/>
    </row>
    <row r="306" ht="15.75" customHeight="1">
      <c r="B306" s="41"/>
      <c r="C306" s="41"/>
      <c r="D306" s="41"/>
      <c r="E306" s="41"/>
      <c r="F306" s="41"/>
    </row>
    <row r="307" ht="15.75" customHeight="1">
      <c r="B307" s="41"/>
      <c r="C307" s="41"/>
      <c r="D307" s="41"/>
      <c r="E307" s="41"/>
      <c r="F307" s="41"/>
    </row>
    <row r="308" ht="15.75" customHeight="1">
      <c r="B308" s="41"/>
      <c r="C308" s="41"/>
      <c r="D308" s="41"/>
      <c r="E308" s="41"/>
      <c r="F308" s="41"/>
    </row>
    <row r="309" ht="15.75" customHeight="1">
      <c r="B309" s="41"/>
      <c r="C309" s="41"/>
      <c r="D309" s="41"/>
      <c r="E309" s="41"/>
      <c r="F309" s="41"/>
    </row>
    <row r="310" ht="15.75" customHeight="1">
      <c r="B310" s="41"/>
      <c r="C310" s="41"/>
      <c r="D310" s="41"/>
      <c r="E310" s="41"/>
      <c r="F310" s="41"/>
    </row>
    <row r="311" ht="15.75" customHeight="1">
      <c r="B311" s="41"/>
      <c r="C311" s="41"/>
      <c r="D311" s="41"/>
      <c r="E311" s="41"/>
      <c r="F311" s="41"/>
    </row>
    <row r="312" ht="15.75" customHeight="1">
      <c r="B312" s="41"/>
      <c r="C312" s="41"/>
      <c r="D312" s="41"/>
      <c r="E312" s="41"/>
      <c r="F312" s="41"/>
    </row>
    <row r="313" ht="15.75" customHeight="1">
      <c r="B313" s="41"/>
      <c r="C313" s="41"/>
      <c r="D313" s="41"/>
      <c r="E313" s="41"/>
      <c r="F313" s="41"/>
    </row>
    <row r="314" ht="15.75" customHeight="1">
      <c r="B314" s="41"/>
      <c r="C314" s="41"/>
      <c r="D314" s="41"/>
      <c r="E314" s="41"/>
      <c r="F314" s="41"/>
    </row>
    <row r="315" ht="15.75" customHeight="1">
      <c r="B315" s="41"/>
      <c r="C315" s="41"/>
      <c r="D315" s="41"/>
      <c r="E315" s="41"/>
      <c r="F315" s="41"/>
    </row>
    <row r="316" ht="15.75" customHeight="1">
      <c r="B316" s="41"/>
      <c r="C316" s="41"/>
      <c r="D316" s="41"/>
      <c r="E316" s="41"/>
      <c r="F316" s="41"/>
    </row>
    <row r="317" ht="15.75" customHeight="1">
      <c r="B317" s="41"/>
      <c r="C317" s="41"/>
      <c r="D317" s="41"/>
      <c r="E317" s="41"/>
      <c r="F317" s="41"/>
    </row>
    <row r="318" ht="15.75" customHeight="1">
      <c r="B318" s="41"/>
      <c r="C318" s="41"/>
      <c r="D318" s="41"/>
      <c r="E318" s="41"/>
      <c r="F318" s="41"/>
    </row>
    <row r="319" ht="15.75" customHeight="1">
      <c r="B319" s="41"/>
      <c r="C319" s="41"/>
      <c r="D319" s="41"/>
      <c r="E319" s="41"/>
      <c r="F319" s="41"/>
    </row>
    <row r="320" ht="15.75" customHeight="1">
      <c r="B320" s="41"/>
      <c r="C320" s="41"/>
      <c r="D320" s="41"/>
      <c r="E320" s="41"/>
      <c r="F320" s="41"/>
    </row>
    <row r="321" ht="15.75" customHeight="1">
      <c r="B321" s="41"/>
      <c r="C321" s="41"/>
      <c r="D321" s="41"/>
      <c r="E321" s="41"/>
      <c r="F321" s="41"/>
    </row>
    <row r="322" ht="15.75" customHeight="1">
      <c r="B322" s="41"/>
      <c r="C322" s="41"/>
      <c r="D322" s="41"/>
      <c r="E322" s="41"/>
      <c r="F322" s="41"/>
    </row>
    <row r="323" ht="15.75" customHeight="1">
      <c r="B323" s="41"/>
      <c r="C323" s="41"/>
      <c r="D323" s="41"/>
      <c r="E323" s="41"/>
      <c r="F323" s="41"/>
    </row>
    <row r="324" ht="15.75" customHeight="1">
      <c r="B324" s="41"/>
      <c r="C324" s="41"/>
      <c r="D324" s="41"/>
      <c r="E324" s="41"/>
      <c r="F324" s="41"/>
    </row>
    <row r="325" ht="15.75" customHeight="1">
      <c r="B325" s="41"/>
      <c r="C325" s="41"/>
      <c r="D325" s="41"/>
      <c r="E325" s="41"/>
      <c r="F325" s="41"/>
    </row>
    <row r="326" ht="15.75" customHeight="1">
      <c r="B326" s="41"/>
      <c r="C326" s="41"/>
      <c r="D326" s="41"/>
      <c r="E326" s="41"/>
      <c r="F326" s="41"/>
    </row>
    <row r="327" ht="15.75" customHeight="1">
      <c r="B327" s="41"/>
      <c r="C327" s="41"/>
      <c r="D327" s="41"/>
      <c r="E327" s="41"/>
      <c r="F327" s="41"/>
    </row>
    <row r="328" ht="15.75" customHeight="1">
      <c r="B328" s="41"/>
      <c r="C328" s="41"/>
      <c r="D328" s="41"/>
      <c r="E328" s="41"/>
      <c r="F328" s="41"/>
    </row>
    <row r="329" ht="15.75" customHeight="1">
      <c r="B329" s="41"/>
      <c r="C329" s="41"/>
      <c r="D329" s="41"/>
      <c r="E329" s="41"/>
      <c r="F329" s="41"/>
    </row>
    <row r="330" ht="15.75" customHeight="1">
      <c r="B330" s="41"/>
      <c r="C330" s="41"/>
      <c r="D330" s="41"/>
      <c r="E330" s="41"/>
      <c r="F330" s="41"/>
    </row>
    <row r="331" ht="15.75" customHeight="1">
      <c r="B331" s="41"/>
      <c r="C331" s="41"/>
      <c r="D331" s="41"/>
      <c r="E331" s="41"/>
      <c r="F331" s="41"/>
    </row>
    <row r="332" ht="15.75" customHeight="1">
      <c r="B332" s="41"/>
      <c r="C332" s="41"/>
      <c r="D332" s="41"/>
      <c r="E332" s="41"/>
      <c r="F332" s="41"/>
    </row>
    <row r="333" ht="15.75" customHeight="1">
      <c r="B333" s="41"/>
      <c r="C333" s="41"/>
      <c r="D333" s="41"/>
      <c r="E333" s="41"/>
      <c r="F333" s="41"/>
    </row>
    <row r="334" ht="15.75" customHeight="1">
      <c r="B334" s="41"/>
      <c r="C334" s="41"/>
      <c r="D334" s="41"/>
      <c r="E334" s="41"/>
      <c r="F334" s="41"/>
    </row>
    <row r="335" ht="15.75" customHeight="1">
      <c r="B335" s="41"/>
      <c r="C335" s="41"/>
      <c r="D335" s="41"/>
      <c r="E335" s="41"/>
      <c r="F335" s="41"/>
    </row>
    <row r="336" ht="15.75" customHeight="1">
      <c r="B336" s="41"/>
      <c r="C336" s="41"/>
      <c r="D336" s="41"/>
      <c r="E336" s="41"/>
      <c r="F336" s="41"/>
    </row>
    <row r="337" ht="15.75" customHeight="1">
      <c r="B337" s="41"/>
      <c r="C337" s="41"/>
      <c r="D337" s="41"/>
      <c r="E337" s="41"/>
      <c r="F337" s="41"/>
    </row>
    <row r="338" ht="15.75" customHeight="1">
      <c r="B338" s="41"/>
      <c r="C338" s="41"/>
      <c r="D338" s="41"/>
      <c r="E338" s="41"/>
      <c r="F338" s="41"/>
    </row>
    <row r="339" ht="15.75" customHeight="1">
      <c r="B339" s="41"/>
      <c r="C339" s="41"/>
      <c r="D339" s="41"/>
      <c r="E339" s="41"/>
      <c r="F339" s="41"/>
    </row>
    <row r="340" ht="15.75" customHeight="1">
      <c r="B340" s="41"/>
      <c r="C340" s="41"/>
      <c r="D340" s="41"/>
      <c r="E340" s="41"/>
      <c r="F340" s="41"/>
    </row>
    <row r="341" ht="15.75" customHeight="1">
      <c r="B341" s="41"/>
      <c r="C341" s="41"/>
      <c r="D341" s="41"/>
      <c r="E341" s="41"/>
      <c r="F341" s="41"/>
    </row>
    <row r="342" ht="15.75" customHeight="1">
      <c r="B342" s="41"/>
      <c r="C342" s="41"/>
      <c r="D342" s="41"/>
      <c r="E342" s="41"/>
      <c r="F342" s="41"/>
    </row>
    <row r="343" ht="15.75" customHeight="1">
      <c r="B343" s="41"/>
      <c r="C343" s="41"/>
      <c r="D343" s="41"/>
      <c r="E343" s="41"/>
      <c r="F343" s="41"/>
    </row>
    <row r="344" ht="15.75" customHeight="1">
      <c r="B344" s="41"/>
      <c r="C344" s="41"/>
      <c r="D344" s="41"/>
      <c r="E344" s="41"/>
      <c r="F344" s="41"/>
    </row>
    <row r="345" ht="15.75" customHeight="1">
      <c r="B345" s="41"/>
      <c r="C345" s="41"/>
      <c r="D345" s="41"/>
      <c r="E345" s="41"/>
      <c r="F345" s="41"/>
    </row>
    <row r="346" ht="15.75" customHeight="1">
      <c r="B346" s="41"/>
      <c r="C346" s="41"/>
      <c r="D346" s="41"/>
      <c r="E346" s="41"/>
      <c r="F346" s="41"/>
    </row>
    <row r="347" ht="15.75" customHeight="1">
      <c r="B347" s="41"/>
      <c r="C347" s="41"/>
      <c r="D347" s="41"/>
      <c r="E347" s="41"/>
      <c r="F347" s="41"/>
    </row>
    <row r="348" ht="15.75" customHeight="1">
      <c r="B348" s="41"/>
      <c r="C348" s="41"/>
      <c r="D348" s="41"/>
      <c r="E348" s="41"/>
      <c r="F348" s="41"/>
    </row>
    <row r="349" ht="15.75" customHeight="1">
      <c r="B349" s="41"/>
      <c r="C349" s="41"/>
      <c r="D349" s="41"/>
      <c r="E349" s="41"/>
      <c r="F349" s="41"/>
    </row>
    <row r="350" ht="15.75" customHeight="1">
      <c r="B350" s="41"/>
      <c r="C350" s="41"/>
      <c r="D350" s="41"/>
      <c r="E350" s="41"/>
      <c r="F350" s="41"/>
    </row>
    <row r="351" ht="15.75" customHeight="1">
      <c r="B351" s="41"/>
      <c r="C351" s="41"/>
      <c r="D351" s="41"/>
      <c r="E351" s="41"/>
      <c r="F351" s="41"/>
    </row>
    <row r="352" ht="15.75" customHeight="1">
      <c r="B352" s="41"/>
      <c r="C352" s="41"/>
      <c r="D352" s="41"/>
      <c r="E352" s="41"/>
      <c r="F352" s="41"/>
    </row>
    <row r="353" ht="15.75" customHeight="1">
      <c r="B353" s="41"/>
      <c r="C353" s="41"/>
      <c r="D353" s="41"/>
      <c r="E353" s="41"/>
      <c r="F353" s="41"/>
    </row>
    <row r="354" ht="15.75" customHeight="1">
      <c r="B354" s="41"/>
      <c r="C354" s="41"/>
      <c r="D354" s="41"/>
      <c r="E354" s="41"/>
      <c r="F354" s="41"/>
    </row>
    <row r="355" ht="15.75" customHeight="1">
      <c r="B355" s="41"/>
      <c r="C355" s="41"/>
      <c r="D355" s="41"/>
      <c r="E355" s="41"/>
      <c r="F355" s="41"/>
    </row>
    <row r="356" ht="15.75" customHeight="1">
      <c r="B356" s="41"/>
      <c r="C356" s="41"/>
      <c r="D356" s="41"/>
      <c r="E356" s="41"/>
      <c r="F356" s="41"/>
    </row>
    <row r="357" ht="15.75" customHeight="1">
      <c r="B357" s="41"/>
      <c r="C357" s="41"/>
      <c r="D357" s="41"/>
      <c r="E357" s="41"/>
      <c r="F357" s="41"/>
    </row>
    <row r="358" ht="15.75" customHeight="1">
      <c r="B358" s="41"/>
      <c r="C358" s="41"/>
      <c r="D358" s="41"/>
      <c r="E358" s="41"/>
      <c r="F358" s="41"/>
    </row>
    <row r="359" ht="15.75" customHeight="1">
      <c r="B359" s="41"/>
      <c r="C359" s="41"/>
      <c r="D359" s="41"/>
      <c r="E359" s="41"/>
      <c r="F359" s="41"/>
    </row>
    <row r="360" ht="15.75" customHeight="1">
      <c r="B360" s="41"/>
      <c r="C360" s="41"/>
      <c r="D360" s="41"/>
      <c r="E360" s="41"/>
      <c r="F360" s="41"/>
    </row>
    <row r="361" ht="15.75" customHeight="1">
      <c r="B361" s="41"/>
      <c r="C361" s="41"/>
      <c r="D361" s="41"/>
      <c r="E361" s="41"/>
      <c r="F361" s="41"/>
    </row>
    <row r="362" ht="15.75" customHeight="1">
      <c r="B362" s="41"/>
      <c r="C362" s="41"/>
      <c r="D362" s="41"/>
      <c r="E362" s="41"/>
      <c r="F362" s="41"/>
    </row>
    <row r="363" ht="15.75" customHeight="1">
      <c r="B363" s="41"/>
      <c r="C363" s="41"/>
      <c r="D363" s="41"/>
      <c r="E363" s="41"/>
      <c r="F363" s="41"/>
    </row>
    <row r="364" ht="15.75" customHeight="1">
      <c r="B364" s="41"/>
      <c r="C364" s="41"/>
      <c r="D364" s="41"/>
      <c r="E364" s="41"/>
      <c r="F364" s="41"/>
    </row>
    <row r="365" ht="15.75" customHeight="1">
      <c r="B365" s="41"/>
      <c r="C365" s="41"/>
      <c r="D365" s="41"/>
      <c r="E365" s="41"/>
      <c r="F365" s="41"/>
    </row>
    <row r="366" ht="15.75" customHeight="1">
      <c r="B366" s="41"/>
      <c r="C366" s="41"/>
      <c r="D366" s="41"/>
      <c r="E366" s="41"/>
      <c r="F366" s="41"/>
    </row>
    <row r="367" ht="15.75" customHeight="1">
      <c r="B367" s="41"/>
      <c r="C367" s="41"/>
      <c r="D367" s="41"/>
      <c r="E367" s="41"/>
      <c r="F367" s="41"/>
    </row>
    <row r="368" ht="15.75" customHeight="1">
      <c r="B368" s="41"/>
      <c r="C368" s="41"/>
      <c r="D368" s="41"/>
      <c r="E368" s="41"/>
      <c r="F368" s="41"/>
    </row>
    <row r="369" ht="15.75" customHeight="1">
      <c r="B369" s="41"/>
      <c r="C369" s="41"/>
      <c r="D369" s="41"/>
      <c r="E369" s="41"/>
      <c r="F369" s="41"/>
    </row>
    <row r="370" ht="15.75" customHeight="1">
      <c r="B370" s="41"/>
      <c r="C370" s="41"/>
      <c r="D370" s="41"/>
      <c r="E370" s="41"/>
      <c r="F370" s="41"/>
    </row>
    <row r="371" ht="15.75" customHeight="1">
      <c r="B371" s="41"/>
      <c r="C371" s="41"/>
      <c r="D371" s="41"/>
      <c r="E371" s="41"/>
      <c r="F371" s="41"/>
    </row>
    <row r="372" ht="15.75" customHeight="1">
      <c r="B372" s="41"/>
      <c r="C372" s="41"/>
      <c r="D372" s="41"/>
      <c r="E372" s="41"/>
      <c r="F372" s="41"/>
    </row>
    <row r="373" ht="15.75" customHeight="1">
      <c r="B373" s="41"/>
      <c r="C373" s="41"/>
      <c r="D373" s="41"/>
      <c r="E373" s="41"/>
      <c r="F373" s="41"/>
    </row>
    <row r="374" ht="15.75" customHeight="1">
      <c r="B374" s="41"/>
      <c r="C374" s="41"/>
      <c r="D374" s="41"/>
      <c r="E374" s="41"/>
      <c r="F374" s="41"/>
    </row>
    <row r="375" ht="15.75" customHeight="1">
      <c r="B375" s="41"/>
      <c r="C375" s="41"/>
      <c r="D375" s="41"/>
      <c r="E375" s="41"/>
      <c r="F375" s="41"/>
    </row>
    <row r="376" ht="15.75" customHeight="1">
      <c r="B376" s="41"/>
      <c r="C376" s="41"/>
      <c r="D376" s="41"/>
      <c r="E376" s="41"/>
      <c r="F376" s="41"/>
    </row>
    <row r="377" ht="15.75" customHeight="1">
      <c r="B377" s="41"/>
      <c r="C377" s="41"/>
      <c r="D377" s="41"/>
      <c r="E377" s="41"/>
      <c r="F377" s="41"/>
    </row>
    <row r="378" ht="15.75" customHeight="1">
      <c r="B378" s="41"/>
      <c r="C378" s="41"/>
      <c r="D378" s="41"/>
      <c r="E378" s="41"/>
      <c r="F378" s="41"/>
    </row>
    <row r="379" ht="15.75" customHeight="1">
      <c r="B379" s="41"/>
      <c r="C379" s="41"/>
      <c r="D379" s="41"/>
      <c r="E379" s="41"/>
      <c r="F379" s="41"/>
    </row>
    <row r="380" ht="15.75" customHeight="1">
      <c r="B380" s="41"/>
      <c r="C380" s="41"/>
      <c r="D380" s="41"/>
      <c r="E380" s="41"/>
      <c r="F380" s="41"/>
    </row>
    <row r="381" ht="15.75" customHeight="1">
      <c r="B381" s="41"/>
      <c r="C381" s="41"/>
      <c r="D381" s="41"/>
      <c r="E381" s="41"/>
      <c r="F381" s="41"/>
    </row>
    <row r="382" ht="15.75" customHeight="1">
      <c r="B382" s="41"/>
      <c r="C382" s="41"/>
      <c r="D382" s="41"/>
      <c r="E382" s="41"/>
      <c r="F382" s="41"/>
    </row>
    <row r="383" ht="15.75" customHeight="1">
      <c r="B383" s="41"/>
      <c r="C383" s="41"/>
      <c r="D383" s="41"/>
      <c r="E383" s="41"/>
      <c r="F383" s="41"/>
    </row>
    <row r="384" ht="15.75" customHeight="1">
      <c r="B384" s="41"/>
      <c r="C384" s="41"/>
      <c r="D384" s="41"/>
      <c r="E384" s="41"/>
      <c r="F384" s="41"/>
    </row>
    <row r="385" ht="15.75" customHeight="1">
      <c r="B385" s="41"/>
      <c r="C385" s="41"/>
      <c r="D385" s="41"/>
      <c r="E385" s="41"/>
      <c r="F385" s="41"/>
    </row>
    <row r="386" ht="15.75" customHeight="1">
      <c r="B386" s="41"/>
      <c r="C386" s="41"/>
      <c r="D386" s="41"/>
      <c r="E386" s="41"/>
      <c r="F386" s="41"/>
    </row>
    <row r="387" ht="15.75" customHeight="1">
      <c r="B387" s="41"/>
      <c r="C387" s="41"/>
      <c r="D387" s="41"/>
      <c r="E387" s="41"/>
      <c r="F387" s="41"/>
    </row>
    <row r="388" ht="15.75" customHeight="1">
      <c r="B388" s="41"/>
      <c r="C388" s="41"/>
      <c r="D388" s="41"/>
      <c r="E388" s="41"/>
      <c r="F388" s="41"/>
    </row>
    <row r="389" ht="15.75" customHeight="1">
      <c r="B389" s="41"/>
      <c r="C389" s="41"/>
      <c r="D389" s="41"/>
      <c r="E389" s="41"/>
      <c r="F389" s="41"/>
    </row>
    <row r="390" ht="15.75" customHeight="1">
      <c r="B390" s="41"/>
      <c r="C390" s="41"/>
      <c r="D390" s="41"/>
      <c r="E390" s="41"/>
      <c r="F390" s="41"/>
    </row>
    <row r="391" ht="15.75" customHeight="1">
      <c r="B391" s="41"/>
      <c r="C391" s="41"/>
      <c r="D391" s="41"/>
      <c r="E391" s="41"/>
      <c r="F391" s="41"/>
    </row>
    <row r="392" ht="15.75" customHeight="1">
      <c r="B392" s="41"/>
      <c r="C392" s="41"/>
      <c r="D392" s="41"/>
      <c r="E392" s="41"/>
      <c r="F392" s="41"/>
    </row>
    <row r="393" ht="15.75" customHeight="1">
      <c r="B393" s="41"/>
      <c r="C393" s="41"/>
      <c r="D393" s="41"/>
      <c r="E393" s="41"/>
      <c r="F393" s="41"/>
    </row>
    <row r="394" ht="15.75" customHeight="1">
      <c r="B394" s="41"/>
      <c r="C394" s="41"/>
      <c r="D394" s="41"/>
      <c r="E394" s="41"/>
      <c r="F394" s="41"/>
    </row>
    <row r="395" ht="15.75" customHeight="1">
      <c r="B395" s="41"/>
      <c r="C395" s="41"/>
      <c r="D395" s="41"/>
      <c r="E395" s="41"/>
      <c r="F395" s="41"/>
    </row>
    <row r="396" ht="15.75" customHeight="1">
      <c r="B396" s="41"/>
      <c r="C396" s="41"/>
      <c r="D396" s="41"/>
      <c r="E396" s="41"/>
      <c r="F396" s="41"/>
    </row>
    <row r="397" ht="15.75" customHeight="1">
      <c r="B397" s="41"/>
      <c r="C397" s="41"/>
      <c r="D397" s="41"/>
      <c r="E397" s="41"/>
      <c r="F397" s="41"/>
    </row>
    <row r="398" ht="15.75" customHeight="1">
      <c r="B398" s="41"/>
      <c r="C398" s="41"/>
      <c r="D398" s="41"/>
      <c r="E398" s="41"/>
      <c r="F398" s="41"/>
    </row>
    <row r="399" ht="15.75" customHeight="1">
      <c r="B399" s="41"/>
      <c r="C399" s="41"/>
      <c r="D399" s="41"/>
      <c r="E399" s="41"/>
      <c r="F399" s="41"/>
    </row>
    <row r="400" ht="15.75" customHeight="1">
      <c r="B400" s="41"/>
      <c r="C400" s="41"/>
      <c r="D400" s="41"/>
      <c r="E400" s="41"/>
      <c r="F400" s="41"/>
    </row>
    <row r="401" ht="15.75" customHeight="1">
      <c r="B401" s="41"/>
      <c r="C401" s="41"/>
      <c r="D401" s="41"/>
      <c r="E401" s="41"/>
      <c r="F401" s="41"/>
    </row>
    <row r="402" ht="15.75" customHeight="1">
      <c r="B402" s="41"/>
      <c r="C402" s="41"/>
      <c r="D402" s="41"/>
      <c r="E402" s="41"/>
      <c r="F402" s="41"/>
    </row>
    <row r="403" ht="15.75" customHeight="1">
      <c r="B403" s="41"/>
      <c r="C403" s="41"/>
      <c r="D403" s="41"/>
      <c r="E403" s="41"/>
      <c r="F403" s="41"/>
    </row>
    <row r="404" ht="15.75" customHeight="1">
      <c r="B404" s="41"/>
      <c r="C404" s="41"/>
      <c r="D404" s="41"/>
      <c r="E404" s="41"/>
      <c r="F404" s="41"/>
    </row>
    <row r="405" ht="15.75" customHeight="1">
      <c r="B405" s="41"/>
      <c r="C405" s="41"/>
      <c r="D405" s="41"/>
      <c r="E405" s="41"/>
      <c r="F405" s="41"/>
    </row>
    <row r="406" ht="15.75" customHeight="1">
      <c r="B406" s="41"/>
      <c r="C406" s="41"/>
      <c r="D406" s="41"/>
      <c r="E406" s="41"/>
      <c r="F406" s="41"/>
    </row>
    <row r="407" ht="15.75" customHeight="1">
      <c r="B407" s="41"/>
      <c r="C407" s="41"/>
      <c r="D407" s="41"/>
      <c r="E407" s="41"/>
      <c r="F407" s="41"/>
    </row>
    <row r="408" ht="15.75" customHeight="1">
      <c r="B408" s="41"/>
      <c r="C408" s="41"/>
      <c r="D408" s="41"/>
      <c r="E408" s="41"/>
      <c r="F408" s="41"/>
    </row>
    <row r="409" ht="15.75" customHeight="1">
      <c r="B409" s="41"/>
      <c r="C409" s="41"/>
      <c r="D409" s="41"/>
      <c r="E409" s="41"/>
      <c r="F409" s="41"/>
    </row>
    <row r="410" ht="15.75" customHeight="1">
      <c r="B410" s="41"/>
      <c r="C410" s="41"/>
      <c r="D410" s="41"/>
      <c r="E410" s="41"/>
      <c r="F410" s="41"/>
    </row>
    <row r="411" ht="15.75" customHeight="1">
      <c r="B411" s="41"/>
      <c r="C411" s="41"/>
      <c r="D411" s="41"/>
      <c r="E411" s="41"/>
      <c r="F411" s="41"/>
    </row>
    <row r="412" ht="15.75" customHeight="1">
      <c r="B412" s="41"/>
      <c r="C412" s="41"/>
      <c r="D412" s="41"/>
      <c r="E412" s="41"/>
      <c r="F412" s="41"/>
    </row>
    <row r="413" ht="15.75" customHeight="1">
      <c r="B413" s="41"/>
      <c r="C413" s="41"/>
      <c r="D413" s="41"/>
      <c r="E413" s="41"/>
      <c r="F413" s="41"/>
    </row>
    <row r="414" ht="15.75" customHeight="1">
      <c r="B414" s="41"/>
      <c r="C414" s="41"/>
      <c r="D414" s="41"/>
      <c r="E414" s="41"/>
      <c r="F414" s="41"/>
    </row>
    <row r="415" ht="15.75" customHeight="1">
      <c r="B415" s="41"/>
      <c r="C415" s="41"/>
      <c r="D415" s="41"/>
      <c r="E415" s="41"/>
      <c r="F415" s="41"/>
    </row>
    <row r="416" ht="15.75" customHeight="1">
      <c r="B416" s="41"/>
      <c r="C416" s="41"/>
      <c r="D416" s="41"/>
      <c r="E416" s="41"/>
      <c r="F416" s="41"/>
    </row>
    <row r="417" ht="15.75" customHeight="1">
      <c r="B417" s="41"/>
      <c r="C417" s="41"/>
      <c r="D417" s="41"/>
      <c r="E417" s="41"/>
      <c r="F417" s="41"/>
    </row>
    <row r="418" ht="15.75" customHeight="1">
      <c r="B418" s="41"/>
      <c r="C418" s="41"/>
      <c r="D418" s="41"/>
      <c r="E418" s="41"/>
      <c r="F418" s="41"/>
    </row>
    <row r="419" ht="15.75" customHeight="1">
      <c r="B419" s="41"/>
      <c r="C419" s="41"/>
      <c r="D419" s="41"/>
      <c r="E419" s="41"/>
      <c r="F419" s="41"/>
    </row>
    <row r="420" ht="15.75" customHeight="1">
      <c r="B420" s="41"/>
      <c r="C420" s="41"/>
      <c r="D420" s="41"/>
      <c r="E420" s="41"/>
      <c r="F420" s="41"/>
    </row>
    <row r="421" ht="15.75" customHeight="1">
      <c r="B421" s="41"/>
      <c r="C421" s="41"/>
      <c r="D421" s="41"/>
      <c r="E421" s="41"/>
      <c r="F421" s="41"/>
    </row>
    <row r="422" ht="15.75" customHeight="1">
      <c r="B422" s="41"/>
      <c r="C422" s="41"/>
      <c r="D422" s="41"/>
      <c r="E422" s="41"/>
      <c r="F422" s="41"/>
    </row>
    <row r="423" ht="15.75" customHeight="1">
      <c r="B423" s="41"/>
      <c r="C423" s="41"/>
      <c r="D423" s="41"/>
      <c r="E423" s="41"/>
      <c r="F423" s="41"/>
    </row>
    <row r="424" ht="15.75" customHeight="1">
      <c r="B424" s="41"/>
      <c r="C424" s="41"/>
      <c r="D424" s="41"/>
      <c r="E424" s="41"/>
      <c r="F424" s="41"/>
    </row>
    <row r="425" ht="15.75" customHeight="1">
      <c r="B425" s="41"/>
      <c r="C425" s="41"/>
      <c r="D425" s="41"/>
      <c r="E425" s="41"/>
      <c r="F425" s="41"/>
    </row>
    <row r="426" ht="15.75" customHeight="1">
      <c r="B426" s="41"/>
      <c r="C426" s="41"/>
      <c r="D426" s="41"/>
      <c r="E426" s="41"/>
      <c r="F426" s="41"/>
    </row>
    <row r="427" ht="15.75" customHeight="1">
      <c r="B427" s="41"/>
      <c r="C427" s="41"/>
      <c r="D427" s="41"/>
      <c r="E427" s="41"/>
      <c r="F427" s="41"/>
    </row>
    <row r="428" ht="15.75" customHeight="1">
      <c r="B428" s="41"/>
      <c r="C428" s="41"/>
      <c r="D428" s="41"/>
      <c r="E428" s="41"/>
      <c r="F428" s="41"/>
    </row>
    <row r="429" ht="15.75" customHeight="1">
      <c r="B429" s="41"/>
      <c r="C429" s="41"/>
      <c r="D429" s="41"/>
      <c r="E429" s="41"/>
      <c r="F429" s="41"/>
    </row>
    <row r="430" ht="15.75" customHeight="1">
      <c r="B430" s="41"/>
      <c r="C430" s="41"/>
      <c r="D430" s="41"/>
      <c r="E430" s="41"/>
      <c r="F430" s="41"/>
    </row>
    <row r="431" ht="15.75" customHeight="1">
      <c r="B431" s="41"/>
      <c r="C431" s="41"/>
      <c r="D431" s="41"/>
      <c r="E431" s="41"/>
      <c r="F431" s="41"/>
    </row>
    <row r="432" ht="15.75" customHeight="1">
      <c r="B432" s="41"/>
      <c r="C432" s="41"/>
      <c r="D432" s="41"/>
      <c r="E432" s="41"/>
      <c r="F432" s="41"/>
    </row>
    <row r="433" ht="15.75" customHeight="1">
      <c r="B433" s="41"/>
      <c r="C433" s="41"/>
      <c r="D433" s="41"/>
      <c r="E433" s="41"/>
      <c r="F433" s="41"/>
    </row>
    <row r="434" ht="15.75" customHeight="1">
      <c r="B434" s="41"/>
      <c r="C434" s="41"/>
      <c r="D434" s="41"/>
      <c r="E434" s="41"/>
      <c r="F434" s="41"/>
    </row>
    <row r="435" ht="15.75" customHeight="1">
      <c r="B435" s="41"/>
      <c r="C435" s="41"/>
      <c r="D435" s="41"/>
      <c r="E435" s="41"/>
      <c r="F435" s="41"/>
    </row>
    <row r="436" ht="15.75" customHeight="1">
      <c r="B436" s="41"/>
      <c r="C436" s="41"/>
      <c r="D436" s="41"/>
      <c r="E436" s="41"/>
      <c r="F436" s="41"/>
    </row>
    <row r="437" ht="15.75" customHeight="1">
      <c r="B437" s="41"/>
      <c r="C437" s="41"/>
      <c r="D437" s="41"/>
      <c r="E437" s="41"/>
      <c r="F437" s="41"/>
    </row>
    <row r="438" ht="15.75" customHeight="1">
      <c r="B438" s="41"/>
      <c r="C438" s="41"/>
      <c r="D438" s="41"/>
      <c r="E438" s="41"/>
      <c r="F438" s="41"/>
    </row>
    <row r="439" ht="15.75" customHeight="1">
      <c r="B439" s="41"/>
      <c r="C439" s="41"/>
      <c r="D439" s="41"/>
      <c r="E439" s="41"/>
      <c r="F439" s="41"/>
    </row>
    <row r="440" ht="15.75" customHeight="1">
      <c r="B440" s="41"/>
      <c r="C440" s="41"/>
      <c r="D440" s="41"/>
      <c r="E440" s="41"/>
      <c r="F440" s="41"/>
    </row>
    <row r="441" ht="15.75" customHeight="1">
      <c r="B441" s="41"/>
      <c r="C441" s="41"/>
      <c r="D441" s="41"/>
      <c r="E441" s="41"/>
      <c r="F441" s="41"/>
    </row>
    <row r="442" ht="15.75" customHeight="1">
      <c r="B442" s="41"/>
      <c r="C442" s="41"/>
      <c r="D442" s="41"/>
      <c r="E442" s="41"/>
      <c r="F442" s="41"/>
    </row>
    <row r="443" ht="15.75" customHeight="1">
      <c r="B443" s="41"/>
      <c r="C443" s="41"/>
      <c r="D443" s="41"/>
      <c r="E443" s="41"/>
      <c r="F443" s="41"/>
    </row>
    <row r="444" ht="15.75" customHeight="1">
      <c r="B444" s="41"/>
      <c r="C444" s="41"/>
      <c r="D444" s="41"/>
      <c r="E444" s="41"/>
      <c r="F444" s="41"/>
    </row>
    <row r="445" ht="15.75" customHeight="1">
      <c r="B445" s="41"/>
      <c r="C445" s="41"/>
      <c r="D445" s="41"/>
      <c r="E445" s="41"/>
      <c r="F445" s="41"/>
    </row>
    <row r="446" ht="15.75" customHeight="1">
      <c r="B446" s="41"/>
      <c r="C446" s="41"/>
      <c r="D446" s="41"/>
      <c r="E446" s="41"/>
      <c r="F446" s="41"/>
    </row>
    <row r="447" ht="15.75" customHeight="1">
      <c r="B447" s="41"/>
      <c r="C447" s="41"/>
      <c r="D447" s="41"/>
      <c r="E447" s="41"/>
      <c r="F447" s="41"/>
    </row>
    <row r="448" ht="15.75" customHeight="1">
      <c r="B448" s="41"/>
      <c r="C448" s="41"/>
      <c r="D448" s="41"/>
      <c r="E448" s="41"/>
      <c r="F448" s="41"/>
    </row>
    <row r="449" ht="15.75" customHeight="1">
      <c r="B449" s="41"/>
      <c r="C449" s="41"/>
      <c r="D449" s="41"/>
      <c r="E449" s="41"/>
      <c r="F449" s="41"/>
    </row>
    <row r="450" ht="15.75" customHeight="1">
      <c r="B450" s="41"/>
      <c r="C450" s="41"/>
      <c r="D450" s="41"/>
      <c r="E450" s="41"/>
      <c r="F450" s="41"/>
    </row>
    <row r="451" ht="15.75" customHeight="1">
      <c r="B451" s="41"/>
      <c r="C451" s="41"/>
      <c r="D451" s="41"/>
      <c r="E451" s="41"/>
      <c r="F451" s="41"/>
    </row>
    <row r="452" ht="15.75" customHeight="1">
      <c r="B452" s="41"/>
      <c r="C452" s="41"/>
      <c r="D452" s="41"/>
      <c r="E452" s="41"/>
      <c r="F452" s="41"/>
    </row>
    <row r="453" ht="15.75" customHeight="1">
      <c r="B453" s="41"/>
      <c r="C453" s="41"/>
      <c r="D453" s="41"/>
      <c r="E453" s="41"/>
      <c r="F453" s="41"/>
    </row>
    <row r="454" ht="15.75" customHeight="1">
      <c r="B454" s="41"/>
      <c r="C454" s="41"/>
      <c r="D454" s="41"/>
      <c r="E454" s="41"/>
      <c r="F454" s="41"/>
    </row>
    <row r="455" ht="15.75" customHeight="1">
      <c r="B455" s="41"/>
      <c r="C455" s="41"/>
      <c r="D455" s="41"/>
      <c r="E455" s="41"/>
      <c r="F455" s="41"/>
    </row>
    <row r="456" ht="15.75" customHeight="1">
      <c r="B456" s="41"/>
      <c r="C456" s="41"/>
      <c r="D456" s="41"/>
      <c r="E456" s="41"/>
      <c r="F456" s="41"/>
    </row>
    <row r="457" ht="15.75" customHeight="1">
      <c r="B457" s="41"/>
      <c r="C457" s="41"/>
      <c r="D457" s="41"/>
      <c r="E457" s="41"/>
      <c r="F457" s="41"/>
    </row>
    <row r="458" ht="15.75" customHeight="1">
      <c r="B458" s="41"/>
      <c r="C458" s="41"/>
      <c r="D458" s="41"/>
      <c r="E458" s="41"/>
      <c r="F458" s="41"/>
    </row>
    <row r="459" ht="15.75" customHeight="1">
      <c r="B459" s="41"/>
      <c r="C459" s="41"/>
      <c r="D459" s="41"/>
      <c r="E459" s="41"/>
      <c r="F459" s="41"/>
    </row>
    <row r="460" ht="15.75" customHeight="1">
      <c r="B460" s="41"/>
      <c r="C460" s="41"/>
      <c r="D460" s="41"/>
      <c r="E460" s="41"/>
      <c r="F460" s="41"/>
    </row>
    <row r="461" ht="15.75" customHeight="1">
      <c r="B461" s="41"/>
      <c r="C461" s="41"/>
      <c r="D461" s="41"/>
      <c r="E461" s="41"/>
      <c r="F461" s="41"/>
    </row>
    <row r="462" ht="15.75" customHeight="1">
      <c r="B462" s="41"/>
      <c r="C462" s="41"/>
      <c r="D462" s="41"/>
      <c r="E462" s="41"/>
      <c r="F462" s="41"/>
    </row>
    <row r="463" ht="15.75" customHeight="1">
      <c r="B463" s="41"/>
      <c r="C463" s="41"/>
      <c r="D463" s="41"/>
      <c r="E463" s="41"/>
      <c r="F463" s="41"/>
    </row>
    <row r="464" ht="15.75" customHeight="1">
      <c r="B464" s="41"/>
      <c r="C464" s="41"/>
      <c r="D464" s="41"/>
      <c r="E464" s="41"/>
      <c r="F464" s="41"/>
    </row>
    <row r="465" ht="15.75" customHeight="1">
      <c r="B465" s="41"/>
      <c r="C465" s="41"/>
      <c r="D465" s="41"/>
      <c r="E465" s="41"/>
      <c r="F465" s="41"/>
    </row>
    <row r="466" ht="15.75" customHeight="1">
      <c r="B466" s="41"/>
      <c r="C466" s="41"/>
      <c r="D466" s="41"/>
      <c r="E466" s="41"/>
      <c r="F466" s="41"/>
    </row>
    <row r="467" ht="15.75" customHeight="1">
      <c r="B467" s="41"/>
      <c r="C467" s="41"/>
      <c r="D467" s="41"/>
      <c r="E467" s="41"/>
      <c r="F467" s="41"/>
    </row>
    <row r="468" ht="15.75" customHeight="1">
      <c r="B468" s="41"/>
      <c r="C468" s="41"/>
      <c r="D468" s="41"/>
      <c r="E468" s="41"/>
      <c r="F468" s="41"/>
    </row>
    <row r="469" ht="15.75" customHeight="1">
      <c r="B469" s="41"/>
      <c r="C469" s="41"/>
      <c r="D469" s="41"/>
      <c r="E469" s="41"/>
      <c r="F469" s="41"/>
    </row>
    <row r="470" ht="15.75" customHeight="1">
      <c r="B470" s="41"/>
      <c r="C470" s="41"/>
      <c r="D470" s="41"/>
      <c r="E470" s="41"/>
      <c r="F470" s="41"/>
    </row>
    <row r="471" ht="15.75" customHeight="1">
      <c r="B471" s="41"/>
      <c r="C471" s="41"/>
      <c r="D471" s="41"/>
      <c r="E471" s="41"/>
      <c r="F471" s="41"/>
    </row>
    <row r="472" ht="15.75" customHeight="1">
      <c r="B472" s="41"/>
      <c r="C472" s="41"/>
      <c r="D472" s="41"/>
      <c r="E472" s="41"/>
      <c r="F472" s="41"/>
    </row>
    <row r="473" ht="15.75" customHeight="1">
      <c r="B473" s="41"/>
      <c r="C473" s="41"/>
      <c r="D473" s="41"/>
      <c r="E473" s="41"/>
      <c r="F473" s="41"/>
    </row>
    <row r="474" ht="15.75" customHeight="1">
      <c r="B474" s="41"/>
      <c r="C474" s="41"/>
      <c r="D474" s="41"/>
      <c r="E474" s="41"/>
      <c r="F474" s="41"/>
    </row>
    <row r="475" ht="15.75" customHeight="1">
      <c r="B475" s="41"/>
      <c r="C475" s="41"/>
      <c r="D475" s="41"/>
      <c r="E475" s="41"/>
      <c r="F475" s="41"/>
    </row>
    <row r="476" ht="15.75" customHeight="1">
      <c r="B476" s="41"/>
      <c r="C476" s="41"/>
      <c r="D476" s="41"/>
      <c r="E476" s="41"/>
      <c r="F476" s="41"/>
    </row>
    <row r="477" ht="15.75" customHeight="1">
      <c r="B477" s="41"/>
      <c r="C477" s="41"/>
      <c r="D477" s="41"/>
      <c r="E477" s="41"/>
      <c r="F477" s="41"/>
    </row>
    <row r="478" ht="15.75" customHeight="1">
      <c r="B478" s="41"/>
      <c r="C478" s="41"/>
      <c r="D478" s="41"/>
      <c r="E478" s="41"/>
      <c r="F478" s="41"/>
    </row>
    <row r="479" ht="15.75" customHeight="1">
      <c r="B479" s="41"/>
      <c r="C479" s="41"/>
      <c r="D479" s="41"/>
      <c r="E479" s="41"/>
      <c r="F479" s="41"/>
    </row>
    <row r="480" ht="15.75" customHeight="1">
      <c r="B480" s="41"/>
      <c r="C480" s="41"/>
      <c r="D480" s="41"/>
      <c r="E480" s="41"/>
      <c r="F480" s="41"/>
    </row>
    <row r="481" ht="15.75" customHeight="1">
      <c r="B481" s="41"/>
      <c r="C481" s="41"/>
      <c r="D481" s="41"/>
      <c r="E481" s="41"/>
      <c r="F481" s="41"/>
    </row>
    <row r="482" ht="15.75" customHeight="1">
      <c r="B482" s="41"/>
      <c r="C482" s="41"/>
      <c r="D482" s="41"/>
      <c r="E482" s="41"/>
      <c r="F482" s="41"/>
    </row>
    <row r="483" ht="15.75" customHeight="1">
      <c r="B483" s="41"/>
      <c r="C483" s="41"/>
      <c r="D483" s="41"/>
      <c r="E483" s="41"/>
      <c r="F483" s="41"/>
    </row>
    <row r="484" ht="15.75" customHeight="1">
      <c r="B484" s="41"/>
      <c r="C484" s="41"/>
      <c r="D484" s="41"/>
      <c r="E484" s="41"/>
      <c r="F484" s="41"/>
    </row>
    <row r="485" ht="15.75" customHeight="1">
      <c r="B485" s="41"/>
      <c r="C485" s="41"/>
      <c r="D485" s="41"/>
      <c r="E485" s="41"/>
      <c r="F485" s="41"/>
    </row>
    <row r="486" ht="15.75" customHeight="1">
      <c r="B486" s="41"/>
      <c r="C486" s="41"/>
      <c r="D486" s="41"/>
      <c r="E486" s="41"/>
      <c r="F486" s="41"/>
    </row>
    <row r="487" ht="15.75" customHeight="1">
      <c r="B487" s="41"/>
      <c r="C487" s="41"/>
      <c r="D487" s="41"/>
      <c r="E487" s="41"/>
      <c r="F487" s="41"/>
    </row>
    <row r="488" ht="15.75" customHeight="1">
      <c r="B488" s="41"/>
      <c r="C488" s="41"/>
      <c r="D488" s="41"/>
      <c r="E488" s="41"/>
      <c r="F488" s="41"/>
    </row>
    <row r="489" ht="15.75" customHeight="1">
      <c r="B489" s="41"/>
      <c r="C489" s="41"/>
      <c r="D489" s="41"/>
      <c r="E489" s="41"/>
      <c r="F489" s="41"/>
    </row>
    <row r="490" ht="15.75" customHeight="1">
      <c r="B490" s="41"/>
      <c r="C490" s="41"/>
      <c r="D490" s="41"/>
      <c r="E490" s="41"/>
      <c r="F490" s="41"/>
    </row>
    <row r="491" ht="15.75" customHeight="1">
      <c r="B491" s="41"/>
      <c r="C491" s="41"/>
      <c r="D491" s="41"/>
      <c r="E491" s="41"/>
      <c r="F491" s="41"/>
    </row>
    <row r="492" ht="15.75" customHeight="1">
      <c r="B492" s="41"/>
      <c r="C492" s="41"/>
      <c r="D492" s="41"/>
      <c r="E492" s="41"/>
      <c r="F492" s="41"/>
    </row>
    <row r="493" ht="15.75" customHeight="1">
      <c r="B493" s="41"/>
      <c r="C493" s="41"/>
      <c r="D493" s="41"/>
      <c r="E493" s="41"/>
      <c r="F493" s="41"/>
    </row>
    <row r="494" ht="15.75" customHeight="1">
      <c r="B494" s="41"/>
      <c r="C494" s="41"/>
      <c r="D494" s="41"/>
      <c r="E494" s="41"/>
      <c r="F494" s="41"/>
    </row>
    <row r="495" ht="15.75" customHeight="1">
      <c r="B495" s="41"/>
      <c r="C495" s="41"/>
      <c r="D495" s="41"/>
      <c r="E495" s="41"/>
      <c r="F495" s="41"/>
    </row>
    <row r="496" ht="15.75" customHeight="1">
      <c r="B496" s="41"/>
      <c r="C496" s="41"/>
      <c r="D496" s="41"/>
      <c r="E496" s="41"/>
      <c r="F496" s="41"/>
    </row>
    <row r="497" ht="15.75" customHeight="1">
      <c r="B497" s="41"/>
      <c r="C497" s="41"/>
      <c r="D497" s="41"/>
      <c r="E497" s="41"/>
      <c r="F497" s="41"/>
    </row>
    <row r="498" ht="15.75" customHeight="1">
      <c r="B498" s="41"/>
      <c r="C498" s="41"/>
      <c r="D498" s="41"/>
      <c r="E498" s="41"/>
      <c r="F498" s="41"/>
    </row>
    <row r="499" ht="15.75" customHeight="1">
      <c r="B499" s="41"/>
      <c r="C499" s="41"/>
      <c r="D499" s="41"/>
      <c r="E499" s="41"/>
      <c r="F499" s="41"/>
    </row>
    <row r="500" ht="15.75" customHeight="1">
      <c r="B500" s="41"/>
      <c r="C500" s="41"/>
      <c r="D500" s="41"/>
      <c r="E500" s="41"/>
      <c r="F500" s="41"/>
    </row>
    <row r="501" ht="15.75" customHeight="1">
      <c r="B501" s="41"/>
      <c r="C501" s="41"/>
      <c r="D501" s="41"/>
      <c r="E501" s="41"/>
      <c r="F501" s="41"/>
    </row>
    <row r="502" ht="15.75" customHeight="1">
      <c r="B502" s="41"/>
      <c r="C502" s="41"/>
      <c r="D502" s="41"/>
      <c r="E502" s="41"/>
      <c r="F502" s="41"/>
    </row>
    <row r="503" ht="15.75" customHeight="1">
      <c r="B503" s="41"/>
      <c r="C503" s="41"/>
      <c r="D503" s="41"/>
      <c r="E503" s="41"/>
      <c r="F503" s="41"/>
    </row>
    <row r="504" ht="15.75" customHeight="1">
      <c r="B504" s="41"/>
      <c r="C504" s="41"/>
      <c r="D504" s="41"/>
      <c r="E504" s="41"/>
      <c r="F504" s="41"/>
    </row>
    <row r="505" ht="15.75" customHeight="1">
      <c r="B505" s="41"/>
      <c r="C505" s="41"/>
      <c r="D505" s="41"/>
      <c r="E505" s="41"/>
      <c r="F505" s="41"/>
    </row>
    <row r="506" ht="15.75" customHeight="1">
      <c r="B506" s="41"/>
      <c r="C506" s="41"/>
      <c r="D506" s="41"/>
      <c r="E506" s="41"/>
      <c r="F506" s="41"/>
    </row>
    <row r="507" ht="15.75" customHeight="1">
      <c r="B507" s="41"/>
      <c r="C507" s="41"/>
      <c r="D507" s="41"/>
      <c r="E507" s="41"/>
      <c r="F507" s="41"/>
    </row>
    <row r="508" ht="15.75" customHeight="1">
      <c r="B508" s="41"/>
      <c r="C508" s="41"/>
      <c r="D508" s="41"/>
      <c r="E508" s="41"/>
      <c r="F508" s="41"/>
    </row>
    <row r="509" ht="15.75" customHeight="1">
      <c r="B509" s="41"/>
      <c r="C509" s="41"/>
      <c r="D509" s="41"/>
      <c r="E509" s="41"/>
      <c r="F509" s="41"/>
    </row>
    <row r="510" ht="15.75" customHeight="1">
      <c r="B510" s="41"/>
      <c r="C510" s="41"/>
      <c r="D510" s="41"/>
      <c r="E510" s="41"/>
      <c r="F510" s="41"/>
    </row>
    <row r="511" ht="15.75" customHeight="1">
      <c r="B511" s="41"/>
      <c r="C511" s="41"/>
      <c r="D511" s="41"/>
      <c r="E511" s="41"/>
      <c r="F511" s="41"/>
    </row>
    <row r="512" ht="15.75" customHeight="1">
      <c r="B512" s="41"/>
      <c r="C512" s="41"/>
      <c r="D512" s="41"/>
      <c r="E512" s="41"/>
      <c r="F512" s="41"/>
    </row>
    <row r="513" ht="15.75" customHeight="1">
      <c r="B513" s="41"/>
      <c r="C513" s="41"/>
      <c r="D513" s="41"/>
      <c r="E513" s="41"/>
      <c r="F513" s="41"/>
    </row>
    <row r="514" ht="15.75" customHeight="1">
      <c r="B514" s="41"/>
      <c r="C514" s="41"/>
      <c r="D514" s="41"/>
      <c r="E514" s="41"/>
      <c r="F514" s="41"/>
    </row>
    <row r="515" ht="15.75" customHeight="1">
      <c r="B515" s="41"/>
      <c r="C515" s="41"/>
      <c r="D515" s="41"/>
      <c r="E515" s="41"/>
      <c r="F515" s="41"/>
    </row>
    <row r="516" ht="15.75" customHeight="1">
      <c r="B516" s="41"/>
      <c r="C516" s="41"/>
      <c r="D516" s="41"/>
      <c r="E516" s="41"/>
      <c r="F516" s="41"/>
    </row>
    <row r="517" ht="15.75" customHeight="1">
      <c r="B517" s="41"/>
      <c r="C517" s="41"/>
      <c r="D517" s="41"/>
      <c r="E517" s="41"/>
      <c r="F517" s="41"/>
    </row>
    <row r="518" ht="15.75" customHeight="1">
      <c r="B518" s="41"/>
      <c r="C518" s="41"/>
      <c r="D518" s="41"/>
      <c r="E518" s="41"/>
      <c r="F518" s="41"/>
    </row>
    <row r="519" ht="15.75" customHeight="1">
      <c r="B519" s="41"/>
      <c r="C519" s="41"/>
      <c r="D519" s="41"/>
      <c r="E519" s="41"/>
      <c r="F519" s="41"/>
    </row>
    <row r="520" ht="15.75" customHeight="1">
      <c r="B520" s="41"/>
      <c r="C520" s="41"/>
      <c r="D520" s="41"/>
      <c r="E520" s="41"/>
      <c r="F520" s="41"/>
    </row>
    <row r="521" ht="15.75" customHeight="1">
      <c r="B521" s="41"/>
      <c r="C521" s="41"/>
      <c r="D521" s="41"/>
      <c r="E521" s="41"/>
      <c r="F521" s="41"/>
    </row>
    <row r="522" ht="15.75" customHeight="1">
      <c r="B522" s="41"/>
      <c r="C522" s="41"/>
      <c r="D522" s="41"/>
      <c r="E522" s="41"/>
      <c r="F522" s="41"/>
    </row>
    <row r="523" ht="15.75" customHeight="1">
      <c r="B523" s="41"/>
      <c r="C523" s="41"/>
      <c r="D523" s="41"/>
      <c r="E523" s="41"/>
      <c r="F523" s="41"/>
    </row>
    <row r="524" ht="15.75" customHeight="1">
      <c r="B524" s="41"/>
      <c r="C524" s="41"/>
      <c r="D524" s="41"/>
      <c r="E524" s="41"/>
      <c r="F524" s="41"/>
    </row>
    <row r="525" ht="15.75" customHeight="1">
      <c r="B525" s="41"/>
      <c r="C525" s="41"/>
      <c r="D525" s="41"/>
      <c r="E525" s="41"/>
      <c r="F525" s="41"/>
    </row>
    <row r="526" ht="15.75" customHeight="1">
      <c r="B526" s="41"/>
      <c r="C526" s="41"/>
      <c r="D526" s="41"/>
      <c r="E526" s="41"/>
      <c r="F526" s="41"/>
    </row>
    <row r="527" ht="15.75" customHeight="1">
      <c r="B527" s="41"/>
      <c r="C527" s="41"/>
      <c r="D527" s="41"/>
      <c r="E527" s="41"/>
      <c r="F527" s="41"/>
    </row>
    <row r="528" ht="15.75" customHeight="1">
      <c r="B528" s="41"/>
      <c r="C528" s="41"/>
      <c r="D528" s="41"/>
      <c r="E528" s="41"/>
      <c r="F528" s="41"/>
    </row>
    <row r="529" ht="15.75" customHeight="1">
      <c r="B529" s="41"/>
      <c r="C529" s="41"/>
      <c r="D529" s="41"/>
      <c r="E529" s="41"/>
      <c r="F529" s="41"/>
    </row>
    <row r="530" ht="15.75" customHeight="1">
      <c r="B530" s="41"/>
      <c r="C530" s="41"/>
      <c r="D530" s="41"/>
      <c r="E530" s="41"/>
      <c r="F530" s="41"/>
    </row>
    <row r="531" ht="15.75" customHeight="1">
      <c r="B531" s="41"/>
      <c r="C531" s="41"/>
      <c r="D531" s="41"/>
      <c r="E531" s="41"/>
      <c r="F531" s="41"/>
    </row>
    <row r="532" ht="15.75" customHeight="1">
      <c r="B532" s="41"/>
      <c r="C532" s="41"/>
      <c r="D532" s="41"/>
      <c r="E532" s="41"/>
      <c r="F532" s="41"/>
    </row>
    <row r="533" ht="15.75" customHeight="1">
      <c r="B533" s="41"/>
      <c r="C533" s="41"/>
      <c r="D533" s="41"/>
      <c r="E533" s="41"/>
      <c r="F533" s="41"/>
    </row>
    <row r="534" ht="15.75" customHeight="1">
      <c r="B534" s="41"/>
      <c r="C534" s="41"/>
      <c r="D534" s="41"/>
      <c r="E534" s="41"/>
      <c r="F534" s="41"/>
    </row>
    <row r="535" ht="15.75" customHeight="1">
      <c r="B535" s="41"/>
      <c r="C535" s="41"/>
      <c r="D535" s="41"/>
      <c r="E535" s="41"/>
      <c r="F535" s="41"/>
    </row>
    <row r="536" ht="15.75" customHeight="1">
      <c r="B536" s="41"/>
      <c r="C536" s="41"/>
      <c r="D536" s="41"/>
      <c r="E536" s="41"/>
      <c r="F536" s="41"/>
    </row>
    <row r="537" ht="15.75" customHeight="1">
      <c r="B537" s="41"/>
      <c r="C537" s="41"/>
      <c r="D537" s="41"/>
      <c r="E537" s="41"/>
      <c r="F537" s="41"/>
    </row>
    <row r="538" ht="15.75" customHeight="1">
      <c r="B538" s="41"/>
      <c r="C538" s="41"/>
      <c r="D538" s="41"/>
      <c r="E538" s="41"/>
      <c r="F538" s="41"/>
    </row>
    <row r="539" ht="15.75" customHeight="1">
      <c r="B539" s="41"/>
      <c r="C539" s="41"/>
      <c r="D539" s="41"/>
      <c r="E539" s="41"/>
      <c r="F539" s="41"/>
    </row>
    <row r="540" ht="15.75" customHeight="1">
      <c r="B540" s="41"/>
      <c r="C540" s="41"/>
      <c r="D540" s="41"/>
      <c r="E540" s="41"/>
      <c r="F540" s="41"/>
    </row>
    <row r="541" ht="15.75" customHeight="1">
      <c r="B541" s="41"/>
      <c r="C541" s="41"/>
      <c r="D541" s="41"/>
      <c r="E541" s="41"/>
      <c r="F541" s="41"/>
    </row>
    <row r="542" ht="15.75" customHeight="1">
      <c r="B542" s="41"/>
      <c r="C542" s="41"/>
      <c r="D542" s="41"/>
      <c r="E542" s="41"/>
      <c r="F542" s="41"/>
    </row>
    <row r="543" ht="15.75" customHeight="1">
      <c r="B543" s="41"/>
      <c r="C543" s="41"/>
      <c r="D543" s="41"/>
      <c r="E543" s="41"/>
      <c r="F543" s="41"/>
    </row>
    <row r="544" ht="15.75" customHeight="1">
      <c r="B544" s="41"/>
      <c r="C544" s="41"/>
      <c r="D544" s="41"/>
      <c r="E544" s="41"/>
      <c r="F544" s="41"/>
    </row>
    <row r="545" ht="15.75" customHeight="1">
      <c r="B545" s="41"/>
      <c r="C545" s="41"/>
      <c r="D545" s="41"/>
      <c r="E545" s="41"/>
      <c r="F545" s="41"/>
    </row>
    <row r="546" ht="15.75" customHeight="1">
      <c r="B546" s="41"/>
      <c r="C546" s="41"/>
      <c r="D546" s="41"/>
      <c r="E546" s="41"/>
      <c r="F546" s="41"/>
    </row>
    <row r="547" ht="15.75" customHeight="1">
      <c r="B547" s="41"/>
      <c r="C547" s="41"/>
      <c r="D547" s="41"/>
      <c r="E547" s="41"/>
      <c r="F547" s="41"/>
    </row>
    <row r="548" ht="15.75" customHeight="1">
      <c r="B548" s="41"/>
      <c r="C548" s="41"/>
      <c r="D548" s="41"/>
      <c r="E548" s="41"/>
      <c r="F548" s="41"/>
    </row>
    <row r="549" ht="15.75" customHeight="1">
      <c r="B549" s="41"/>
      <c r="C549" s="41"/>
      <c r="D549" s="41"/>
      <c r="E549" s="41"/>
      <c r="F549" s="41"/>
    </row>
    <row r="550" ht="15.75" customHeight="1">
      <c r="B550" s="41"/>
      <c r="C550" s="41"/>
      <c r="D550" s="41"/>
      <c r="E550" s="41"/>
      <c r="F550" s="41"/>
    </row>
    <row r="551" ht="15.75" customHeight="1">
      <c r="B551" s="41"/>
      <c r="C551" s="41"/>
      <c r="D551" s="41"/>
      <c r="E551" s="41"/>
      <c r="F551" s="41"/>
    </row>
    <row r="552" ht="15.75" customHeight="1">
      <c r="B552" s="41"/>
      <c r="C552" s="41"/>
      <c r="D552" s="41"/>
      <c r="E552" s="41"/>
      <c r="F552" s="41"/>
    </row>
    <row r="553" ht="15.75" customHeight="1">
      <c r="B553" s="41"/>
      <c r="C553" s="41"/>
      <c r="D553" s="41"/>
      <c r="E553" s="41"/>
      <c r="F553" s="41"/>
    </row>
    <row r="554" ht="15.75" customHeight="1">
      <c r="B554" s="41"/>
      <c r="C554" s="41"/>
      <c r="D554" s="41"/>
      <c r="E554" s="41"/>
      <c r="F554" s="41"/>
    </row>
    <row r="555" ht="15.75" customHeight="1">
      <c r="B555" s="41"/>
      <c r="C555" s="41"/>
      <c r="D555" s="41"/>
      <c r="E555" s="41"/>
      <c r="F555" s="41"/>
    </row>
    <row r="556" ht="15.75" customHeight="1">
      <c r="B556" s="41"/>
      <c r="C556" s="41"/>
      <c r="D556" s="41"/>
      <c r="E556" s="41"/>
      <c r="F556" s="41"/>
    </row>
    <row r="557" ht="15.75" customHeight="1">
      <c r="B557" s="41"/>
      <c r="C557" s="41"/>
      <c r="D557" s="41"/>
      <c r="E557" s="41"/>
      <c r="F557" s="41"/>
    </row>
    <row r="558" ht="15.75" customHeight="1">
      <c r="B558" s="41"/>
      <c r="C558" s="41"/>
      <c r="D558" s="41"/>
      <c r="E558" s="41"/>
      <c r="F558" s="41"/>
    </row>
    <row r="559" ht="15.75" customHeight="1">
      <c r="B559" s="41"/>
      <c r="C559" s="41"/>
      <c r="D559" s="41"/>
      <c r="E559" s="41"/>
      <c r="F559" s="41"/>
    </row>
    <row r="560" ht="15.75" customHeight="1">
      <c r="B560" s="41"/>
      <c r="C560" s="41"/>
      <c r="D560" s="41"/>
      <c r="E560" s="41"/>
      <c r="F560" s="41"/>
    </row>
    <row r="561" ht="15.75" customHeight="1">
      <c r="B561" s="41"/>
      <c r="C561" s="41"/>
      <c r="D561" s="41"/>
      <c r="E561" s="41"/>
      <c r="F561" s="41"/>
    </row>
    <row r="562" ht="15.75" customHeight="1">
      <c r="B562" s="41"/>
      <c r="C562" s="41"/>
      <c r="D562" s="41"/>
      <c r="E562" s="41"/>
      <c r="F562" s="41"/>
    </row>
    <row r="563" ht="15.75" customHeight="1">
      <c r="B563" s="41"/>
      <c r="C563" s="41"/>
      <c r="D563" s="41"/>
      <c r="E563" s="41"/>
      <c r="F563" s="41"/>
    </row>
    <row r="564" ht="15.75" customHeight="1">
      <c r="B564" s="41"/>
      <c r="C564" s="41"/>
      <c r="D564" s="41"/>
      <c r="E564" s="41"/>
      <c r="F564" s="41"/>
    </row>
    <row r="565" ht="15.75" customHeight="1">
      <c r="B565" s="41"/>
      <c r="C565" s="41"/>
      <c r="D565" s="41"/>
      <c r="E565" s="41"/>
      <c r="F565" s="41"/>
    </row>
    <row r="566" ht="15.75" customHeight="1">
      <c r="B566" s="41"/>
      <c r="C566" s="41"/>
      <c r="D566" s="41"/>
      <c r="E566" s="41"/>
      <c r="F566" s="41"/>
    </row>
    <row r="567" ht="15.75" customHeight="1">
      <c r="B567" s="41"/>
      <c r="C567" s="41"/>
      <c r="D567" s="41"/>
      <c r="E567" s="41"/>
      <c r="F567" s="41"/>
    </row>
    <row r="568" ht="15.75" customHeight="1">
      <c r="B568" s="41"/>
      <c r="C568" s="41"/>
      <c r="D568" s="41"/>
      <c r="E568" s="41"/>
      <c r="F568" s="41"/>
    </row>
    <row r="569" ht="15.75" customHeight="1">
      <c r="B569" s="41"/>
      <c r="C569" s="41"/>
      <c r="D569" s="41"/>
      <c r="E569" s="41"/>
      <c r="F569" s="41"/>
    </row>
    <row r="570" ht="15.75" customHeight="1">
      <c r="B570" s="41"/>
      <c r="C570" s="41"/>
      <c r="D570" s="41"/>
      <c r="E570" s="41"/>
      <c r="F570" s="41"/>
    </row>
    <row r="571" ht="15.75" customHeight="1">
      <c r="B571" s="41"/>
      <c r="C571" s="41"/>
      <c r="D571" s="41"/>
      <c r="E571" s="41"/>
      <c r="F571" s="41"/>
    </row>
    <row r="572" ht="15.75" customHeight="1">
      <c r="B572" s="41"/>
      <c r="C572" s="41"/>
      <c r="D572" s="41"/>
      <c r="E572" s="41"/>
      <c r="F572" s="41"/>
    </row>
    <row r="573" ht="15.75" customHeight="1">
      <c r="B573" s="41"/>
      <c r="C573" s="41"/>
      <c r="D573" s="41"/>
      <c r="E573" s="41"/>
      <c r="F573" s="41"/>
    </row>
    <row r="574" ht="15.75" customHeight="1">
      <c r="B574" s="41"/>
      <c r="C574" s="41"/>
      <c r="D574" s="41"/>
      <c r="E574" s="41"/>
      <c r="F574" s="41"/>
    </row>
    <row r="575" ht="15.75" customHeight="1">
      <c r="B575" s="41"/>
      <c r="C575" s="41"/>
      <c r="D575" s="41"/>
      <c r="E575" s="41"/>
      <c r="F575" s="41"/>
    </row>
    <row r="576" ht="15.75" customHeight="1">
      <c r="B576" s="41"/>
      <c r="C576" s="41"/>
      <c r="D576" s="41"/>
      <c r="E576" s="41"/>
      <c r="F576" s="41"/>
    </row>
    <row r="577" ht="15.75" customHeight="1">
      <c r="B577" s="41"/>
      <c r="C577" s="41"/>
      <c r="D577" s="41"/>
      <c r="E577" s="41"/>
      <c r="F577" s="41"/>
    </row>
    <row r="578" ht="15.75" customHeight="1">
      <c r="B578" s="41"/>
      <c r="C578" s="41"/>
      <c r="D578" s="41"/>
      <c r="E578" s="41"/>
      <c r="F578" s="41"/>
    </row>
    <row r="579" ht="15.75" customHeight="1">
      <c r="B579" s="41"/>
      <c r="C579" s="41"/>
      <c r="D579" s="41"/>
      <c r="E579" s="41"/>
      <c r="F579" s="41"/>
    </row>
    <row r="580" ht="15.75" customHeight="1">
      <c r="B580" s="41"/>
      <c r="C580" s="41"/>
      <c r="D580" s="41"/>
      <c r="E580" s="41"/>
      <c r="F580" s="41"/>
    </row>
    <row r="581" ht="15.75" customHeight="1">
      <c r="B581" s="41"/>
      <c r="C581" s="41"/>
      <c r="D581" s="41"/>
      <c r="E581" s="41"/>
      <c r="F581" s="41"/>
    </row>
    <row r="582" ht="15.75" customHeight="1">
      <c r="B582" s="41"/>
      <c r="C582" s="41"/>
      <c r="D582" s="41"/>
      <c r="E582" s="41"/>
      <c r="F582" s="41"/>
    </row>
    <row r="583" ht="15.75" customHeight="1">
      <c r="B583" s="41"/>
      <c r="C583" s="41"/>
      <c r="D583" s="41"/>
      <c r="E583" s="41"/>
      <c r="F583" s="41"/>
    </row>
    <row r="584" ht="15.75" customHeight="1">
      <c r="B584" s="41"/>
      <c r="C584" s="41"/>
      <c r="D584" s="41"/>
      <c r="E584" s="41"/>
      <c r="F584" s="41"/>
    </row>
    <row r="585" ht="15.75" customHeight="1">
      <c r="B585" s="41"/>
      <c r="C585" s="41"/>
      <c r="D585" s="41"/>
      <c r="E585" s="41"/>
      <c r="F585" s="41"/>
    </row>
    <row r="586" ht="15.75" customHeight="1">
      <c r="B586" s="41"/>
      <c r="C586" s="41"/>
      <c r="D586" s="41"/>
      <c r="E586" s="41"/>
      <c r="F586" s="41"/>
    </row>
    <row r="587" ht="15.75" customHeight="1">
      <c r="B587" s="41"/>
      <c r="C587" s="41"/>
      <c r="D587" s="41"/>
      <c r="E587" s="41"/>
      <c r="F587" s="41"/>
    </row>
    <row r="588" ht="15.75" customHeight="1">
      <c r="B588" s="41"/>
      <c r="C588" s="41"/>
      <c r="D588" s="41"/>
      <c r="E588" s="41"/>
      <c r="F588" s="41"/>
    </row>
    <row r="589" ht="15.75" customHeight="1">
      <c r="B589" s="41"/>
      <c r="C589" s="41"/>
      <c r="D589" s="41"/>
      <c r="E589" s="41"/>
      <c r="F589" s="41"/>
    </row>
    <row r="590" ht="15.75" customHeight="1">
      <c r="B590" s="41"/>
      <c r="C590" s="41"/>
      <c r="D590" s="41"/>
      <c r="E590" s="41"/>
      <c r="F590" s="41"/>
    </row>
    <row r="591" ht="15.75" customHeight="1">
      <c r="B591" s="41"/>
      <c r="C591" s="41"/>
      <c r="D591" s="41"/>
      <c r="E591" s="41"/>
      <c r="F591" s="41"/>
    </row>
    <row r="592" ht="15.75" customHeight="1">
      <c r="B592" s="41"/>
      <c r="C592" s="41"/>
      <c r="D592" s="41"/>
      <c r="E592" s="41"/>
      <c r="F592" s="41"/>
    </row>
    <row r="593" ht="15.75" customHeight="1">
      <c r="B593" s="41"/>
      <c r="C593" s="41"/>
      <c r="D593" s="41"/>
      <c r="E593" s="41"/>
      <c r="F593" s="41"/>
    </row>
    <row r="594" ht="15.75" customHeight="1">
      <c r="B594" s="41"/>
      <c r="C594" s="41"/>
      <c r="D594" s="41"/>
      <c r="E594" s="41"/>
      <c r="F594" s="41"/>
    </row>
    <row r="595" ht="15.75" customHeight="1">
      <c r="B595" s="41"/>
      <c r="C595" s="41"/>
      <c r="D595" s="41"/>
      <c r="E595" s="41"/>
      <c r="F595" s="41"/>
    </row>
    <row r="596" ht="15.75" customHeight="1">
      <c r="B596" s="41"/>
      <c r="C596" s="41"/>
      <c r="D596" s="41"/>
      <c r="E596" s="41"/>
      <c r="F596" s="41"/>
    </row>
    <row r="597" ht="15.75" customHeight="1">
      <c r="B597" s="41"/>
      <c r="C597" s="41"/>
      <c r="D597" s="41"/>
      <c r="E597" s="41"/>
      <c r="F597" s="41"/>
    </row>
    <row r="598" ht="15.75" customHeight="1">
      <c r="B598" s="41"/>
      <c r="C598" s="41"/>
      <c r="D598" s="41"/>
      <c r="E598" s="41"/>
      <c r="F598" s="41"/>
    </row>
    <row r="599" ht="15.75" customHeight="1">
      <c r="B599" s="41"/>
      <c r="C599" s="41"/>
      <c r="D599" s="41"/>
      <c r="E599" s="41"/>
      <c r="F599" s="41"/>
    </row>
    <row r="600" ht="15.75" customHeight="1">
      <c r="B600" s="41"/>
      <c r="C600" s="41"/>
      <c r="D600" s="41"/>
      <c r="E600" s="41"/>
      <c r="F600" s="41"/>
    </row>
    <row r="601" ht="15.75" customHeight="1">
      <c r="B601" s="41"/>
      <c r="C601" s="41"/>
      <c r="D601" s="41"/>
      <c r="E601" s="41"/>
      <c r="F601" s="41"/>
    </row>
    <row r="602" ht="15.75" customHeight="1">
      <c r="B602" s="41"/>
      <c r="C602" s="41"/>
      <c r="D602" s="41"/>
      <c r="E602" s="41"/>
      <c r="F602" s="41"/>
    </row>
    <row r="603" ht="15.75" customHeight="1">
      <c r="B603" s="41"/>
      <c r="C603" s="41"/>
      <c r="D603" s="41"/>
      <c r="E603" s="41"/>
      <c r="F603" s="41"/>
    </row>
    <row r="604" ht="15.75" customHeight="1">
      <c r="B604" s="41"/>
      <c r="C604" s="41"/>
      <c r="D604" s="41"/>
      <c r="E604" s="41"/>
      <c r="F604" s="41"/>
    </row>
    <row r="605" ht="15.75" customHeight="1">
      <c r="B605" s="41"/>
      <c r="C605" s="41"/>
      <c r="D605" s="41"/>
      <c r="E605" s="41"/>
      <c r="F605" s="41"/>
    </row>
    <row r="606" ht="15.75" customHeight="1">
      <c r="B606" s="41"/>
      <c r="C606" s="41"/>
      <c r="D606" s="41"/>
      <c r="E606" s="41"/>
      <c r="F606" s="41"/>
    </row>
    <row r="607" ht="15.75" customHeight="1">
      <c r="B607" s="41"/>
      <c r="C607" s="41"/>
      <c r="D607" s="41"/>
      <c r="E607" s="41"/>
      <c r="F607" s="41"/>
    </row>
    <row r="608" ht="15.75" customHeight="1">
      <c r="B608" s="41"/>
      <c r="C608" s="41"/>
      <c r="D608" s="41"/>
      <c r="E608" s="41"/>
      <c r="F608" s="41"/>
    </row>
    <row r="609" ht="15.75" customHeight="1">
      <c r="B609" s="41"/>
      <c r="C609" s="41"/>
      <c r="D609" s="41"/>
      <c r="E609" s="41"/>
      <c r="F609" s="41"/>
    </row>
    <row r="610" ht="15.75" customHeight="1">
      <c r="B610" s="41"/>
      <c r="C610" s="41"/>
      <c r="D610" s="41"/>
      <c r="E610" s="41"/>
      <c r="F610" s="41"/>
    </row>
    <row r="611" ht="15.75" customHeight="1">
      <c r="B611" s="41"/>
      <c r="C611" s="41"/>
      <c r="D611" s="41"/>
      <c r="E611" s="41"/>
      <c r="F611" s="41"/>
    </row>
    <row r="612" ht="15.75" customHeight="1">
      <c r="B612" s="41"/>
      <c r="C612" s="41"/>
      <c r="D612" s="41"/>
      <c r="E612" s="41"/>
      <c r="F612" s="41"/>
    </row>
    <row r="613" ht="15.75" customHeight="1">
      <c r="B613" s="41"/>
      <c r="C613" s="41"/>
      <c r="D613" s="41"/>
      <c r="E613" s="41"/>
      <c r="F613" s="41"/>
    </row>
    <row r="614" ht="15.75" customHeight="1">
      <c r="B614" s="41"/>
      <c r="C614" s="41"/>
      <c r="D614" s="41"/>
      <c r="E614" s="41"/>
      <c r="F614" s="41"/>
    </row>
    <row r="615" ht="15.75" customHeight="1">
      <c r="B615" s="41"/>
      <c r="C615" s="41"/>
      <c r="D615" s="41"/>
      <c r="E615" s="41"/>
      <c r="F615" s="41"/>
    </row>
    <row r="616" ht="15.75" customHeight="1">
      <c r="B616" s="41"/>
      <c r="C616" s="41"/>
      <c r="D616" s="41"/>
      <c r="E616" s="41"/>
      <c r="F616" s="41"/>
    </row>
    <row r="617" ht="15.75" customHeight="1">
      <c r="B617" s="41"/>
      <c r="C617" s="41"/>
      <c r="D617" s="41"/>
      <c r="E617" s="41"/>
      <c r="F617" s="41"/>
    </row>
    <row r="618" ht="15.75" customHeight="1">
      <c r="B618" s="41"/>
      <c r="C618" s="41"/>
      <c r="D618" s="41"/>
      <c r="E618" s="41"/>
      <c r="F618" s="41"/>
    </row>
    <row r="619" ht="15.75" customHeight="1">
      <c r="B619" s="41"/>
      <c r="C619" s="41"/>
      <c r="D619" s="41"/>
      <c r="E619" s="41"/>
      <c r="F619" s="41"/>
    </row>
    <row r="620" ht="15.75" customHeight="1">
      <c r="B620" s="41"/>
      <c r="C620" s="41"/>
      <c r="D620" s="41"/>
      <c r="E620" s="41"/>
      <c r="F620" s="41"/>
    </row>
    <row r="621" ht="15.75" customHeight="1">
      <c r="B621" s="41"/>
      <c r="C621" s="41"/>
      <c r="D621" s="41"/>
      <c r="E621" s="41"/>
      <c r="F621" s="41"/>
    </row>
    <row r="622" ht="15.75" customHeight="1">
      <c r="B622" s="41"/>
      <c r="C622" s="41"/>
      <c r="D622" s="41"/>
      <c r="E622" s="41"/>
      <c r="F622" s="41"/>
    </row>
    <row r="623" ht="15.75" customHeight="1">
      <c r="B623" s="41"/>
      <c r="C623" s="41"/>
      <c r="D623" s="41"/>
      <c r="E623" s="41"/>
      <c r="F623" s="41"/>
    </row>
    <row r="624" ht="15.75" customHeight="1">
      <c r="B624" s="41"/>
      <c r="C624" s="41"/>
      <c r="D624" s="41"/>
      <c r="E624" s="41"/>
      <c r="F624" s="41"/>
    </row>
    <row r="625" ht="15.75" customHeight="1">
      <c r="B625" s="41"/>
      <c r="C625" s="41"/>
      <c r="D625" s="41"/>
      <c r="E625" s="41"/>
      <c r="F625" s="41"/>
    </row>
    <row r="626" ht="15.75" customHeight="1">
      <c r="B626" s="41"/>
      <c r="C626" s="41"/>
      <c r="D626" s="41"/>
      <c r="E626" s="41"/>
      <c r="F626" s="41"/>
    </row>
    <row r="627" ht="15.75" customHeight="1">
      <c r="B627" s="41"/>
      <c r="C627" s="41"/>
      <c r="D627" s="41"/>
      <c r="E627" s="41"/>
      <c r="F627" s="41"/>
    </row>
    <row r="628" ht="15.75" customHeight="1">
      <c r="B628" s="41"/>
      <c r="C628" s="41"/>
      <c r="D628" s="41"/>
      <c r="E628" s="41"/>
      <c r="F628" s="41"/>
    </row>
    <row r="629" ht="15.75" customHeight="1">
      <c r="B629" s="41"/>
      <c r="C629" s="41"/>
      <c r="D629" s="41"/>
      <c r="E629" s="41"/>
      <c r="F629" s="41"/>
    </row>
    <row r="630" ht="15.75" customHeight="1">
      <c r="B630" s="41"/>
      <c r="C630" s="41"/>
      <c r="D630" s="41"/>
      <c r="E630" s="41"/>
      <c r="F630" s="41"/>
    </row>
    <row r="631" ht="15.75" customHeight="1">
      <c r="B631" s="41"/>
      <c r="C631" s="41"/>
      <c r="D631" s="41"/>
      <c r="E631" s="41"/>
      <c r="F631" s="41"/>
    </row>
    <row r="632" ht="15.75" customHeight="1">
      <c r="B632" s="41"/>
      <c r="C632" s="41"/>
      <c r="D632" s="41"/>
      <c r="E632" s="41"/>
      <c r="F632" s="41"/>
    </row>
    <row r="633" ht="15.75" customHeight="1">
      <c r="B633" s="41"/>
      <c r="C633" s="41"/>
      <c r="D633" s="41"/>
      <c r="E633" s="41"/>
      <c r="F633" s="41"/>
    </row>
    <row r="634" ht="15.75" customHeight="1">
      <c r="B634" s="41"/>
      <c r="C634" s="41"/>
      <c r="D634" s="41"/>
      <c r="E634" s="41"/>
      <c r="F634" s="41"/>
    </row>
    <row r="635" ht="15.75" customHeight="1">
      <c r="B635" s="41"/>
      <c r="C635" s="41"/>
      <c r="D635" s="41"/>
      <c r="E635" s="41"/>
      <c r="F635" s="41"/>
    </row>
    <row r="636" ht="15.75" customHeight="1">
      <c r="B636" s="41"/>
      <c r="C636" s="41"/>
      <c r="D636" s="41"/>
      <c r="E636" s="41"/>
      <c r="F636" s="41"/>
    </row>
    <row r="637" ht="15.75" customHeight="1">
      <c r="B637" s="41"/>
      <c r="C637" s="41"/>
      <c r="D637" s="41"/>
      <c r="E637" s="41"/>
      <c r="F637" s="41"/>
    </row>
    <row r="638" ht="15.75" customHeight="1">
      <c r="B638" s="41"/>
      <c r="C638" s="41"/>
      <c r="D638" s="41"/>
      <c r="E638" s="41"/>
      <c r="F638" s="41"/>
    </row>
    <row r="639" ht="15.75" customHeight="1">
      <c r="B639" s="41"/>
      <c r="C639" s="41"/>
      <c r="D639" s="41"/>
      <c r="E639" s="41"/>
      <c r="F639" s="41"/>
    </row>
    <row r="640" ht="15.75" customHeight="1">
      <c r="B640" s="41"/>
      <c r="C640" s="41"/>
      <c r="D640" s="41"/>
      <c r="E640" s="41"/>
      <c r="F640" s="41"/>
    </row>
    <row r="641" ht="15.75" customHeight="1">
      <c r="B641" s="41"/>
      <c r="C641" s="41"/>
      <c r="D641" s="41"/>
      <c r="E641" s="41"/>
      <c r="F641" s="41"/>
    </row>
    <row r="642" ht="15.75" customHeight="1">
      <c r="B642" s="41"/>
      <c r="C642" s="41"/>
      <c r="D642" s="41"/>
      <c r="E642" s="41"/>
      <c r="F642" s="41"/>
    </row>
    <row r="643" ht="15.75" customHeight="1">
      <c r="B643" s="41"/>
      <c r="C643" s="41"/>
      <c r="D643" s="41"/>
      <c r="E643" s="41"/>
      <c r="F643" s="41"/>
    </row>
    <row r="644" ht="15.75" customHeight="1">
      <c r="B644" s="41"/>
      <c r="C644" s="41"/>
      <c r="D644" s="41"/>
      <c r="E644" s="41"/>
      <c r="F644" s="41"/>
    </row>
    <row r="645" ht="15.75" customHeight="1">
      <c r="B645" s="41"/>
      <c r="C645" s="41"/>
      <c r="D645" s="41"/>
      <c r="E645" s="41"/>
      <c r="F645" s="41"/>
    </row>
    <row r="646" ht="15.75" customHeight="1">
      <c r="B646" s="41"/>
      <c r="C646" s="41"/>
      <c r="D646" s="41"/>
      <c r="E646" s="41"/>
      <c r="F646" s="41"/>
    </row>
    <row r="647" ht="15.75" customHeight="1">
      <c r="B647" s="41"/>
      <c r="C647" s="41"/>
      <c r="D647" s="41"/>
      <c r="E647" s="41"/>
      <c r="F647" s="41"/>
    </row>
    <row r="648" ht="15.75" customHeight="1">
      <c r="B648" s="41"/>
      <c r="C648" s="41"/>
      <c r="D648" s="41"/>
      <c r="E648" s="41"/>
      <c r="F648" s="41"/>
    </row>
    <row r="649" ht="15.75" customHeight="1">
      <c r="B649" s="41"/>
      <c r="C649" s="41"/>
      <c r="D649" s="41"/>
      <c r="E649" s="41"/>
      <c r="F649" s="41"/>
    </row>
    <row r="650" ht="15.75" customHeight="1">
      <c r="B650" s="41"/>
      <c r="C650" s="41"/>
      <c r="D650" s="41"/>
      <c r="E650" s="41"/>
      <c r="F650" s="41"/>
    </row>
    <row r="651" ht="15.75" customHeight="1">
      <c r="B651" s="41"/>
      <c r="C651" s="41"/>
      <c r="D651" s="41"/>
      <c r="E651" s="41"/>
      <c r="F651" s="41"/>
    </row>
    <row r="652" ht="15.75" customHeight="1">
      <c r="B652" s="41"/>
      <c r="C652" s="41"/>
      <c r="D652" s="41"/>
      <c r="E652" s="41"/>
      <c r="F652" s="41"/>
    </row>
    <row r="653" ht="15.75" customHeight="1">
      <c r="B653" s="41"/>
      <c r="C653" s="41"/>
      <c r="D653" s="41"/>
      <c r="E653" s="41"/>
      <c r="F653" s="41"/>
    </row>
    <row r="654" ht="15.75" customHeight="1">
      <c r="B654" s="41"/>
      <c r="C654" s="41"/>
      <c r="D654" s="41"/>
      <c r="E654" s="41"/>
      <c r="F654" s="41"/>
    </row>
    <row r="655" ht="15.75" customHeight="1">
      <c r="B655" s="41"/>
      <c r="C655" s="41"/>
      <c r="D655" s="41"/>
      <c r="E655" s="41"/>
      <c r="F655" s="41"/>
    </row>
    <row r="656" ht="15.75" customHeight="1">
      <c r="B656" s="41"/>
      <c r="C656" s="41"/>
      <c r="D656" s="41"/>
      <c r="E656" s="41"/>
      <c r="F656" s="41"/>
    </row>
    <row r="657" ht="15.75" customHeight="1">
      <c r="B657" s="41"/>
      <c r="C657" s="41"/>
      <c r="D657" s="41"/>
      <c r="E657" s="41"/>
      <c r="F657" s="41"/>
    </row>
    <row r="658" ht="15.75" customHeight="1">
      <c r="B658" s="41"/>
      <c r="C658" s="41"/>
      <c r="D658" s="41"/>
      <c r="E658" s="41"/>
      <c r="F658" s="41"/>
    </row>
    <row r="659" ht="15.75" customHeight="1">
      <c r="B659" s="41"/>
      <c r="C659" s="41"/>
      <c r="D659" s="41"/>
      <c r="E659" s="41"/>
      <c r="F659" s="41"/>
    </row>
    <row r="660" ht="15.75" customHeight="1">
      <c r="B660" s="41"/>
      <c r="C660" s="41"/>
      <c r="D660" s="41"/>
      <c r="E660" s="41"/>
      <c r="F660" s="41"/>
    </row>
    <row r="661" ht="15.75" customHeight="1">
      <c r="B661" s="41"/>
      <c r="C661" s="41"/>
      <c r="D661" s="41"/>
      <c r="E661" s="41"/>
      <c r="F661" s="41"/>
    </row>
    <row r="662" ht="15.75" customHeight="1">
      <c r="B662" s="41"/>
      <c r="C662" s="41"/>
      <c r="D662" s="41"/>
      <c r="E662" s="41"/>
      <c r="F662" s="41"/>
    </row>
    <row r="663" ht="15.75" customHeight="1">
      <c r="B663" s="41"/>
      <c r="C663" s="41"/>
      <c r="D663" s="41"/>
      <c r="E663" s="41"/>
      <c r="F663" s="41"/>
    </row>
    <row r="664" ht="15.75" customHeight="1">
      <c r="B664" s="41"/>
      <c r="C664" s="41"/>
      <c r="D664" s="41"/>
      <c r="E664" s="41"/>
      <c r="F664" s="41"/>
    </row>
    <row r="665" ht="15.75" customHeight="1">
      <c r="B665" s="41"/>
      <c r="C665" s="41"/>
      <c r="D665" s="41"/>
      <c r="E665" s="41"/>
      <c r="F665" s="41"/>
    </row>
    <row r="666" ht="15.75" customHeight="1">
      <c r="B666" s="41"/>
      <c r="C666" s="41"/>
      <c r="D666" s="41"/>
      <c r="E666" s="41"/>
      <c r="F666" s="41"/>
    </row>
    <row r="667" ht="15.75" customHeight="1">
      <c r="B667" s="41"/>
      <c r="C667" s="41"/>
      <c r="D667" s="41"/>
      <c r="E667" s="41"/>
      <c r="F667" s="41"/>
    </row>
    <row r="668" ht="15.75" customHeight="1">
      <c r="B668" s="41"/>
      <c r="C668" s="41"/>
      <c r="D668" s="41"/>
      <c r="E668" s="41"/>
      <c r="F668" s="41"/>
    </row>
    <row r="669" ht="15.75" customHeight="1">
      <c r="B669" s="41"/>
      <c r="C669" s="41"/>
      <c r="D669" s="41"/>
      <c r="E669" s="41"/>
      <c r="F669" s="41"/>
    </row>
    <row r="670" ht="15.75" customHeight="1">
      <c r="B670" s="41"/>
      <c r="C670" s="41"/>
      <c r="D670" s="41"/>
      <c r="E670" s="41"/>
      <c r="F670" s="41"/>
    </row>
    <row r="671" ht="15.75" customHeight="1">
      <c r="B671" s="41"/>
      <c r="C671" s="41"/>
      <c r="D671" s="41"/>
      <c r="E671" s="41"/>
      <c r="F671" s="41"/>
    </row>
    <row r="672" ht="15.75" customHeight="1">
      <c r="B672" s="41"/>
      <c r="C672" s="41"/>
      <c r="D672" s="41"/>
      <c r="E672" s="41"/>
      <c r="F672" s="41"/>
    </row>
    <row r="673" ht="15.75" customHeight="1">
      <c r="B673" s="41"/>
      <c r="C673" s="41"/>
      <c r="D673" s="41"/>
      <c r="E673" s="41"/>
      <c r="F673" s="41"/>
    </row>
    <row r="674" ht="15.75" customHeight="1">
      <c r="B674" s="41"/>
      <c r="C674" s="41"/>
      <c r="D674" s="41"/>
      <c r="E674" s="41"/>
      <c r="F674" s="41"/>
    </row>
    <row r="675" ht="15.75" customHeight="1">
      <c r="B675" s="41"/>
      <c r="C675" s="41"/>
      <c r="D675" s="41"/>
      <c r="E675" s="41"/>
      <c r="F675" s="41"/>
    </row>
    <row r="676" ht="15.75" customHeight="1">
      <c r="B676" s="41"/>
      <c r="C676" s="41"/>
      <c r="D676" s="41"/>
      <c r="E676" s="41"/>
      <c r="F676" s="41"/>
    </row>
    <row r="677" ht="15.75" customHeight="1">
      <c r="B677" s="41"/>
      <c r="C677" s="41"/>
      <c r="D677" s="41"/>
      <c r="E677" s="41"/>
      <c r="F677" s="41"/>
    </row>
    <row r="678" ht="15.75" customHeight="1">
      <c r="B678" s="41"/>
      <c r="C678" s="41"/>
      <c r="D678" s="41"/>
      <c r="E678" s="41"/>
      <c r="F678" s="41"/>
    </row>
    <row r="679" ht="15.75" customHeight="1">
      <c r="B679" s="41"/>
      <c r="C679" s="41"/>
      <c r="D679" s="41"/>
      <c r="E679" s="41"/>
      <c r="F679" s="41"/>
    </row>
    <row r="680" ht="15.75" customHeight="1">
      <c r="B680" s="41"/>
      <c r="C680" s="41"/>
      <c r="D680" s="41"/>
      <c r="E680" s="41"/>
      <c r="F680" s="41"/>
    </row>
    <row r="681" ht="15.75" customHeight="1">
      <c r="B681" s="41"/>
      <c r="C681" s="41"/>
      <c r="D681" s="41"/>
      <c r="E681" s="41"/>
      <c r="F681" s="41"/>
    </row>
    <row r="682" ht="15.75" customHeight="1">
      <c r="B682" s="41"/>
      <c r="C682" s="41"/>
      <c r="D682" s="41"/>
      <c r="E682" s="41"/>
      <c r="F682" s="41"/>
    </row>
    <row r="683" ht="15.75" customHeight="1">
      <c r="B683" s="41"/>
      <c r="C683" s="41"/>
      <c r="D683" s="41"/>
      <c r="E683" s="41"/>
      <c r="F683" s="41"/>
    </row>
    <row r="684" ht="15.75" customHeight="1">
      <c r="B684" s="41"/>
      <c r="C684" s="41"/>
      <c r="D684" s="41"/>
      <c r="E684" s="41"/>
      <c r="F684" s="41"/>
    </row>
    <row r="685" ht="15.75" customHeight="1">
      <c r="B685" s="41"/>
      <c r="C685" s="41"/>
      <c r="D685" s="41"/>
      <c r="E685" s="41"/>
      <c r="F685" s="41"/>
    </row>
    <row r="686" ht="15.75" customHeight="1">
      <c r="B686" s="41"/>
      <c r="C686" s="41"/>
      <c r="D686" s="41"/>
      <c r="E686" s="41"/>
      <c r="F686" s="41"/>
    </row>
    <row r="687" ht="15.75" customHeight="1">
      <c r="B687" s="41"/>
      <c r="C687" s="41"/>
      <c r="D687" s="41"/>
      <c r="E687" s="41"/>
      <c r="F687" s="41"/>
    </row>
    <row r="688" ht="15.75" customHeight="1">
      <c r="B688" s="41"/>
      <c r="C688" s="41"/>
      <c r="D688" s="41"/>
      <c r="E688" s="41"/>
      <c r="F688" s="41"/>
    </row>
    <row r="689" ht="15.75" customHeight="1">
      <c r="B689" s="41"/>
      <c r="C689" s="41"/>
      <c r="D689" s="41"/>
      <c r="E689" s="41"/>
      <c r="F689" s="41"/>
    </row>
    <row r="690" ht="15.75" customHeight="1">
      <c r="B690" s="41"/>
      <c r="C690" s="41"/>
      <c r="D690" s="41"/>
      <c r="E690" s="41"/>
      <c r="F690" s="41"/>
    </row>
    <row r="691" ht="15.75" customHeight="1">
      <c r="B691" s="41"/>
      <c r="C691" s="41"/>
      <c r="D691" s="41"/>
      <c r="E691" s="41"/>
      <c r="F691" s="41"/>
    </row>
    <row r="692" ht="15.75" customHeight="1">
      <c r="B692" s="41"/>
      <c r="C692" s="41"/>
      <c r="D692" s="41"/>
      <c r="E692" s="41"/>
      <c r="F692" s="41"/>
    </row>
    <row r="693" ht="15.75" customHeight="1">
      <c r="B693" s="41"/>
      <c r="C693" s="41"/>
      <c r="D693" s="41"/>
      <c r="E693" s="41"/>
      <c r="F693" s="41"/>
    </row>
    <row r="694" ht="15.75" customHeight="1">
      <c r="B694" s="41"/>
      <c r="C694" s="41"/>
      <c r="D694" s="41"/>
      <c r="E694" s="41"/>
      <c r="F694" s="41"/>
    </row>
    <row r="695" ht="15.75" customHeight="1">
      <c r="B695" s="41"/>
      <c r="C695" s="41"/>
      <c r="D695" s="41"/>
      <c r="E695" s="41"/>
      <c r="F695" s="41"/>
    </row>
    <row r="696" ht="15.75" customHeight="1">
      <c r="B696" s="41"/>
      <c r="C696" s="41"/>
      <c r="D696" s="41"/>
      <c r="E696" s="41"/>
      <c r="F696" s="41"/>
    </row>
    <row r="697" ht="15.75" customHeight="1">
      <c r="B697" s="41"/>
      <c r="C697" s="41"/>
      <c r="D697" s="41"/>
      <c r="E697" s="41"/>
      <c r="F697" s="41"/>
    </row>
    <row r="698" ht="15.75" customHeight="1">
      <c r="B698" s="41"/>
      <c r="C698" s="41"/>
      <c r="D698" s="41"/>
      <c r="E698" s="41"/>
      <c r="F698" s="41"/>
    </row>
    <row r="699" ht="15.75" customHeight="1">
      <c r="B699" s="41"/>
      <c r="C699" s="41"/>
      <c r="D699" s="41"/>
      <c r="E699" s="41"/>
      <c r="F699" s="41"/>
    </row>
    <row r="700" ht="15.75" customHeight="1">
      <c r="B700" s="41"/>
      <c r="C700" s="41"/>
      <c r="D700" s="41"/>
      <c r="E700" s="41"/>
      <c r="F700" s="41"/>
    </row>
    <row r="701" ht="15.75" customHeight="1">
      <c r="B701" s="41"/>
      <c r="C701" s="41"/>
      <c r="D701" s="41"/>
      <c r="E701" s="41"/>
      <c r="F701" s="41"/>
    </row>
    <row r="702" ht="15.75" customHeight="1">
      <c r="B702" s="41"/>
      <c r="C702" s="41"/>
      <c r="D702" s="41"/>
      <c r="E702" s="41"/>
      <c r="F702" s="41"/>
    </row>
    <row r="703" ht="15.75" customHeight="1">
      <c r="B703" s="41"/>
      <c r="C703" s="41"/>
      <c r="D703" s="41"/>
      <c r="E703" s="41"/>
      <c r="F703" s="41"/>
    </row>
    <row r="704" ht="15.75" customHeight="1">
      <c r="B704" s="41"/>
      <c r="C704" s="41"/>
      <c r="D704" s="41"/>
      <c r="E704" s="41"/>
      <c r="F704" s="41"/>
    </row>
    <row r="705" ht="15.75" customHeight="1">
      <c r="B705" s="41"/>
      <c r="C705" s="41"/>
      <c r="D705" s="41"/>
      <c r="E705" s="41"/>
      <c r="F705" s="41"/>
    </row>
    <row r="706" ht="15.75" customHeight="1">
      <c r="B706" s="41"/>
      <c r="C706" s="41"/>
      <c r="D706" s="41"/>
      <c r="E706" s="41"/>
      <c r="F706" s="41"/>
    </row>
    <row r="707" ht="15.75" customHeight="1">
      <c r="B707" s="41"/>
      <c r="C707" s="41"/>
      <c r="D707" s="41"/>
      <c r="E707" s="41"/>
      <c r="F707" s="41"/>
    </row>
    <row r="708" ht="15.75" customHeight="1">
      <c r="B708" s="41"/>
      <c r="C708" s="41"/>
      <c r="D708" s="41"/>
      <c r="E708" s="41"/>
      <c r="F708" s="41"/>
    </row>
    <row r="709" ht="15.75" customHeight="1">
      <c r="B709" s="41"/>
      <c r="C709" s="41"/>
      <c r="D709" s="41"/>
      <c r="E709" s="41"/>
      <c r="F709" s="41"/>
    </row>
    <row r="710" ht="15.75" customHeight="1">
      <c r="B710" s="41"/>
      <c r="C710" s="41"/>
      <c r="D710" s="41"/>
      <c r="E710" s="41"/>
      <c r="F710" s="41"/>
    </row>
    <row r="711" ht="15.75" customHeight="1">
      <c r="B711" s="41"/>
      <c r="C711" s="41"/>
      <c r="D711" s="41"/>
      <c r="E711" s="41"/>
      <c r="F711" s="41"/>
    </row>
    <row r="712" ht="15.75" customHeight="1">
      <c r="B712" s="41"/>
      <c r="C712" s="41"/>
      <c r="D712" s="41"/>
      <c r="E712" s="41"/>
      <c r="F712" s="41"/>
    </row>
    <row r="713" ht="15.75" customHeight="1">
      <c r="B713" s="41"/>
      <c r="C713" s="41"/>
      <c r="D713" s="41"/>
      <c r="E713" s="41"/>
      <c r="F713" s="41"/>
    </row>
    <row r="714" ht="15.75" customHeight="1">
      <c r="B714" s="41"/>
      <c r="C714" s="41"/>
      <c r="D714" s="41"/>
      <c r="E714" s="41"/>
      <c r="F714" s="41"/>
    </row>
    <row r="715" ht="15.75" customHeight="1">
      <c r="B715" s="41"/>
      <c r="C715" s="41"/>
      <c r="D715" s="41"/>
      <c r="E715" s="41"/>
      <c r="F715" s="41"/>
    </row>
    <row r="716" ht="15.75" customHeight="1">
      <c r="B716" s="41"/>
      <c r="C716" s="41"/>
      <c r="D716" s="41"/>
      <c r="E716" s="41"/>
      <c r="F716" s="41"/>
    </row>
    <row r="717" ht="15.75" customHeight="1">
      <c r="B717" s="41"/>
      <c r="C717" s="41"/>
      <c r="D717" s="41"/>
      <c r="E717" s="41"/>
      <c r="F717" s="41"/>
    </row>
    <row r="718" ht="15.75" customHeight="1">
      <c r="B718" s="41"/>
      <c r="C718" s="41"/>
      <c r="D718" s="41"/>
      <c r="E718" s="41"/>
      <c r="F718" s="41"/>
    </row>
    <row r="719" ht="15.75" customHeight="1">
      <c r="B719" s="41"/>
      <c r="C719" s="41"/>
      <c r="D719" s="41"/>
      <c r="E719" s="41"/>
      <c r="F719" s="41"/>
    </row>
    <row r="720" ht="15.75" customHeight="1">
      <c r="B720" s="41"/>
      <c r="C720" s="41"/>
      <c r="D720" s="41"/>
      <c r="E720" s="41"/>
      <c r="F720" s="41"/>
    </row>
    <row r="721" ht="15.75" customHeight="1">
      <c r="B721" s="41"/>
      <c r="C721" s="41"/>
      <c r="D721" s="41"/>
      <c r="E721" s="41"/>
      <c r="F721" s="41"/>
    </row>
    <row r="722" ht="15.75" customHeight="1">
      <c r="B722" s="41"/>
      <c r="C722" s="41"/>
      <c r="D722" s="41"/>
      <c r="E722" s="41"/>
      <c r="F722" s="41"/>
    </row>
    <row r="723" ht="15.75" customHeight="1">
      <c r="B723" s="41"/>
      <c r="C723" s="41"/>
      <c r="D723" s="41"/>
      <c r="E723" s="41"/>
      <c r="F723" s="41"/>
    </row>
    <row r="724" ht="15.75" customHeight="1">
      <c r="B724" s="41"/>
      <c r="C724" s="41"/>
      <c r="D724" s="41"/>
      <c r="E724" s="41"/>
      <c r="F724" s="41"/>
    </row>
    <row r="725" ht="15.75" customHeight="1">
      <c r="B725" s="41"/>
      <c r="C725" s="41"/>
      <c r="D725" s="41"/>
      <c r="E725" s="41"/>
      <c r="F725" s="41"/>
    </row>
    <row r="726" ht="15.75" customHeight="1">
      <c r="B726" s="41"/>
      <c r="C726" s="41"/>
      <c r="D726" s="41"/>
      <c r="E726" s="41"/>
      <c r="F726" s="41"/>
    </row>
    <row r="727" ht="15.75" customHeight="1">
      <c r="B727" s="41"/>
      <c r="C727" s="41"/>
      <c r="D727" s="41"/>
      <c r="E727" s="41"/>
      <c r="F727" s="41"/>
    </row>
    <row r="728" ht="15.75" customHeight="1">
      <c r="B728" s="41"/>
      <c r="C728" s="41"/>
      <c r="D728" s="41"/>
      <c r="E728" s="41"/>
      <c r="F728" s="41"/>
    </row>
    <row r="729" ht="15.75" customHeight="1">
      <c r="B729" s="41"/>
      <c r="C729" s="41"/>
      <c r="D729" s="41"/>
      <c r="E729" s="41"/>
      <c r="F729" s="41"/>
    </row>
    <row r="730" ht="15.75" customHeight="1">
      <c r="B730" s="41"/>
      <c r="C730" s="41"/>
      <c r="D730" s="41"/>
      <c r="E730" s="41"/>
      <c r="F730" s="41"/>
    </row>
    <row r="731" ht="15.75" customHeight="1">
      <c r="B731" s="41"/>
      <c r="C731" s="41"/>
      <c r="D731" s="41"/>
      <c r="E731" s="41"/>
      <c r="F731" s="41"/>
    </row>
    <row r="732" ht="15.75" customHeight="1">
      <c r="B732" s="41"/>
      <c r="C732" s="41"/>
      <c r="D732" s="41"/>
      <c r="E732" s="41"/>
      <c r="F732" s="41"/>
    </row>
    <row r="733" ht="15.75" customHeight="1">
      <c r="B733" s="41"/>
      <c r="C733" s="41"/>
      <c r="D733" s="41"/>
      <c r="E733" s="41"/>
      <c r="F733" s="41"/>
    </row>
    <row r="734" ht="15.75" customHeight="1">
      <c r="B734" s="41"/>
      <c r="C734" s="41"/>
      <c r="D734" s="41"/>
      <c r="E734" s="41"/>
      <c r="F734" s="41"/>
    </row>
    <row r="735" ht="15.75" customHeight="1">
      <c r="B735" s="41"/>
      <c r="C735" s="41"/>
      <c r="D735" s="41"/>
      <c r="E735" s="41"/>
      <c r="F735" s="41"/>
    </row>
    <row r="736" ht="15.75" customHeight="1">
      <c r="B736" s="41"/>
      <c r="C736" s="41"/>
      <c r="D736" s="41"/>
      <c r="E736" s="41"/>
      <c r="F736" s="41"/>
    </row>
    <row r="737" ht="15.75" customHeight="1">
      <c r="B737" s="41"/>
      <c r="C737" s="41"/>
      <c r="D737" s="41"/>
      <c r="E737" s="41"/>
      <c r="F737" s="41"/>
    </row>
    <row r="738" ht="15.75" customHeight="1">
      <c r="B738" s="41"/>
      <c r="C738" s="41"/>
      <c r="D738" s="41"/>
      <c r="E738" s="41"/>
      <c r="F738" s="41"/>
    </row>
    <row r="739" ht="15.75" customHeight="1">
      <c r="B739" s="41"/>
      <c r="C739" s="41"/>
      <c r="D739" s="41"/>
      <c r="E739" s="41"/>
      <c r="F739" s="41"/>
    </row>
    <row r="740" ht="15.75" customHeight="1">
      <c r="B740" s="41"/>
      <c r="C740" s="41"/>
      <c r="D740" s="41"/>
      <c r="E740" s="41"/>
      <c r="F740" s="41"/>
    </row>
    <row r="741" ht="15.75" customHeight="1">
      <c r="B741" s="41"/>
      <c r="C741" s="41"/>
      <c r="D741" s="41"/>
      <c r="E741" s="41"/>
      <c r="F741" s="41"/>
    </row>
    <row r="742" ht="15.75" customHeight="1">
      <c r="B742" s="41"/>
      <c r="C742" s="41"/>
      <c r="D742" s="41"/>
      <c r="E742" s="41"/>
      <c r="F742" s="41"/>
    </row>
    <row r="743" ht="15.75" customHeight="1">
      <c r="B743" s="41"/>
      <c r="C743" s="41"/>
      <c r="D743" s="41"/>
      <c r="E743" s="41"/>
      <c r="F743" s="41"/>
    </row>
    <row r="744" ht="15.75" customHeight="1">
      <c r="B744" s="41"/>
      <c r="C744" s="41"/>
      <c r="D744" s="41"/>
      <c r="E744" s="41"/>
      <c r="F744" s="41"/>
    </row>
    <row r="745" ht="15.75" customHeight="1">
      <c r="B745" s="41"/>
      <c r="C745" s="41"/>
      <c r="D745" s="41"/>
      <c r="E745" s="41"/>
      <c r="F745" s="41"/>
    </row>
    <row r="746" ht="15.75" customHeight="1">
      <c r="B746" s="41"/>
      <c r="C746" s="41"/>
      <c r="D746" s="41"/>
      <c r="E746" s="41"/>
      <c r="F746" s="41"/>
    </row>
    <row r="747" ht="15.75" customHeight="1">
      <c r="B747" s="41"/>
      <c r="C747" s="41"/>
      <c r="D747" s="41"/>
      <c r="E747" s="41"/>
      <c r="F747" s="41"/>
    </row>
    <row r="748" ht="15.75" customHeight="1">
      <c r="B748" s="41"/>
      <c r="C748" s="41"/>
      <c r="D748" s="41"/>
      <c r="E748" s="41"/>
      <c r="F748" s="41"/>
    </row>
    <row r="749" ht="15.75" customHeight="1">
      <c r="B749" s="41"/>
      <c r="C749" s="41"/>
      <c r="D749" s="41"/>
      <c r="E749" s="41"/>
      <c r="F749" s="41"/>
    </row>
    <row r="750" ht="15.75" customHeight="1">
      <c r="B750" s="41"/>
      <c r="C750" s="41"/>
      <c r="D750" s="41"/>
      <c r="E750" s="41"/>
      <c r="F750" s="41"/>
    </row>
    <row r="751" ht="15.75" customHeight="1">
      <c r="B751" s="41"/>
      <c r="C751" s="41"/>
      <c r="D751" s="41"/>
      <c r="E751" s="41"/>
      <c r="F751" s="41"/>
    </row>
    <row r="752" ht="15.75" customHeight="1">
      <c r="B752" s="41"/>
      <c r="C752" s="41"/>
      <c r="D752" s="41"/>
      <c r="E752" s="41"/>
      <c r="F752" s="41"/>
    </row>
    <row r="753" ht="15.75" customHeight="1">
      <c r="B753" s="41"/>
      <c r="C753" s="41"/>
      <c r="D753" s="41"/>
      <c r="E753" s="41"/>
      <c r="F753" s="41"/>
    </row>
    <row r="754" ht="15.75" customHeight="1">
      <c r="B754" s="41"/>
      <c r="C754" s="41"/>
      <c r="D754" s="41"/>
      <c r="E754" s="41"/>
      <c r="F754" s="41"/>
    </row>
    <row r="755" ht="15.75" customHeight="1">
      <c r="B755" s="41"/>
      <c r="C755" s="41"/>
      <c r="D755" s="41"/>
      <c r="E755" s="41"/>
      <c r="F755" s="41"/>
    </row>
    <row r="756" ht="15.75" customHeight="1">
      <c r="B756" s="41"/>
      <c r="C756" s="41"/>
      <c r="D756" s="41"/>
      <c r="E756" s="41"/>
      <c r="F756" s="41"/>
    </row>
    <row r="757" ht="15.75" customHeight="1">
      <c r="B757" s="41"/>
      <c r="C757" s="41"/>
      <c r="D757" s="41"/>
      <c r="E757" s="41"/>
      <c r="F757" s="41"/>
    </row>
    <row r="758" ht="15.75" customHeight="1">
      <c r="B758" s="41"/>
      <c r="C758" s="41"/>
      <c r="D758" s="41"/>
      <c r="E758" s="41"/>
      <c r="F758" s="41"/>
    </row>
    <row r="759" ht="15.75" customHeight="1">
      <c r="B759" s="41"/>
      <c r="C759" s="41"/>
      <c r="D759" s="41"/>
      <c r="E759" s="41"/>
      <c r="F759" s="41"/>
    </row>
    <row r="760" ht="15.75" customHeight="1">
      <c r="B760" s="41"/>
      <c r="C760" s="41"/>
      <c r="D760" s="41"/>
      <c r="E760" s="41"/>
      <c r="F760" s="41"/>
    </row>
    <row r="761" ht="15.75" customHeight="1">
      <c r="B761" s="41"/>
      <c r="C761" s="41"/>
      <c r="D761" s="41"/>
      <c r="E761" s="41"/>
      <c r="F761" s="41"/>
    </row>
    <row r="762" ht="15.75" customHeight="1">
      <c r="B762" s="41"/>
      <c r="C762" s="41"/>
      <c r="D762" s="41"/>
      <c r="E762" s="41"/>
      <c r="F762" s="41"/>
    </row>
    <row r="763" ht="15.75" customHeight="1">
      <c r="B763" s="41"/>
      <c r="C763" s="41"/>
      <c r="D763" s="41"/>
      <c r="E763" s="41"/>
      <c r="F763" s="41"/>
    </row>
    <row r="764" ht="15.75" customHeight="1">
      <c r="B764" s="41"/>
      <c r="C764" s="41"/>
      <c r="D764" s="41"/>
      <c r="E764" s="41"/>
      <c r="F764" s="41"/>
    </row>
    <row r="765" ht="15.75" customHeight="1">
      <c r="B765" s="41"/>
      <c r="C765" s="41"/>
      <c r="D765" s="41"/>
      <c r="E765" s="41"/>
      <c r="F765" s="41"/>
    </row>
    <row r="766" ht="15.75" customHeight="1">
      <c r="B766" s="41"/>
      <c r="C766" s="41"/>
      <c r="D766" s="41"/>
      <c r="E766" s="41"/>
      <c r="F766" s="41"/>
    </row>
    <row r="767" ht="15.75" customHeight="1">
      <c r="B767" s="41"/>
      <c r="C767" s="41"/>
      <c r="D767" s="41"/>
      <c r="E767" s="41"/>
      <c r="F767" s="41"/>
    </row>
    <row r="768" ht="15.75" customHeight="1">
      <c r="B768" s="41"/>
      <c r="C768" s="41"/>
      <c r="D768" s="41"/>
      <c r="E768" s="41"/>
      <c r="F768" s="41"/>
    </row>
    <row r="769" ht="15.75" customHeight="1">
      <c r="B769" s="41"/>
      <c r="C769" s="41"/>
      <c r="D769" s="41"/>
      <c r="E769" s="41"/>
      <c r="F769" s="41"/>
    </row>
    <row r="770" ht="15.75" customHeight="1">
      <c r="B770" s="41"/>
      <c r="C770" s="41"/>
      <c r="D770" s="41"/>
      <c r="E770" s="41"/>
      <c r="F770" s="41"/>
    </row>
    <row r="771" ht="15.75" customHeight="1">
      <c r="B771" s="41"/>
      <c r="C771" s="41"/>
      <c r="D771" s="41"/>
      <c r="E771" s="41"/>
      <c r="F771" s="41"/>
    </row>
    <row r="772" ht="15.75" customHeight="1">
      <c r="B772" s="41"/>
      <c r="C772" s="41"/>
      <c r="D772" s="41"/>
      <c r="E772" s="41"/>
      <c r="F772" s="41"/>
    </row>
    <row r="773" ht="15.75" customHeight="1">
      <c r="B773" s="41"/>
      <c r="C773" s="41"/>
      <c r="D773" s="41"/>
      <c r="E773" s="41"/>
      <c r="F773" s="41"/>
    </row>
    <row r="774" ht="15.75" customHeight="1">
      <c r="B774" s="41"/>
      <c r="C774" s="41"/>
      <c r="D774" s="41"/>
      <c r="E774" s="41"/>
      <c r="F774" s="41"/>
    </row>
    <row r="775" ht="15.75" customHeight="1">
      <c r="B775" s="41"/>
      <c r="C775" s="41"/>
      <c r="D775" s="41"/>
      <c r="E775" s="41"/>
      <c r="F775" s="41"/>
    </row>
    <row r="776" ht="15.75" customHeight="1">
      <c r="B776" s="41"/>
      <c r="C776" s="41"/>
      <c r="D776" s="41"/>
      <c r="E776" s="41"/>
      <c r="F776" s="41"/>
    </row>
    <row r="777" ht="15.75" customHeight="1">
      <c r="B777" s="41"/>
      <c r="C777" s="41"/>
      <c r="D777" s="41"/>
      <c r="E777" s="41"/>
      <c r="F777" s="41"/>
    </row>
    <row r="778" ht="15.75" customHeight="1">
      <c r="B778" s="41"/>
      <c r="C778" s="41"/>
      <c r="D778" s="41"/>
      <c r="E778" s="41"/>
      <c r="F778" s="41"/>
    </row>
    <row r="779" ht="15.75" customHeight="1">
      <c r="B779" s="41"/>
      <c r="C779" s="41"/>
      <c r="D779" s="41"/>
      <c r="E779" s="41"/>
      <c r="F779" s="41"/>
    </row>
    <row r="780" ht="15.75" customHeight="1">
      <c r="B780" s="41"/>
      <c r="C780" s="41"/>
      <c r="D780" s="41"/>
      <c r="E780" s="41"/>
      <c r="F780" s="41"/>
    </row>
    <row r="781" ht="15.75" customHeight="1">
      <c r="B781" s="41"/>
      <c r="C781" s="41"/>
      <c r="D781" s="41"/>
      <c r="E781" s="41"/>
      <c r="F781" s="41"/>
    </row>
    <row r="782" ht="15.75" customHeight="1">
      <c r="B782" s="41"/>
      <c r="C782" s="41"/>
      <c r="D782" s="41"/>
      <c r="E782" s="41"/>
      <c r="F782" s="41"/>
    </row>
    <row r="783" ht="15.75" customHeight="1">
      <c r="B783" s="41"/>
      <c r="C783" s="41"/>
      <c r="D783" s="41"/>
      <c r="E783" s="41"/>
      <c r="F783" s="41"/>
    </row>
    <row r="784" ht="15.75" customHeight="1">
      <c r="B784" s="41"/>
      <c r="C784" s="41"/>
      <c r="D784" s="41"/>
      <c r="E784" s="41"/>
      <c r="F784" s="41"/>
    </row>
    <row r="785" ht="15.75" customHeight="1">
      <c r="B785" s="41"/>
      <c r="C785" s="41"/>
      <c r="D785" s="41"/>
      <c r="E785" s="41"/>
      <c r="F785" s="41"/>
    </row>
    <row r="786" ht="15.75" customHeight="1">
      <c r="B786" s="41"/>
      <c r="C786" s="41"/>
      <c r="D786" s="41"/>
      <c r="E786" s="41"/>
      <c r="F786" s="41"/>
    </row>
    <row r="787" ht="15.75" customHeight="1">
      <c r="B787" s="41"/>
      <c r="C787" s="41"/>
      <c r="D787" s="41"/>
      <c r="E787" s="41"/>
      <c r="F787" s="41"/>
    </row>
    <row r="788" ht="15.75" customHeight="1">
      <c r="B788" s="41"/>
      <c r="C788" s="41"/>
      <c r="D788" s="41"/>
      <c r="E788" s="41"/>
      <c r="F788" s="41"/>
    </row>
    <row r="789" ht="15.75" customHeight="1">
      <c r="B789" s="41"/>
      <c r="C789" s="41"/>
      <c r="D789" s="41"/>
      <c r="E789" s="41"/>
      <c r="F789" s="41"/>
    </row>
    <row r="790" ht="15.75" customHeight="1">
      <c r="B790" s="41"/>
      <c r="C790" s="41"/>
      <c r="D790" s="41"/>
      <c r="E790" s="41"/>
      <c r="F790" s="41"/>
    </row>
    <row r="791" ht="15.75" customHeight="1">
      <c r="B791" s="41"/>
      <c r="C791" s="41"/>
      <c r="D791" s="41"/>
      <c r="E791" s="41"/>
      <c r="F791" s="41"/>
    </row>
    <row r="792" ht="15.75" customHeight="1">
      <c r="B792" s="41"/>
      <c r="C792" s="41"/>
      <c r="D792" s="41"/>
      <c r="E792" s="41"/>
      <c r="F792" s="41"/>
    </row>
    <row r="793" ht="15.75" customHeight="1">
      <c r="B793" s="41"/>
      <c r="C793" s="41"/>
      <c r="D793" s="41"/>
      <c r="E793" s="41"/>
      <c r="F793" s="41"/>
    </row>
    <row r="794" ht="15.75" customHeight="1">
      <c r="B794" s="41"/>
      <c r="C794" s="41"/>
      <c r="D794" s="41"/>
      <c r="E794" s="41"/>
      <c r="F794" s="41"/>
    </row>
    <row r="795" ht="15.75" customHeight="1">
      <c r="B795" s="41"/>
      <c r="C795" s="41"/>
      <c r="D795" s="41"/>
      <c r="E795" s="41"/>
      <c r="F795" s="41"/>
    </row>
    <row r="796" ht="15.75" customHeight="1">
      <c r="B796" s="41"/>
      <c r="C796" s="41"/>
      <c r="D796" s="41"/>
      <c r="E796" s="41"/>
      <c r="F796" s="41"/>
    </row>
    <row r="797" ht="15.75" customHeight="1">
      <c r="B797" s="41"/>
      <c r="C797" s="41"/>
      <c r="D797" s="41"/>
      <c r="E797" s="41"/>
      <c r="F797" s="41"/>
    </row>
    <row r="798" ht="15.75" customHeight="1">
      <c r="B798" s="41"/>
      <c r="C798" s="41"/>
      <c r="D798" s="41"/>
      <c r="E798" s="41"/>
      <c r="F798" s="41"/>
    </row>
    <row r="799" ht="15.75" customHeight="1">
      <c r="B799" s="41"/>
      <c r="C799" s="41"/>
      <c r="D799" s="41"/>
      <c r="E799" s="41"/>
      <c r="F799" s="41"/>
    </row>
    <row r="800" ht="15.75" customHeight="1">
      <c r="B800" s="41"/>
      <c r="C800" s="41"/>
      <c r="D800" s="41"/>
      <c r="E800" s="41"/>
      <c r="F800" s="41"/>
    </row>
    <row r="801" ht="15.75" customHeight="1">
      <c r="B801" s="41"/>
      <c r="C801" s="41"/>
      <c r="D801" s="41"/>
      <c r="E801" s="41"/>
      <c r="F801" s="41"/>
    </row>
    <row r="802" ht="15.75" customHeight="1">
      <c r="B802" s="41"/>
      <c r="C802" s="41"/>
      <c r="D802" s="41"/>
      <c r="E802" s="41"/>
      <c r="F802" s="41"/>
    </row>
    <row r="803" ht="15.75" customHeight="1">
      <c r="B803" s="41"/>
      <c r="C803" s="41"/>
      <c r="D803" s="41"/>
      <c r="E803" s="41"/>
      <c r="F803" s="41"/>
    </row>
    <row r="804" ht="15.75" customHeight="1">
      <c r="B804" s="41"/>
      <c r="C804" s="41"/>
      <c r="D804" s="41"/>
      <c r="E804" s="41"/>
      <c r="F804" s="41"/>
    </row>
    <row r="805" ht="15.75" customHeight="1">
      <c r="B805" s="41"/>
      <c r="C805" s="41"/>
      <c r="D805" s="41"/>
      <c r="E805" s="41"/>
      <c r="F805" s="41"/>
    </row>
    <row r="806" ht="15.75" customHeight="1">
      <c r="B806" s="41"/>
      <c r="C806" s="41"/>
      <c r="D806" s="41"/>
      <c r="E806" s="41"/>
      <c r="F806" s="41"/>
    </row>
    <row r="807" ht="15.75" customHeight="1">
      <c r="B807" s="41"/>
      <c r="C807" s="41"/>
      <c r="D807" s="41"/>
      <c r="E807" s="41"/>
      <c r="F807" s="41"/>
    </row>
    <row r="808" ht="15.75" customHeight="1">
      <c r="B808" s="41"/>
      <c r="C808" s="41"/>
      <c r="D808" s="41"/>
      <c r="E808" s="41"/>
      <c r="F808" s="41"/>
    </row>
    <row r="809" ht="15.75" customHeight="1">
      <c r="B809" s="41"/>
      <c r="C809" s="41"/>
      <c r="D809" s="41"/>
      <c r="E809" s="41"/>
      <c r="F809" s="41"/>
    </row>
    <row r="810" ht="15.75" customHeight="1">
      <c r="B810" s="41"/>
      <c r="C810" s="41"/>
      <c r="D810" s="41"/>
      <c r="E810" s="41"/>
      <c r="F810" s="41"/>
    </row>
    <row r="811" ht="15.75" customHeight="1">
      <c r="B811" s="41"/>
      <c r="C811" s="41"/>
      <c r="D811" s="41"/>
      <c r="E811" s="41"/>
      <c r="F811" s="41"/>
    </row>
    <row r="812" ht="15.75" customHeight="1">
      <c r="B812" s="41"/>
      <c r="C812" s="41"/>
      <c r="D812" s="41"/>
      <c r="E812" s="41"/>
      <c r="F812" s="41"/>
    </row>
    <row r="813" ht="15.75" customHeight="1">
      <c r="B813" s="41"/>
      <c r="C813" s="41"/>
      <c r="D813" s="41"/>
      <c r="E813" s="41"/>
      <c r="F813" s="41"/>
    </row>
    <row r="814" ht="15.75" customHeight="1">
      <c r="B814" s="41"/>
      <c r="C814" s="41"/>
      <c r="D814" s="41"/>
      <c r="E814" s="41"/>
      <c r="F814" s="41"/>
    </row>
    <row r="815" ht="15.75" customHeight="1">
      <c r="B815" s="41"/>
      <c r="C815" s="41"/>
      <c r="D815" s="41"/>
      <c r="E815" s="41"/>
      <c r="F815" s="41"/>
    </row>
    <row r="816" ht="15.75" customHeight="1">
      <c r="B816" s="41"/>
      <c r="C816" s="41"/>
      <c r="D816" s="41"/>
      <c r="E816" s="41"/>
      <c r="F816" s="41"/>
    </row>
    <row r="817" ht="15.75" customHeight="1">
      <c r="B817" s="41"/>
      <c r="C817" s="41"/>
      <c r="D817" s="41"/>
      <c r="E817" s="41"/>
      <c r="F817" s="41"/>
    </row>
    <row r="818" ht="15.75" customHeight="1">
      <c r="B818" s="41"/>
      <c r="C818" s="41"/>
      <c r="D818" s="41"/>
      <c r="E818" s="41"/>
      <c r="F818" s="41"/>
    </row>
    <row r="819" ht="15.75" customHeight="1">
      <c r="B819" s="41"/>
      <c r="C819" s="41"/>
      <c r="D819" s="41"/>
      <c r="E819" s="41"/>
      <c r="F819" s="41"/>
    </row>
    <row r="820" ht="15.75" customHeight="1">
      <c r="B820" s="41"/>
      <c r="C820" s="41"/>
      <c r="D820" s="41"/>
      <c r="E820" s="41"/>
      <c r="F820" s="41"/>
    </row>
    <row r="821" ht="15.75" customHeight="1">
      <c r="B821" s="41"/>
      <c r="C821" s="41"/>
      <c r="D821" s="41"/>
      <c r="E821" s="41"/>
      <c r="F821" s="41"/>
    </row>
    <row r="822" ht="15.75" customHeight="1">
      <c r="B822" s="41"/>
      <c r="C822" s="41"/>
      <c r="D822" s="41"/>
      <c r="E822" s="41"/>
      <c r="F822" s="41"/>
    </row>
    <row r="823" ht="15.75" customHeight="1">
      <c r="B823" s="41"/>
      <c r="C823" s="41"/>
      <c r="D823" s="41"/>
      <c r="E823" s="41"/>
      <c r="F823" s="41"/>
    </row>
    <row r="824" ht="15.75" customHeight="1">
      <c r="B824" s="41"/>
      <c r="C824" s="41"/>
      <c r="D824" s="41"/>
      <c r="E824" s="41"/>
      <c r="F824" s="41"/>
    </row>
    <row r="825" ht="15.75" customHeight="1">
      <c r="B825" s="41"/>
      <c r="C825" s="41"/>
      <c r="D825" s="41"/>
      <c r="E825" s="41"/>
      <c r="F825" s="41"/>
    </row>
    <row r="826" ht="15.75" customHeight="1">
      <c r="B826" s="41"/>
      <c r="C826" s="41"/>
      <c r="D826" s="41"/>
      <c r="E826" s="41"/>
      <c r="F826" s="41"/>
    </row>
    <row r="827" ht="15.75" customHeight="1">
      <c r="B827" s="41"/>
      <c r="C827" s="41"/>
      <c r="D827" s="41"/>
      <c r="E827" s="41"/>
      <c r="F827" s="41"/>
    </row>
    <row r="828" ht="15.75" customHeight="1">
      <c r="B828" s="41"/>
      <c r="C828" s="41"/>
      <c r="D828" s="41"/>
      <c r="E828" s="41"/>
      <c r="F828" s="41"/>
    </row>
    <row r="829" ht="15.75" customHeight="1">
      <c r="B829" s="41"/>
      <c r="C829" s="41"/>
      <c r="D829" s="41"/>
      <c r="E829" s="41"/>
      <c r="F829" s="41"/>
    </row>
    <row r="830" ht="15.75" customHeight="1">
      <c r="B830" s="41"/>
      <c r="C830" s="41"/>
      <c r="D830" s="41"/>
      <c r="E830" s="41"/>
      <c r="F830" s="41"/>
    </row>
    <row r="831" ht="15.75" customHeight="1">
      <c r="B831" s="41"/>
      <c r="C831" s="41"/>
      <c r="D831" s="41"/>
      <c r="E831" s="41"/>
      <c r="F831" s="41"/>
    </row>
    <row r="832" ht="15.75" customHeight="1">
      <c r="B832" s="41"/>
      <c r="C832" s="41"/>
      <c r="D832" s="41"/>
      <c r="E832" s="41"/>
      <c r="F832" s="41"/>
    </row>
    <row r="833" ht="15.75" customHeight="1">
      <c r="B833" s="41"/>
      <c r="C833" s="41"/>
      <c r="D833" s="41"/>
      <c r="E833" s="41"/>
      <c r="F833" s="41"/>
    </row>
    <row r="834" ht="15.75" customHeight="1">
      <c r="B834" s="41"/>
      <c r="C834" s="41"/>
      <c r="D834" s="41"/>
      <c r="E834" s="41"/>
      <c r="F834" s="41"/>
    </row>
    <row r="835" ht="15.75" customHeight="1">
      <c r="B835" s="41"/>
      <c r="C835" s="41"/>
      <c r="D835" s="41"/>
      <c r="E835" s="41"/>
      <c r="F835" s="41"/>
    </row>
    <row r="836" ht="15.75" customHeight="1">
      <c r="B836" s="41"/>
      <c r="C836" s="41"/>
      <c r="D836" s="41"/>
      <c r="E836" s="41"/>
      <c r="F836" s="41"/>
    </row>
    <row r="837" ht="15.75" customHeight="1">
      <c r="B837" s="41"/>
      <c r="C837" s="41"/>
      <c r="D837" s="41"/>
      <c r="E837" s="41"/>
      <c r="F837" s="41"/>
    </row>
    <row r="838" ht="15.75" customHeight="1">
      <c r="B838" s="41"/>
      <c r="C838" s="41"/>
      <c r="D838" s="41"/>
      <c r="E838" s="41"/>
      <c r="F838" s="41"/>
    </row>
    <row r="839" ht="15.75" customHeight="1">
      <c r="B839" s="41"/>
      <c r="C839" s="41"/>
      <c r="D839" s="41"/>
      <c r="E839" s="41"/>
      <c r="F839" s="41"/>
    </row>
    <row r="840" ht="15.75" customHeight="1">
      <c r="B840" s="41"/>
      <c r="C840" s="41"/>
      <c r="D840" s="41"/>
      <c r="E840" s="41"/>
      <c r="F840" s="41"/>
    </row>
    <row r="841" ht="15.75" customHeight="1">
      <c r="B841" s="41"/>
      <c r="C841" s="41"/>
      <c r="D841" s="41"/>
      <c r="E841" s="41"/>
      <c r="F841" s="41"/>
    </row>
    <row r="842" ht="15.75" customHeight="1">
      <c r="B842" s="41"/>
      <c r="C842" s="41"/>
      <c r="D842" s="41"/>
      <c r="E842" s="41"/>
      <c r="F842" s="41"/>
    </row>
    <row r="843" ht="15.75" customHeight="1">
      <c r="B843" s="41"/>
      <c r="C843" s="41"/>
      <c r="D843" s="41"/>
      <c r="E843" s="41"/>
      <c r="F843" s="41"/>
    </row>
    <row r="844" ht="15.75" customHeight="1">
      <c r="B844" s="41"/>
      <c r="C844" s="41"/>
      <c r="D844" s="41"/>
      <c r="E844" s="41"/>
      <c r="F844" s="41"/>
    </row>
    <row r="845" ht="15.75" customHeight="1">
      <c r="B845" s="41"/>
      <c r="C845" s="41"/>
      <c r="D845" s="41"/>
      <c r="E845" s="41"/>
      <c r="F845" s="41"/>
    </row>
    <row r="846" ht="15.75" customHeight="1">
      <c r="B846" s="41"/>
      <c r="C846" s="41"/>
      <c r="D846" s="41"/>
      <c r="E846" s="41"/>
      <c r="F846" s="41"/>
    </row>
    <row r="847" ht="15.75" customHeight="1">
      <c r="B847" s="41"/>
      <c r="C847" s="41"/>
      <c r="D847" s="41"/>
      <c r="E847" s="41"/>
      <c r="F847" s="41"/>
    </row>
    <row r="848" ht="15.75" customHeight="1">
      <c r="B848" s="41"/>
      <c r="C848" s="41"/>
      <c r="D848" s="41"/>
      <c r="E848" s="41"/>
      <c r="F848" s="41"/>
    </row>
    <row r="849" ht="15.75" customHeight="1">
      <c r="B849" s="41"/>
      <c r="C849" s="41"/>
      <c r="D849" s="41"/>
      <c r="E849" s="41"/>
      <c r="F849" s="41"/>
    </row>
    <row r="850" ht="15.75" customHeight="1">
      <c r="B850" s="41"/>
      <c r="C850" s="41"/>
      <c r="D850" s="41"/>
      <c r="E850" s="41"/>
      <c r="F850" s="41"/>
    </row>
    <row r="851" ht="15.75" customHeight="1">
      <c r="B851" s="41"/>
      <c r="C851" s="41"/>
      <c r="D851" s="41"/>
      <c r="E851" s="41"/>
      <c r="F851" s="41"/>
    </row>
    <row r="852" ht="15.75" customHeight="1">
      <c r="B852" s="41"/>
      <c r="C852" s="41"/>
      <c r="D852" s="41"/>
      <c r="E852" s="41"/>
      <c r="F852" s="41"/>
    </row>
    <row r="853" ht="15.75" customHeight="1">
      <c r="B853" s="41"/>
      <c r="C853" s="41"/>
      <c r="D853" s="41"/>
      <c r="E853" s="41"/>
      <c r="F853" s="41"/>
    </row>
    <row r="854" ht="15.75" customHeight="1">
      <c r="B854" s="41"/>
      <c r="C854" s="41"/>
      <c r="D854" s="41"/>
      <c r="E854" s="41"/>
      <c r="F854" s="41"/>
    </row>
    <row r="855" ht="15.75" customHeight="1">
      <c r="B855" s="41"/>
      <c r="C855" s="41"/>
      <c r="D855" s="41"/>
      <c r="E855" s="41"/>
      <c r="F855" s="41"/>
    </row>
    <row r="856" ht="15.75" customHeight="1">
      <c r="B856" s="41"/>
      <c r="C856" s="41"/>
      <c r="D856" s="41"/>
      <c r="E856" s="41"/>
      <c r="F856" s="41"/>
    </row>
    <row r="857" ht="15.75" customHeight="1">
      <c r="B857" s="41"/>
      <c r="C857" s="41"/>
      <c r="D857" s="41"/>
      <c r="E857" s="41"/>
      <c r="F857" s="41"/>
    </row>
    <row r="858" ht="15.75" customHeight="1">
      <c r="B858" s="41"/>
      <c r="C858" s="41"/>
      <c r="D858" s="41"/>
      <c r="E858" s="41"/>
      <c r="F858" s="41"/>
    </row>
    <row r="859" ht="15.75" customHeight="1">
      <c r="B859" s="41"/>
      <c r="C859" s="41"/>
      <c r="D859" s="41"/>
      <c r="E859" s="41"/>
      <c r="F859" s="41"/>
    </row>
    <row r="860" ht="15.75" customHeight="1">
      <c r="B860" s="41"/>
      <c r="C860" s="41"/>
      <c r="D860" s="41"/>
      <c r="E860" s="41"/>
      <c r="F860" s="41"/>
    </row>
    <row r="861" ht="15.75" customHeight="1">
      <c r="B861" s="41"/>
      <c r="C861" s="41"/>
      <c r="D861" s="41"/>
      <c r="E861" s="41"/>
      <c r="F861" s="41"/>
    </row>
    <row r="862" ht="15.75" customHeight="1">
      <c r="B862" s="41"/>
      <c r="C862" s="41"/>
      <c r="D862" s="41"/>
      <c r="E862" s="41"/>
      <c r="F862" s="41"/>
    </row>
    <row r="863" ht="15.75" customHeight="1">
      <c r="B863" s="41"/>
      <c r="C863" s="41"/>
      <c r="D863" s="41"/>
      <c r="E863" s="41"/>
      <c r="F863" s="41"/>
    </row>
    <row r="864" ht="15.75" customHeight="1">
      <c r="B864" s="41"/>
      <c r="C864" s="41"/>
      <c r="D864" s="41"/>
      <c r="E864" s="41"/>
      <c r="F864" s="41"/>
    </row>
    <row r="865" ht="15.75" customHeight="1">
      <c r="B865" s="41"/>
      <c r="C865" s="41"/>
      <c r="D865" s="41"/>
      <c r="E865" s="41"/>
      <c r="F865" s="41"/>
    </row>
    <row r="866" ht="15.75" customHeight="1">
      <c r="B866" s="41"/>
      <c r="C866" s="41"/>
      <c r="D866" s="41"/>
      <c r="E866" s="41"/>
      <c r="F866" s="41"/>
    </row>
    <row r="867" ht="15.75" customHeight="1">
      <c r="B867" s="41"/>
      <c r="C867" s="41"/>
      <c r="D867" s="41"/>
      <c r="E867" s="41"/>
      <c r="F867" s="41"/>
    </row>
    <row r="868" ht="15.75" customHeight="1">
      <c r="B868" s="41"/>
      <c r="C868" s="41"/>
      <c r="D868" s="41"/>
      <c r="E868" s="41"/>
      <c r="F868" s="41"/>
    </row>
    <row r="869" ht="15.75" customHeight="1">
      <c r="B869" s="41"/>
      <c r="C869" s="41"/>
      <c r="D869" s="41"/>
      <c r="E869" s="41"/>
      <c r="F869" s="41"/>
    </row>
    <row r="870" ht="15.75" customHeight="1">
      <c r="B870" s="41"/>
      <c r="C870" s="41"/>
      <c r="D870" s="41"/>
      <c r="E870" s="41"/>
      <c r="F870" s="41"/>
    </row>
    <row r="871" ht="15.75" customHeight="1">
      <c r="B871" s="41"/>
      <c r="C871" s="41"/>
      <c r="D871" s="41"/>
      <c r="E871" s="41"/>
      <c r="F871" s="41"/>
    </row>
    <row r="872" ht="15.75" customHeight="1">
      <c r="B872" s="41"/>
      <c r="C872" s="41"/>
      <c r="D872" s="41"/>
      <c r="E872" s="41"/>
      <c r="F872" s="41"/>
    </row>
    <row r="873" ht="15.75" customHeight="1">
      <c r="B873" s="41"/>
      <c r="C873" s="41"/>
      <c r="D873" s="41"/>
      <c r="E873" s="41"/>
      <c r="F873" s="41"/>
    </row>
    <row r="874" ht="15.75" customHeight="1">
      <c r="B874" s="41"/>
      <c r="C874" s="41"/>
      <c r="D874" s="41"/>
      <c r="E874" s="41"/>
      <c r="F874" s="41"/>
    </row>
    <row r="875" ht="15.75" customHeight="1">
      <c r="B875" s="41"/>
      <c r="C875" s="41"/>
      <c r="D875" s="41"/>
      <c r="E875" s="41"/>
      <c r="F875" s="41"/>
    </row>
    <row r="876" ht="15.75" customHeight="1">
      <c r="B876" s="41"/>
      <c r="C876" s="41"/>
      <c r="D876" s="41"/>
      <c r="E876" s="41"/>
      <c r="F876" s="41"/>
    </row>
    <row r="877" ht="15.75" customHeight="1">
      <c r="B877" s="41"/>
      <c r="C877" s="41"/>
      <c r="D877" s="41"/>
      <c r="E877" s="41"/>
      <c r="F877" s="41"/>
    </row>
    <row r="878" ht="15.75" customHeight="1">
      <c r="B878" s="41"/>
      <c r="C878" s="41"/>
      <c r="D878" s="41"/>
      <c r="E878" s="41"/>
      <c r="F878" s="41"/>
    </row>
    <row r="879" ht="15.75" customHeight="1">
      <c r="B879" s="41"/>
      <c r="C879" s="41"/>
      <c r="D879" s="41"/>
      <c r="E879" s="41"/>
      <c r="F879" s="41"/>
    </row>
    <row r="880" ht="15.75" customHeight="1">
      <c r="B880" s="41"/>
      <c r="C880" s="41"/>
      <c r="D880" s="41"/>
      <c r="E880" s="41"/>
      <c r="F880" s="41"/>
    </row>
    <row r="881" ht="15.75" customHeight="1">
      <c r="B881" s="41"/>
      <c r="C881" s="41"/>
      <c r="D881" s="41"/>
      <c r="E881" s="41"/>
      <c r="F881" s="41"/>
    </row>
    <row r="882" ht="15.75" customHeight="1">
      <c r="B882" s="41"/>
      <c r="C882" s="41"/>
      <c r="D882" s="41"/>
      <c r="E882" s="41"/>
      <c r="F882" s="41"/>
    </row>
    <row r="883" ht="15.75" customHeight="1">
      <c r="B883" s="41"/>
      <c r="C883" s="41"/>
      <c r="D883" s="41"/>
      <c r="E883" s="41"/>
      <c r="F883" s="41"/>
    </row>
    <row r="884" ht="15.75" customHeight="1">
      <c r="B884" s="41"/>
      <c r="C884" s="41"/>
      <c r="D884" s="41"/>
      <c r="E884" s="41"/>
      <c r="F884" s="41"/>
    </row>
    <row r="885" ht="15.75" customHeight="1">
      <c r="B885" s="41"/>
      <c r="C885" s="41"/>
      <c r="D885" s="41"/>
      <c r="E885" s="41"/>
      <c r="F885" s="41"/>
    </row>
    <row r="886" ht="15.75" customHeight="1">
      <c r="B886" s="41"/>
      <c r="C886" s="41"/>
      <c r="D886" s="41"/>
      <c r="E886" s="41"/>
      <c r="F886" s="41"/>
    </row>
    <row r="887" ht="15.75" customHeight="1">
      <c r="B887" s="41"/>
      <c r="C887" s="41"/>
      <c r="D887" s="41"/>
      <c r="E887" s="41"/>
      <c r="F887" s="41"/>
    </row>
    <row r="888" ht="15.75" customHeight="1">
      <c r="B888" s="41"/>
      <c r="C888" s="41"/>
      <c r="D888" s="41"/>
      <c r="E888" s="41"/>
      <c r="F888" s="41"/>
    </row>
    <row r="889" ht="15.75" customHeight="1">
      <c r="B889" s="41"/>
      <c r="C889" s="41"/>
      <c r="D889" s="41"/>
      <c r="E889" s="41"/>
      <c r="F889" s="41"/>
    </row>
    <row r="890" ht="15.75" customHeight="1">
      <c r="B890" s="41"/>
      <c r="C890" s="41"/>
      <c r="D890" s="41"/>
      <c r="E890" s="41"/>
      <c r="F890" s="41"/>
    </row>
    <row r="891" ht="15.75" customHeight="1">
      <c r="B891" s="41"/>
      <c r="C891" s="41"/>
      <c r="D891" s="41"/>
      <c r="E891" s="41"/>
      <c r="F891" s="41"/>
    </row>
    <row r="892" ht="15.75" customHeight="1">
      <c r="B892" s="41"/>
      <c r="C892" s="41"/>
      <c r="D892" s="41"/>
      <c r="E892" s="41"/>
      <c r="F892" s="41"/>
    </row>
    <row r="893" ht="15.75" customHeight="1">
      <c r="B893" s="41"/>
      <c r="C893" s="41"/>
      <c r="D893" s="41"/>
      <c r="E893" s="41"/>
      <c r="F893" s="41"/>
    </row>
    <row r="894" ht="15.75" customHeight="1">
      <c r="B894" s="41"/>
      <c r="C894" s="41"/>
      <c r="D894" s="41"/>
      <c r="E894" s="41"/>
      <c r="F894" s="41"/>
    </row>
    <row r="895" ht="15.75" customHeight="1">
      <c r="B895" s="41"/>
      <c r="C895" s="41"/>
      <c r="D895" s="41"/>
      <c r="E895" s="41"/>
      <c r="F895" s="41"/>
    </row>
    <row r="896" ht="15.75" customHeight="1">
      <c r="B896" s="41"/>
      <c r="C896" s="41"/>
      <c r="D896" s="41"/>
      <c r="E896" s="41"/>
      <c r="F896" s="41"/>
    </row>
    <row r="897" ht="15.75" customHeight="1">
      <c r="B897" s="41"/>
      <c r="C897" s="41"/>
      <c r="D897" s="41"/>
      <c r="E897" s="41"/>
      <c r="F897" s="41"/>
    </row>
    <row r="898" ht="15.75" customHeight="1">
      <c r="B898" s="41"/>
      <c r="C898" s="41"/>
      <c r="D898" s="41"/>
      <c r="E898" s="41"/>
      <c r="F898" s="41"/>
    </row>
    <row r="899" ht="15.75" customHeight="1">
      <c r="B899" s="41"/>
      <c r="C899" s="41"/>
      <c r="D899" s="41"/>
      <c r="E899" s="41"/>
      <c r="F899" s="41"/>
    </row>
    <row r="900" ht="15.75" customHeight="1">
      <c r="B900" s="41"/>
      <c r="C900" s="41"/>
      <c r="D900" s="41"/>
      <c r="E900" s="41"/>
      <c r="F900" s="41"/>
    </row>
    <row r="901" ht="15.75" customHeight="1">
      <c r="B901" s="41"/>
      <c r="C901" s="41"/>
      <c r="D901" s="41"/>
      <c r="E901" s="41"/>
      <c r="F901" s="41"/>
    </row>
    <row r="902" ht="15.75" customHeight="1">
      <c r="B902" s="41"/>
      <c r="C902" s="41"/>
      <c r="D902" s="41"/>
      <c r="E902" s="41"/>
      <c r="F902" s="41"/>
    </row>
    <row r="903" ht="15.75" customHeight="1">
      <c r="B903" s="41"/>
      <c r="C903" s="41"/>
      <c r="D903" s="41"/>
      <c r="E903" s="41"/>
      <c r="F903" s="41"/>
    </row>
    <row r="904" ht="15.75" customHeight="1">
      <c r="B904" s="41"/>
      <c r="C904" s="41"/>
      <c r="D904" s="41"/>
      <c r="E904" s="41"/>
      <c r="F904" s="41"/>
    </row>
    <row r="905" ht="15.75" customHeight="1">
      <c r="B905" s="41"/>
      <c r="C905" s="41"/>
      <c r="D905" s="41"/>
      <c r="E905" s="41"/>
      <c r="F905" s="41"/>
    </row>
    <row r="906" ht="15.75" customHeight="1">
      <c r="B906" s="41"/>
      <c r="C906" s="41"/>
      <c r="D906" s="41"/>
      <c r="E906" s="41"/>
      <c r="F906" s="41"/>
    </row>
    <row r="907" ht="15.75" customHeight="1">
      <c r="B907" s="41"/>
      <c r="C907" s="41"/>
      <c r="D907" s="41"/>
      <c r="E907" s="41"/>
      <c r="F907" s="41"/>
    </row>
    <row r="908" ht="15.75" customHeight="1">
      <c r="B908" s="41"/>
      <c r="C908" s="41"/>
      <c r="D908" s="41"/>
      <c r="E908" s="41"/>
      <c r="F908" s="41"/>
    </row>
    <row r="909" ht="15.75" customHeight="1">
      <c r="B909" s="41"/>
      <c r="C909" s="41"/>
      <c r="D909" s="41"/>
      <c r="E909" s="41"/>
      <c r="F909" s="41"/>
    </row>
    <row r="910" ht="15.75" customHeight="1">
      <c r="B910" s="41"/>
      <c r="C910" s="41"/>
      <c r="D910" s="41"/>
      <c r="E910" s="41"/>
      <c r="F910" s="41"/>
    </row>
    <row r="911" ht="15.75" customHeight="1">
      <c r="B911" s="41"/>
      <c r="C911" s="41"/>
      <c r="D911" s="41"/>
      <c r="E911" s="41"/>
      <c r="F911" s="41"/>
    </row>
    <row r="912" ht="15.75" customHeight="1">
      <c r="B912" s="41"/>
      <c r="C912" s="41"/>
      <c r="D912" s="41"/>
      <c r="E912" s="41"/>
      <c r="F912" s="41"/>
    </row>
    <row r="913" ht="15.75" customHeight="1">
      <c r="B913" s="41"/>
      <c r="C913" s="41"/>
      <c r="D913" s="41"/>
      <c r="E913" s="41"/>
      <c r="F913" s="41"/>
    </row>
    <row r="914" ht="15.75" customHeight="1">
      <c r="B914" s="41"/>
      <c r="C914" s="41"/>
      <c r="D914" s="41"/>
      <c r="E914" s="41"/>
      <c r="F914" s="41"/>
    </row>
    <row r="915" ht="15.75" customHeight="1">
      <c r="B915" s="41"/>
      <c r="C915" s="41"/>
      <c r="D915" s="41"/>
      <c r="E915" s="41"/>
      <c r="F915" s="41"/>
    </row>
    <row r="916" ht="15.75" customHeight="1">
      <c r="B916" s="41"/>
      <c r="C916" s="41"/>
      <c r="D916" s="41"/>
      <c r="E916" s="41"/>
      <c r="F916" s="41"/>
    </row>
    <row r="917" ht="15.75" customHeight="1">
      <c r="B917" s="41"/>
      <c r="C917" s="41"/>
      <c r="D917" s="41"/>
      <c r="E917" s="41"/>
      <c r="F917" s="41"/>
    </row>
    <row r="918" ht="15.75" customHeight="1">
      <c r="B918" s="41"/>
      <c r="C918" s="41"/>
      <c r="D918" s="41"/>
      <c r="E918" s="41"/>
      <c r="F918" s="41"/>
    </row>
    <row r="919" ht="15.75" customHeight="1">
      <c r="B919" s="41"/>
      <c r="C919" s="41"/>
      <c r="D919" s="41"/>
      <c r="E919" s="41"/>
      <c r="F919" s="41"/>
    </row>
    <row r="920" ht="15.75" customHeight="1">
      <c r="B920" s="41"/>
      <c r="C920" s="41"/>
      <c r="D920" s="41"/>
      <c r="E920" s="41"/>
      <c r="F920" s="41"/>
    </row>
    <row r="921" ht="15.75" customHeight="1">
      <c r="B921" s="41"/>
      <c r="C921" s="41"/>
      <c r="D921" s="41"/>
      <c r="E921" s="41"/>
      <c r="F921" s="41"/>
    </row>
    <row r="922" ht="15.75" customHeight="1">
      <c r="B922" s="41"/>
      <c r="C922" s="41"/>
      <c r="D922" s="41"/>
      <c r="E922" s="41"/>
      <c r="F922" s="41"/>
    </row>
    <row r="923" ht="15.75" customHeight="1">
      <c r="B923" s="41"/>
      <c r="C923" s="41"/>
      <c r="D923" s="41"/>
      <c r="E923" s="41"/>
      <c r="F923" s="41"/>
    </row>
    <row r="924" ht="15.75" customHeight="1">
      <c r="B924" s="41"/>
      <c r="C924" s="41"/>
      <c r="D924" s="41"/>
      <c r="E924" s="41"/>
      <c r="F924" s="41"/>
    </row>
    <row r="925" ht="15.75" customHeight="1">
      <c r="B925" s="41"/>
      <c r="C925" s="41"/>
      <c r="D925" s="41"/>
      <c r="E925" s="41"/>
      <c r="F925" s="41"/>
    </row>
    <row r="926" ht="15.75" customHeight="1">
      <c r="B926" s="41"/>
      <c r="C926" s="41"/>
      <c r="D926" s="41"/>
      <c r="E926" s="41"/>
      <c r="F926" s="41"/>
    </row>
    <row r="927" ht="15.75" customHeight="1">
      <c r="B927" s="41"/>
      <c r="C927" s="41"/>
      <c r="D927" s="41"/>
      <c r="E927" s="41"/>
      <c r="F927" s="41"/>
    </row>
    <row r="928" ht="15.75" customHeight="1">
      <c r="B928" s="41"/>
      <c r="C928" s="41"/>
      <c r="D928" s="41"/>
      <c r="E928" s="41"/>
      <c r="F928" s="41"/>
    </row>
    <row r="929" ht="15.75" customHeight="1">
      <c r="B929" s="41"/>
      <c r="C929" s="41"/>
      <c r="D929" s="41"/>
      <c r="E929" s="41"/>
      <c r="F929" s="41"/>
    </row>
    <row r="930" ht="15.75" customHeight="1">
      <c r="B930" s="41"/>
      <c r="C930" s="41"/>
      <c r="D930" s="41"/>
      <c r="E930" s="41"/>
      <c r="F930" s="41"/>
    </row>
    <row r="931" ht="15.75" customHeight="1">
      <c r="B931" s="41"/>
      <c r="C931" s="41"/>
      <c r="D931" s="41"/>
      <c r="E931" s="41"/>
      <c r="F931" s="41"/>
    </row>
    <row r="932" ht="15.75" customHeight="1">
      <c r="B932" s="41"/>
      <c r="C932" s="41"/>
      <c r="D932" s="41"/>
      <c r="E932" s="41"/>
      <c r="F932" s="41"/>
    </row>
    <row r="933" ht="15.75" customHeight="1">
      <c r="B933" s="41"/>
      <c r="C933" s="41"/>
      <c r="D933" s="41"/>
      <c r="E933" s="41"/>
      <c r="F933" s="41"/>
    </row>
    <row r="934" ht="15.75" customHeight="1">
      <c r="B934" s="41"/>
      <c r="C934" s="41"/>
      <c r="D934" s="41"/>
      <c r="E934" s="41"/>
      <c r="F934" s="41"/>
    </row>
    <row r="935" ht="15.75" customHeight="1">
      <c r="B935" s="41"/>
      <c r="C935" s="41"/>
      <c r="D935" s="41"/>
      <c r="E935" s="41"/>
      <c r="F935" s="41"/>
    </row>
    <row r="936" ht="15.75" customHeight="1">
      <c r="B936" s="41"/>
      <c r="C936" s="41"/>
      <c r="D936" s="41"/>
      <c r="E936" s="41"/>
      <c r="F936" s="41"/>
    </row>
    <row r="937" ht="15.75" customHeight="1">
      <c r="B937" s="41"/>
      <c r="C937" s="41"/>
      <c r="D937" s="41"/>
      <c r="E937" s="41"/>
      <c r="F937" s="41"/>
    </row>
    <row r="938" ht="15.75" customHeight="1">
      <c r="B938" s="41"/>
      <c r="C938" s="41"/>
      <c r="D938" s="41"/>
      <c r="E938" s="41"/>
      <c r="F938" s="41"/>
    </row>
    <row r="939" ht="15.75" customHeight="1">
      <c r="B939" s="41"/>
      <c r="C939" s="41"/>
      <c r="D939" s="41"/>
      <c r="E939" s="41"/>
      <c r="F939" s="41"/>
    </row>
    <row r="940" ht="15.75" customHeight="1">
      <c r="B940" s="41"/>
      <c r="C940" s="41"/>
      <c r="D940" s="41"/>
      <c r="E940" s="41"/>
      <c r="F940" s="41"/>
    </row>
    <row r="941" ht="15.75" customHeight="1">
      <c r="B941" s="41"/>
      <c r="C941" s="41"/>
      <c r="D941" s="41"/>
      <c r="E941" s="41"/>
      <c r="F941" s="41"/>
    </row>
    <row r="942" ht="15.75" customHeight="1">
      <c r="B942" s="41"/>
      <c r="C942" s="41"/>
      <c r="D942" s="41"/>
      <c r="E942" s="41"/>
      <c r="F942" s="41"/>
    </row>
    <row r="943" ht="15.75" customHeight="1">
      <c r="B943" s="41"/>
      <c r="C943" s="41"/>
      <c r="D943" s="41"/>
      <c r="E943" s="41"/>
      <c r="F943" s="41"/>
    </row>
    <row r="944" ht="15.75" customHeight="1">
      <c r="B944" s="41"/>
      <c r="C944" s="41"/>
      <c r="D944" s="41"/>
      <c r="E944" s="41"/>
      <c r="F944" s="41"/>
    </row>
    <row r="945" ht="15.75" customHeight="1">
      <c r="B945" s="41"/>
      <c r="C945" s="41"/>
      <c r="D945" s="41"/>
      <c r="E945" s="41"/>
      <c r="F945" s="41"/>
    </row>
    <row r="946" ht="15.75" customHeight="1">
      <c r="B946" s="41"/>
      <c r="C946" s="41"/>
      <c r="D946" s="41"/>
      <c r="E946" s="41"/>
      <c r="F946" s="41"/>
    </row>
    <row r="947" ht="15.75" customHeight="1">
      <c r="B947" s="41"/>
      <c r="C947" s="41"/>
      <c r="D947" s="41"/>
      <c r="E947" s="41"/>
      <c r="F947" s="41"/>
    </row>
    <row r="948" ht="15.75" customHeight="1">
      <c r="B948" s="41"/>
      <c r="C948" s="41"/>
      <c r="D948" s="41"/>
      <c r="E948" s="41"/>
      <c r="F948" s="41"/>
    </row>
    <row r="949" ht="15.75" customHeight="1">
      <c r="B949" s="41"/>
      <c r="C949" s="41"/>
      <c r="D949" s="41"/>
      <c r="E949" s="41"/>
      <c r="F949" s="41"/>
    </row>
    <row r="950" ht="15.75" customHeight="1">
      <c r="B950" s="41"/>
      <c r="C950" s="41"/>
      <c r="D950" s="41"/>
      <c r="E950" s="41"/>
      <c r="F950" s="41"/>
    </row>
    <row r="951" ht="15.75" customHeight="1">
      <c r="B951" s="41"/>
      <c r="C951" s="41"/>
      <c r="D951" s="41"/>
      <c r="E951" s="41"/>
      <c r="F951" s="41"/>
    </row>
    <row r="952" ht="15.75" customHeight="1">
      <c r="B952" s="41"/>
      <c r="C952" s="41"/>
      <c r="D952" s="41"/>
      <c r="E952" s="41"/>
      <c r="F952" s="41"/>
    </row>
    <row r="953" ht="15.75" customHeight="1">
      <c r="B953" s="41"/>
      <c r="C953" s="41"/>
      <c r="D953" s="41"/>
      <c r="E953" s="41"/>
      <c r="F953" s="41"/>
    </row>
    <row r="954" ht="15.75" customHeight="1">
      <c r="B954" s="41"/>
      <c r="C954" s="41"/>
      <c r="D954" s="41"/>
      <c r="E954" s="41"/>
      <c r="F954" s="41"/>
    </row>
    <row r="955" ht="15.75" customHeight="1">
      <c r="B955" s="41"/>
      <c r="C955" s="41"/>
      <c r="D955" s="41"/>
      <c r="E955" s="41"/>
      <c r="F955" s="41"/>
    </row>
    <row r="956" ht="15.75" customHeight="1">
      <c r="B956" s="41"/>
      <c r="C956" s="41"/>
      <c r="D956" s="41"/>
      <c r="E956" s="41"/>
      <c r="F956" s="41"/>
    </row>
    <row r="957" ht="15.75" customHeight="1">
      <c r="B957" s="41"/>
      <c r="C957" s="41"/>
      <c r="D957" s="41"/>
      <c r="E957" s="41"/>
      <c r="F957" s="41"/>
    </row>
    <row r="958" ht="15.75" customHeight="1">
      <c r="B958" s="41"/>
      <c r="C958" s="41"/>
      <c r="D958" s="41"/>
      <c r="E958" s="41"/>
      <c r="F958" s="41"/>
    </row>
    <row r="959" ht="15.75" customHeight="1">
      <c r="B959" s="41"/>
      <c r="C959" s="41"/>
      <c r="D959" s="41"/>
      <c r="E959" s="41"/>
      <c r="F959" s="41"/>
    </row>
    <row r="960" ht="15.75" customHeight="1">
      <c r="B960" s="41"/>
      <c r="C960" s="41"/>
      <c r="D960" s="41"/>
      <c r="E960" s="41"/>
      <c r="F960" s="41"/>
    </row>
    <row r="961" ht="15.75" customHeight="1">
      <c r="B961" s="41"/>
      <c r="C961" s="41"/>
      <c r="D961" s="41"/>
      <c r="E961" s="41"/>
      <c r="F961" s="41"/>
    </row>
    <row r="962" ht="15.75" customHeight="1">
      <c r="B962" s="41"/>
      <c r="C962" s="41"/>
      <c r="D962" s="41"/>
      <c r="E962" s="41"/>
      <c r="F962" s="41"/>
    </row>
    <row r="963" ht="15.75" customHeight="1">
      <c r="B963" s="41"/>
      <c r="C963" s="41"/>
      <c r="D963" s="41"/>
      <c r="E963" s="41"/>
      <c r="F963" s="41"/>
    </row>
    <row r="964" ht="15.75" customHeight="1">
      <c r="B964" s="41"/>
      <c r="C964" s="41"/>
      <c r="D964" s="41"/>
      <c r="E964" s="41"/>
      <c r="F964" s="41"/>
    </row>
    <row r="965" ht="15.75" customHeight="1">
      <c r="B965" s="41"/>
      <c r="C965" s="41"/>
      <c r="D965" s="41"/>
      <c r="E965" s="41"/>
      <c r="F965" s="41"/>
    </row>
    <row r="966" ht="15.75" customHeight="1">
      <c r="B966" s="41"/>
      <c r="C966" s="41"/>
      <c r="D966" s="41"/>
      <c r="E966" s="41"/>
      <c r="F966" s="41"/>
    </row>
    <row r="967" ht="15.75" customHeight="1">
      <c r="B967" s="41"/>
      <c r="C967" s="41"/>
      <c r="D967" s="41"/>
      <c r="E967" s="41"/>
      <c r="F967" s="41"/>
    </row>
    <row r="968" ht="15.75" customHeight="1">
      <c r="B968" s="41"/>
      <c r="C968" s="41"/>
      <c r="D968" s="41"/>
      <c r="E968" s="41"/>
      <c r="F968" s="41"/>
    </row>
    <row r="969" ht="15.75" customHeight="1">
      <c r="B969" s="41"/>
      <c r="C969" s="41"/>
      <c r="D969" s="41"/>
      <c r="E969" s="41"/>
      <c r="F969" s="41"/>
    </row>
    <row r="970" ht="15.75" customHeight="1">
      <c r="B970" s="41"/>
      <c r="C970" s="41"/>
      <c r="D970" s="41"/>
      <c r="E970" s="41"/>
      <c r="F970" s="41"/>
    </row>
    <row r="971" ht="15.75" customHeight="1">
      <c r="B971" s="41"/>
      <c r="C971" s="41"/>
      <c r="D971" s="41"/>
      <c r="E971" s="41"/>
      <c r="F971" s="41"/>
    </row>
    <row r="972" ht="15.75" customHeight="1">
      <c r="B972" s="41"/>
      <c r="C972" s="41"/>
      <c r="D972" s="41"/>
      <c r="E972" s="41"/>
      <c r="F972" s="41"/>
    </row>
    <row r="973" ht="15.75" customHeight="1">
      <c r="B973" s="41"/>
      <c r="C973" s="41"/>
      <c r="D973" s="41"/>
      <c r="E973" s="41"/>
      <c r="F973" s="41"/>
    </row>
    <row r="974" ht="15.75" customHeight="1">
      <c r="B974" s="41"/>
      <c r="C974" s="41"/>
      <c r="D974" s="41"/>
      <c r="E974" s="41"/>
      <c r="F974" s="41"/>
    </row>
    <row r="975" ht="15.75" customHeight="1">
      <c r="B975" s="41"/>
      <c r="C975" s="41"/>
      <c r="D975" s="41"/>
      <c r="E975" s="41"/>
      <c r="F975" s="41"/>
    </row>
    <row r="976" ht="15.75" customHeight="1">
      <c r="B976" s="41"/>
      <c r="C976" s="41"/>
      <c r="D976" s="41"/>
      <c r="E976" s="41"/>
      <c r="F976" s="41"/>
    </row>
    <row r="977" ht="15.75" customHeight="1">
      <c r="B977" s="41"/>
      <c r="C977" s="41"/>
      <c r="D977" s="41"/>
      <c r="E977" s="41"/>
      <c r="F977" s="41"/>
    </row>
    <row r="978" ht="15.75" customHeight="1">
      <c r="B978" s="41"/>
      <c r="C978" s="41"/>
      <c r="D978" s="41"/>
      <c r="E978" s="41"/>
      <c r="F978" s="41"/>
    </row>
    <row r="979" ht="15.75" customHeight="1">
      <c r="B979" s="41"/>
      <c r="C979" s="41"/>
      <c r="D979" s="41"/>
      <c r="E979" s="41"/>
      <c r="F979" s="41"/>
    </row>
    <row r="980" ht="15.75" customHeight="1">
      <c r="B980" s="41"/>
      <c r="C980" s="41"/>
      <c r="D980" s="41"/>
      <c r="E980" s="41"/>
      <c r="F980" s="41"/>
    </row>
    <row r="981" ht="15.75" customHeight="1">
      <c r="B981" s="41"/>
      <c r="C981" s="41"/>
      <c r="D981" s="41"/>
      <c r="E981" s="41"/>
      <c r="F981" s="41"/>
    </row>
    <row r="982" ht="15.75" customHeight="1">
      <c r="B982" s="41"/>
      <c r="C982" s="41"/>
      <c r="D982" s="41"/>
      <c r="E982" s="41"/>
      <c r="F982" s="41"/>
    </row>
    <row r="983" ht="15.75" customHeight="1">
      <c r="B983" s="41"/>
      <c r="C983" s="41"/>
      <c r="D983" s="41"/>
      <c r="E983" s="41"/>
      <c r="F983" s="41"/>
    </row>
    <row r="984" ht="15.75" customHeight="1">
      <c r="B984" s="41"/>
      <c r="C984" s="41"/>
      <c r="D984" s="41"/>
      <c r="E984" s="41"/>
      <c r="F984" s="41"/>
    </row>
    <row r="985" ht="15.75" customHeight="1">
      <c r="B985" s="41"/>
      <c r="C985" s="41"/>
      <c r="D985" s="41"/>
      <c r="E985" s="41"/>
      <c r="F985" s="41"/>
    </row>
    <row r="986" ht="15.75" customHeight="1">
      <c r="B986" s="41"/>
      <c r="C986" s="41"/>
      <c r="D986" s="41"/>
      <c r="E986" s="41"/>
      <c r="F986" s="41"/>
    </row>
    <row r="987" ht="15.75" customHeight="1">
      <c r="B987" s="41"/>
      <c r="C987" s="41"/>
      <c r="D987" s="41"/>
      <c r="E987" s="41"/>
      <c r="F987" s="41"/>
    </row>
    <row r="988" ht="15.75" customHeight="1">
      <c r="B988" s="41"/>
      <c r="C988" s="41"/>
      <c r="D988" s="41"/>
      <c r="E988" s="41"/>
      <c r="F988" s="41"/>
    </row>
    <row r="989" ht="15.75" customHeight="1">
      <c r="B989" s="41"/>
      <c r="C989" s="41"/>
      <c r="D989" s="41"/>
      <c r="E989" s="41"/>
      <c r="F989" s="41"/>
    </row>
    <row r="990" ht="15.75" customHeight="1">
      <c r="B990" s="41"/>
      <c r="C990" s="41"/>
      <c r="D990" s="41"/>
      <c r="E990" s="41"/>
      <c r="F990" s="41"/>
    </row>
    <row r="991" ht="15.75" customHeight="1">
      <c r="B991" s="41"/>
      <c r="C991" s="41"/>
      <c r="D991" s="41"/>
      <c r="E991" s="41"/>
      <c r="F991" s="41"/>
    </row>
    <row r="992" ht="15.75" customHeight="1">
      <c r="B992" s="41"/>
      <c r="C992" s="41"/>
      <c r="D992" s="41"/>
      <c r="E992" s="41"/>
      <c r="F992" s="41"/>
    </row>
    <row r="993" ht="15.75" customHeight="1">
      <c r="B993" s="41"/>
      <c r="C993" s="41"/>
      <c r="D993" s="41"/>
      <c r="E993" s="41"/>
      <c r="F993" s="41"/>
    </row>
    <row r="994" ht="15.75" customHeight="1">
      <c r="B994" s="41"/>
      <c r="C994" s="41"/>
      <c r="D994" s="41"/>
      <c r="E994" s="41"/>
      <c r="F994" s="41"/>
    </row>
    <row r="995" ht="15.75" customHeight="1">
      <c r="B995" s="41"/>
      <c r="C995" s="41"/>
      <c r="D995" s="41"/>
      <c r="E995" s="41"/>
      <c r="F995" s="41"/>
    </row>
    <row r="996" ht="15.75" customHeight="1">
      <c r="B996" s="41"/>
      <c r="C996" s="41"/>
      <c r="D996" s="41"/>
      <c r="E996" s="41"/>
      <c r="F996" s="41"/>
    </row>
    <row r="997" ht="15.75" customHeight="1">
      <c r="B997" s="41"/>
      <c r="C997" s="41"/>
      <c r="D997" s="41"/>
      <c r="E997" s="41"/>
      <c r="F997" s="41"/>
    </row>
    <row r="998" ht="15.75" customHeight="1">
      <c r="B998" s="41"/>
      <c r="C998" s="41"/>
      <c r="D998" s="41"/>
      <c r="E998" s="41"/>
      <c r="F998" s="41"/>
    </row>
    <row r="999" ht="15.75" customHeight="1">
      <c r="B999" s="41"/>
      <c r="C999" s="41"/>
      <c r="D999" s="41"/>
      <c r="E999" s="41"/>
      <c r="F999" s="41"/>
    </row>
    <row r="1000" ht="15.75" customHeight="1">
      <c r="B1000" s="41"/>
      <c r="C1000" s="41"/>
      <c r="D1000" s="41"/>
      <c r="E1000" s="41"/>
      <c r="F1000" s="41"/>
    </row>
  </sheetData>
  <drawing r:id="rId1"/>
</worksheet>
</file>