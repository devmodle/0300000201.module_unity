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<sst xmlns="http://schemas.openxmlformats.org/spreadsheetml/2006/main" count="323" uniqueCount="232">
  <si>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</si>
  <si>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</si>
  <si>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</si>
  <si>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</si>
  <si>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</si>
  <si>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</si>
  <si>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</si>
  <si>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</si>
  <si>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</si>
  <si>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</si>
  <si>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</si>
  <si>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</si>
  <si>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</si>
  <si>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</si>
  <si>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</si>
  <si>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</si>
  <si>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</si>
  <si>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</si>
  <si>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</si>
  <si>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</si>
  <si>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</si>
  <si>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</si>
  <si>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</si>
  <si>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</si>
  <si>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</si>
  <si>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</si>
  <si>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</si>
  <si>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</si>
  <si>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</si>
  <si>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</si>
  <si>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</si>
  <si>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</si>
  <si>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</si>
  <si>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</si>
  <si>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</si>
  <si>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</si>
  <si>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</si>
  <si>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</si>
  <si>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</si>
  <si>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</si>
  <si>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</si>
  <si>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</si>
  <si>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</si>
  <si>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</si>
  <si>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</si>
  <si>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</si>
  <si>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</si>
  <si>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</si>
  <si>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</si>
  <si>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</si>
  <si>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</si>
  <si>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</si>
  <si>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</si>
  <si>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</si>
  <si>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</si>
  <si>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</si>
  <si>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</si>
  <si>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</si>
  <si>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</si>
  <si>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</si>
  <si>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</si>
  <si>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</si>
  <si>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</si>
  <si>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</si>
  <si>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</si>
  <si>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</si>
  <si>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</si>
  <si>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</si>
  <si>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</si>
  <si>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</si>
  <si>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</si>
  <si>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</si>
  <si>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</si>
  <si>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</si>
  <si>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</si>
  <si>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</si>
  <si>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</si>
  <si>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</si>
  <si>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</si>
  <si>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</si>
  <si>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</si>
  <si>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</si>
  <si>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</si>
  <si>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</si>
  <si>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</si>
  <si>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</si>
  <si>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</si>
  <si>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</si>
  <si>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</si>
  <si>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</si>
  <si>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</si>
  <si>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</si>
  <si>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</si>
  <si>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</si>
  <si>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</si>
  <si>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</si>
  <si>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</si>
  <si>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</si>
  <si>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</si>
  <si>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</si>
  <si>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</si>
  <si>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</si>
  <si>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</si>
  <si>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</si>
  <si>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</si>
  <si>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</si>
  <si>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</si>
  <si>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</si>
  <si>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</si>
  <si>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</si>
  <si>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</si>
  <si>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</si>
  <si>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</si>
  <si>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</si>
  <si>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</si>
  <si>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</si>
  <si>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</si>
  <si>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</si>
  <si>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</si>
  <si>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</si>
  <si>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</si>
  <si>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</si>
  <si>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</si>
  <si>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</si>
  <si>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</si>
  <si>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</si>
  <si>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</si>
  <si>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</si>
  <si>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</si>
  <si>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</si>
  <si>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</si>
  <si>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</si>
  <si>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</si>
  <si>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</si>
  <si>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</si>
  <si>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</si>
  <si>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U_SpriteAtlas_07</t>
  </si>
  <si>
    <t>Images/U_SpriteAtlas_07</t>
  </si>
  <si>
    <t>확률 - 1</t>
  </si>
  <si>
    <t>U_SpriteAtlas_08</t>
  </si>
  <si>
    <t>Images/U_SpriteAtlas_08</t>
  </si>
  <si>
    <t>확률 - 2</t>
  </si>
  <si>
    <t>U_SpriteAtlas_09</t>
  </si>
  <si>
    <t>Images/U_SpriteAtlas_09</t>
  </si>
  <si>
    <t>명중 확률 - 1</t>
  </si>
  <si>
    <t>명중 확률 - 2</t>
  </si>
  <si>
    <t>EG_SpriteAtlas_01</t>
  </si>
  <si>
    <t>Images/EG_SpriteAtlas_01</t>
  </si>
  <si>
    <t>회피 확룰 - 1</t>
  </si>
  <si>
    <t>EG_SpriteAtlas_02</t>
  </si>
  <si>
    <t>Images/EG_SpriteAtlas_02</t>
  </si>
  <si>
    <t>회피 확룰 - 2</t>
  </si>
  <si>
    <t>EG_SpriteAtlas_03</t>
  </si>
  <si>
    <t>Images/EG_SpriteAtlas_03</t>
  </si>
  <si>
    <t>크리티컬 확률 - 1</t>
  </si>
  <si>
    <t>EG_SpriteAtlas_04</t>
  </si>
  <si>
    <t>Images/EG_SpriteAtlas_04</t>
  </si>
  <si>
    <t>크리티컬 확률 - 2</t>
  </si>
  <si>
    <t>EG_SpriteAtlas_05</t>
  </si>
  <si>
    <t>Images/EG_SpriteAtlas_05</t>
  </si>
  <si>
    <t>EG_SpriteAtlas_06</t>
  </si>
  <si>
    <t>Images/EG_SpriteAtlas_06</t>
  </si>
  <si>
    <t>레벨 증가</t>
  </si>
  <si>
    <t>EG_SpriteAtlas_07</t>
  </si>
  <si>
    <t>Images/EG_SpriteAtlas_07</t>
  </si>
  <si>
    <t>경험치 증가</t>
  </si>
  <si>
    <t>EG_SpriteAtlas_08</t>
  </si>
  <si>
    <t>Images/EG_SpriteAtlas_08</t>
  </si>
  <si>
    <t>개수 증가</t>
  </si>
  <si>
    <t>EG_SpriteAtlas_09</t>
  </si>
  <si>
    <t>Images/EG_SpriteAtlas_09</t>
  </si>
  <si>
    <t>강화 증가</t>
  </si>
  <si>
    <t>텍스처 기본 경로</t>
  </si>
  <si>
    <t>체력 증가 - 1</t>
  </si>
  <si>
    <t>Textures/Global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</si>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</sst>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136</v>
      </c>
      <c r="B57" s="25" t="s">
        <v>137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138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139</v>
      </c>
      <c r="B58" s="25" t="s">
        <v>140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141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162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163</v>
      </c>
      <c r="B67" s="25" t="s">
        <v>164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172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173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174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182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191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1" t="s">
        <v>206</v>
      </c>
      <c r="I1" s="1" t="s">
        <v>207</v>
      </c>
      <c r="J1" s="1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4" t="s">
        <v>214</v>
      </c>
      <c r="Q1" s="34" t="s">
        <v>215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5" t="s">
        <v>216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7">
        <v>1.0</v>
      </c>
      <c r="Q2" s="34" t="str">
        <f>JOIN("/", README!$B$33, "G_BGM_TitleScene")</f>
        <v>Sounds/Global/G_BGM_TitleScene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5" t="s">
        <v>217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7">
        <v>1.0</v>
      </c>
      <c r="Q3" s="34" t="str">
        <f>JOIN("/", README!$B$33, "G_BGM_MainScene")</f>
        <v>Sounds/Global/G_BGM_MainScene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0"/>
    </row>
    <row r="4">
      <c r="A4" s="35" t="s">
        <v>218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7">
        <v>1.0</v>
      </c>
      <c r="Q4" s="34" t="str">
        <f>JOIN("/", README!$B$33, "G_BGM_GameScene")</f>
        <v>Sounds/Global/G_BGM_GameScene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4"/>
      <c r="B5" s="15"/>
      <c r="C5" s="15"/>
      <c r="D5" s="15"/>
      <c r="E5" s="15"/>
      <c r="F5" s="15"/>
      <c r="G5" s="36"/>
      <c r="H5" s="1"/>
      <c r="I5" s="1"/>
      <c r="J5" s="1"/>
      <c r="K5" s="26"/>
      <c r="L5" s="26"/>
      <c r="M5" s="14"/>
      <c r="N5" s="14"/>
      <c r="O5" s="14"/>
      <c r="P5" s="37"/>
      <c r="Q5" s="34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5" t="s">
        <v>219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7">
        <v>1.0</v>
      </c>
      <c r="Q6" s="34" t="str">
        <f>JOIN("/", README!$B$33, "G_SFX_TouchBegin")</f>
        <v>Sounds/Global/G_SFX_TouchBegin</v>
      </c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5" t="s">
        <v>220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7">
        <v>1.0</v>
      </c>
      <c r="Q7" s="34" t="str">
        <f>JOIN("/", README!$B$33, "G_SFX_TouchEnd")</f>
        <v>Sounds/Global/G_SFX_TouchEnd</v>
      </c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4"/>
      <c r="B8" s="15"/>
      <c r="C8" s="15"/>
      <c r="D8" s="15"/>
      <c r="E8" s="15"/>
      <c r="F8" s="15"/>
      <c r="G8" s="36"/>
      <c r="H8" s="1"/>
      <c r="I8" s="1"/>
      <c r="J8" s="1"/>
      <c r="K8" s="26"/>
      <c r="L8" s="26"/>
      <c r="M8" s="14"/>
      <c r="N8" s="14"/>
      <c r="O8" s="14"/>
      <c r="P8" s="37"/>
      <c r="Q8" s="34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5" t="s">
        <v>221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7">
        <v>1.0</v>
      </c>
      <c r="Q9" s="34" t="str">
        <f>JOIN("/", README!$B$33, "G_SFX_PopupShow")</f>
        <v>Sounds/Global/G_SFX_PopupShow</v>
      </c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5" t="s">
        <v>222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7">
        <v>1.0</v>
      </c>
      <c r="Q10" s="34" t="str">
        <f>JOIN("/", README!$B$33, "G_SFX_PopupClose")</f>
        <v>Sounds/Global/G_SFX_PopupClose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0"/>
    </row>
    <row r="11">
      <c r="A11" s="34"/>
      <c r="B11" s="15"/>
      <c r="C11" s="15"/>
      <c r="D11" s="15"/>
      <c r="E11" s="15"/>
      <c r="F11" s="15"/>
      <c r="G11" s="36"/>
      <c r="H11" s="1"/>
      <c r="I11" s="1"/>
      <c r="J11" s="1"/>
      <c r="K11" s="26"/>
      <c r="L11" s="26"/>
      <c r="M11" s="36"/>
      <c r="N11" s="36"/>
      <c r="O11" s="36"/>
      <c r="P11" s="37"/>
      <c r="Q11" s="34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4"/>
      <c r="B12" s="15"/>
      <c r="C12" s="15"/>
      <c r="D12" s="15"/>
      <c r="E12" s="15"/>
      <c r="F12" s="15"/>
      <c r="G12" s="36"/>
      <c r="H12" s="1"/>
      <c r="I12" s="1"/>
      <c r="J12" s="1"/>
      <c r="K12" s="26"/>
      <c r="L12" s="26"/>
      <c r="M12" s="36"/>
      <c r="N12" s="36"/>
      <c r="O12" s="36"/>
      <c r="P12" s="37"/>
      <c r="Q12" s="34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4"/>
      <c r="B13" s="15"/>
      <c r="C13" s="15"/>
      <c r="D13" s="15"/>
      <c r="E13" s="15"/>
      <c r="F13" s="15"/>
      <c r="G13" s="36"/>
      <c r="H13" s="1"/>
      <c r="I13" s="1"/>
      <c r="J13" s="1"/>
      <c r="K13" s="26"/>
      <c r="L13" s="26"/>
      <c r="M13" s="36"/>
      <c r="N13" s="36"/>
      <c r="O13" s="36"/>
      <c r="P13" s="37"/>
      <c r="Q13" s="34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0"/>
    </row>
    <row r="14">
      <c r="A14" s="34"/>
      <c r="B14" s="15"/>
      <c r="C14" s="15"/>
      <c r="D14" s="15"/>
      <c r="E14" s="15"/>
      <c r="F14" s="15"/>
      <c r="G14" s="36"/>
      <c r="H14" s="1"/>
      <c r="I14" s="1"/>
      <c r="J14" s="1"/>
      <c r="K14" s="26"/>
      <c r="L14" s="26"/>
      <c r="M14" s="36"/>
      <c r="N14" s="36"/>
      <c r="O14" s="36"/>
      <c r="P14" s="37"/>
      <c r="Q14" s="34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4"/>
      <c r="B15" s="15"/>
      <c r="C15" s="15"/>
      <c r="D15" s="15"/>
      <c r="E15" s="15"/>
      <c r="F15" s="15"/>
      <c r="G15" s="36"/>
      <c r="H15" s="1"/>
      <c r="I15" s="1"/>
      <c r="J15" s="1"/>
      <c r="K15" s="26"/>
      <c r="L15" s="26"/>
      <c r="M15" s="36"/>
      <c r="N15" s="36"/>
      <c r="O15" s="36"/>
      <c r="P15" s="37"/>
      <c r="Q15" s="34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4"/>
      <c r="B16" s="15"/>
      <c r="C16" s="15"/>
      <c r="D16" s="15"/>
      <c r="E16" s="15"/>
      <c r="F16" s="15"/>
      <c r="G16" s="36"/>
      <c r="H16" s="1"/>
      <c r="I16" s="1"/>
      <c r="J16" s="1"/>
      <c r="K16" s="26"/>
      <c r="L16" s="26"/>
      <c r="M16" s="36"/>
      <c r="N16" s="36"/>
      <c r="O16" s="36"/>
      <c r="P16" s="37"/>
      <c r="Q16" s="34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A17" s="34"/>
      <c r="B17" s="15"/>
      <c r="C17" s="15"/>
      <c r="D17" s="15"/>
      <c r="E17" s="15"/>
      <c r="F17" s="15"/>
      <c r="G17" s="36"/>
      <c r="H17" s="1"/>
      <c r="I17" s="1"/>
      <c r="J17" s="1"/>
      <c r="K17" s="26"/>
      <c r="L17" s="26"/>
      <c r="M17" s="36"/>
      <c r="N17" s="36"/>
      <c r="O17" s="36"/>
      <c r="P17" s="37"/>
      <c r="Q17" s="34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0"/>
    </row>
    <row r="18">
      <c r="A18" s="34"/>
      <c r="B18" s="15"/>
      <c r="C18" s="15"/>
      <c r="D18" s="15"/>
      <c r="E18" s="15"/>
      <c r="F18" s="15"/>
      <c r="G18" s="36"/>
      <c r="H18" s="1"/>
      <c r="I18" s="1"/>
      <c r="J18" s="1"/>
      <c r="K18" s="26"/>
      <c r="L18" s="26"/>
      <c r="M18" s="36"/>
      <c r="N18" s="36"/>
      <c r="O18" s="36"/>
      <c r="P18" s="37"/>
      <c r="Q18" s="34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0"/>
    </row>
    <row r="19">
      <c r="A19" s="34"/>
      <c r="B19" s="15"/>
      <c r="C19" s="15"/>
      <c r="D19" s="15"/>
      <c r="E19" s="15"/>
      <c r="F19" s="15"/>
      <c r="G19" s="36"/>
      <c r="H19" s="1"/>
      <c r="I19" s="1"/>
      <c r="J19" s="1"/>
      <c r="K19" s="26"/>
      <c r="L19" s="26"/>
      <c r="M19" s="36"/>
      <c r="N19" s="36"/>
      <c r="O19" s="36"/>
      <c r="P19" s="37"/>
      <c r="Q19" s="34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0"/>
    </row>
    <row r="20">
      <c r="A20" s="34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6"/>
      <c r="N20" s="36"/>
      <c r="O20" s="36"/>
      <c r="P20" s="37"/>
      <c r="Q20" s="34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>
      <c r="A21" s="34"/>
      <c r="B21" s="15"/>
      <c r="C21" s="15"/>
      <c r="D21" s="15"/>
      <c r="E21" s="15"/>
      <c r="F21" s="15"/>
      <c r="G21" s="36"/>
      <c r="H21" s="1"/>
      <c r="I21" s="1"/>
      <c r="J21" s="1"/>
      <c r="K21" s="26"/>
      <c r="L21" s="26"/>
      <c r="M21" s="36"/>
      <c r="N21" s="36"/>
      <c r="O21" s="36"/>
      <c r="P21" s="37"/>
      <c r="Q21" s="34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0"/>
    </row>
    <row r="22">
      <c r="A22" s="34"/>
      <c r="B22" s="15"/>
      <c r="C22" s="15"/>
      <c r="D22" s="15"/>
      <c r="E22" s="15"/>
      <c r="F22" s="15"/>
      <c r="G22" s="36"/>
      <c r="H22" s="1"/>
      <c r="I22" s="1"/>
      <c r="J22" s="1"/>
      <c r="K22" s="26"/>
      <c r="L22" s="26"/>
      <c r="M22" s="36"/>
      <c r="N22" s="36"/>
      <c r="O22" s="36"/>
      <c r="P22" s="37"/>
      <c r="Q22" s="34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0"/>
    </row>
    <row r="23">
      <c r="A23" s="34"/>
      <c r="B23" s="15"/>
      <c r="C23" s="15"/>
      <c r="D23" s="15"/>
      <c r="E23" s="15"/>
      <c r="F23" s="15"/>
      <c r="G23" s="36"/>
      <c r="H23" s="1"/>
      <c r="I23" s="1"/>
      <c r="J23" s="1"/>
      <c r="K23" s="26"/>
      <c r="L23" s="26"/>
      <c r="M23" s="36"/>
      <c r="N23" s="36"/>
      <c r="O23" s="36"/>
      <c r="P23" s="37"/>
      <c r="Q23" s="34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0"/>
    </row>
    <row r="24">
      <c r="A24" s="34"/>
      <c r="B24" s="15"/>
      <c r="C24" s="15"/>
      <c r="D24" s="15"/>
      <c r="E24" s="15"/>
      <c r="F24" s="15"/>
      <c r="G24" s="36"/>
      <c r="H24" s="1"/>
      <c r="I24" s="1"/>
      <c r="J24" s="1"/>
      <c r="K24" s="26"/>
      <c r="L24" s="26"/>
      <c r="M24" s="36"/>
      <c r="N24" s="36"/>
      <c r="O24" s="36"/>
      <c r="P24" s="37"/>
      <c r="Q24" s="34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0"/>
    </row>
    <row r="25">
      <c r="A25" s="34"/>
      <c r="B25" s="15"/>
      <c r="C25" s="15"/>
      <c r="D25" s="15"/>
      <c r="E25" s="15"/>
      <c r="F25" s="15"/>
      <c r="G25" s="36"/>
      <c r="H25" s="1"/>
      <c r="I25" s="1"/>
      <c r="J25" s="1"/>
      <c r="K25" s="26"/>
      <c r="L25" s="26"/>
      <c r="M25" s="36"/>
      <c r="N25" s="36"/>
      <c r="O25" s="36"/>
      <c r="P25" s="37"/>
      <c r="Q25" s="3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0"/>
    </row>
    <row r="26">
      <c r="A26" s="34"/>
      <c r="B26" s="15"/>
      <c r="C26" s="15"/>
      <c r="D26" s="15"/>
      <c r="E26" s="15"/>
      <c r="F26" s="15"/>
      <c r="G26" s="36"/>
      <c r="H26" s="1"/>
      <c r="I26" s="1"/>
      <c r="J26" s="1"/>
      <c r="K26" s="26"/>
      <c r="L26" s="26"/>
      <c r="M26" s="36"/>
      <c r="N26" s="36"/>
      <c r="O26" s="36"/>
      <c r="P26" s="37"/>
      <c r="Q26" s="3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0"/>
    </row>
    <row r="27">
      <c r="A27" s="34"/>
      <c r="B27" s="15"/>
      <c r="C27" s="15"/>
      <c r="D27" s="15"/>
      <c r="E27" s="15"/>
      <c r="F27" s="15"/>
      <c r="G27" s="36"/>
      <c r="H27" s="1"/>
      <c r="I27" s="1"/>
      <c r="J27" s="1"/>
      <c r="K27" s="26"/>
      <c r="L27" s="26"/>
      <c r="M27" s="36"/>
      <c r="N27" s="36"/>
      <c r="O27" s="36"/>
      <c r="P27" s="37"/>
      <c r="Q27" s="3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0"/>
    </row>
    <row r="28">
      <c r="A28" s="34"/>
      <c r="B28" s="15"/>
      <c r="C28" s="15"/>
      <c r="D28" s="15"/>
      <c r="E28" s="15"/>
      <c r="F28" s="15"/>
      <c r="G28" s="36"/>
      <c r="H28" s="1"/>
      <c r="I28" s="1"/>
      <c r="J28" s="1"/>
      <c r="K28" s="26"/>
      <c r="L28" s="26"/>
      <c r="M28" s="36"/>
      <c r="N28" s="36"/>
      <c r="O28" s="36"/>
      <c r="P28" s="37"/>
      <c r="Q28" s="3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0"/>
    </row>
    <row r="29">
      <c r="A29" s="34"/>
      <c r="B29" s="15"/>
      <c r="C29" s="15"/>
      <c r="D29" s="15"/>
      <c r="E29" s="15"/>
      <c r="F29" s="15"/>
      <c r="G29" s="36"/>
      <c r="H29" s="1"/>
      <c r="I29" s="1"/>
      <c r="J29" s="1"/>
      <c r="K29" s="26"/>
      <c r="L29" s="26"/>
      <c r="M29" s="36"/>
      <c r="N29" s="36"/>
      <c r="O29" s="36"/>
      <c r="P29" s="37"/>
      <c r="Q29" s="3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0"/>
    </row>
    <row r="30">
      <c r="A30" s="34"/>
      <c r="B30" s="15"/>
      <c r="C30" s="15"/>
      <c r="D30" s="15"/>
      <c r="E30" s="15"/>
      <c r="F30" s="15"/>
      <c r="G30" s="36"/>
      <c r="H30" s="1"/>
      <c r="I30" s="1"/>
      <c r="J30" s="1"/>
      <c r="K30" s="26"/>
      <c r="L30" s="26"/>
      <c r="M30" s="36"/>
      <c r="N30" s="36"/>
      <c r="O30" s="36"/>
      <c r="P30" s="37"/>
      <c r="Q30" s="34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0"/>
    </row>
    <row r="31">
      <c r="A31" s="34"/>
      <c r="B31" s="15"/>
      <c r="C31" s="15"/>
      <c r="D31" s="15"/>
      <c r="E31" s="15"/>
      <c r="F31" s="15"/>
      <c r="G31" s="36"/>
      <c r="H31" s="1"/>
      <c r="I31" s="1"/>
      <c r="J31" s="1"/>
      <c r="K31" s="26"/>
      <c r="L31" s="26"/>
      <c r="M31" s="36"/>
      <c r="N31" s="36"/>
      <c r="O31" s="36"/>
      <c r="P31" s="37"/>
      <c r="Q31" s="34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0"/>
    </row>
    <row r="32">
      <c r="A32" s="34"/>
      <c r="B32" s="15"/>
      <c r="C32" s="15"/>
      <c r="D32" s="15"/>
      <c r="E32" s="15"/>
      <c r="F32" s="15"/>
      <c r="G32" s="36"/>
      <c r="H32" s="1"/>
      <c r="I32" s="1"/>
      <c r="J32" s="1"/>
      <c r="K32" s="26"/>
      <c r="L32" s="26"/>
      <c r="M32" s="36"/>
      <c r="N32" s="36"/>
      <c r="O32" s="36"/>
      <c r="P32" s="37"/>
      <c r="Q32" s="34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0"/>
    </row>
    <row r="33">
      <c r="A33" s="34"/>
      <c r="B33" s="15"/>
      <c r="C33" s="15"/>
      <c r="D33" s="15"/>
      <c r="E33" s="15"/>
      <c r="F33" s="15"/>
      <c r="G33" s="36"/>
      <c r="H33" s="1"/>
      <c r="I33" s="1"/>
      <c r="J33" s="1"/>
      <c r="K33" s="26"/>
      <c r="L33" s="26"/>
      <c r="M33" s="36"/>
      <c r="N33" s="36"/>
      <c r="O33" s="36"/>
      <c r="P33" s="37"/>
      <c r="Q33" s="34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0"/>
    </row>
    <row r="34">
      <c r="A34" s="34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6"/>
      <c r="N34" s="36"/>
      <c r="O34" s="36"/>
      <c r="P34" s="37"/>
      <c r="Q34" s="34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>
      <c r="A35" s="34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6"/>
      <c r="N35" s="36"/>
      <c r="O35" s="36"/>
      <c r="P35" s="37"/>
      <c r="Q35" s="34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>
      <c r="A36" s="34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6"/>
      <c r="N36" s="36"/>
      <c r="O36" s="36"/>
      <c r="P36" s="37"/>
      <c r="Q36" s="34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>
      <c r="A37" s="34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6"/>
      <c r="N37" s="36"/>
      <c r="O37" s="36"/>
      <c r="P37" s="37"/>
      <c r="Q37" s="34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>
      <c r="A38" s="34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6"/>
      <c r="N38" s="36"/>
      <c r="O38" s="36"/>
      <c r="P38" s="37"/>
      <c r="Q38" s="34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>
      <c r="A39" s="34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6"/>
      <c r="N39" s="36"/>
      <c r="O39" s="36"/>
      <c r="P39" s="37"/>
      <c r="Q39" s="34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>
      <c r="A40" s="34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6"/>
      <c r="N40" s="36"/>
      <c r="O40" s="36"/>
      <c r="P40" s="37"/>
      <c r="Q40" s="34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>
      <c r="A41" s="34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6"/>
      <c r="N41" s="36"/>
      <c r="O41" s="36"/>
      <c r="P41" s="37"/>
      <c r="Q41" s="34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>
      <c r="A42" s="34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6"/>
      <c r="N42" s="36"/>
      <c r="O42" s="36"/>
      <c r="P42" s="37"/>
      <c r="Q42" s="34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>
      <c r="A43" s="34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6"/>
      <c r="N43" s="36"/>
      <c r="O43" s="36"/>
      <c r="P43" s="37"/>
      <c r="Q43" s="34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>
      <c r="A44" s="34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6"/>
      <c r="N44" s="36"/>
      <c r="O44" s="36"/>
      <c r="P44" s="37"/>
      <c r="Q44" s="34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>
      <c r="A45" s="34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6"/>
      <c r="N45" s="36"/>
      <c r="O45" s="36"/>
      <c r="P45" s="37"/>
      <c r="Q45" s="34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>
      <c r="A46" s="34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6"/>
      <c r="N46" s="36"/>
      <c r="O46" s="36"/>
      <c r="P46" s="37"/>
      <c r="Q46" s="34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>
      <c r="A47" s="34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6"/>
      <c r="N47" s="36"/>
      <c r="O47" s="36"/>
      <c r="P47" s="37"/>
      <c r="Q47" s="34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>
      <c r="A48" s="34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6"/>
      <c r="N48" s="36"/>
      <c r="O48" s="36"/>
      <c r="P48" s="37"/>
      <c r="Q48" s="34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>
      <c r="A49" s="34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6"/>
      <c r="N49" s="36"/>
      <c r="O49" s="36"/>
      <c r="P49" s="37"/>
      <c r="Q49" s="34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>
      <c r="A50" s="34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6"/>
      <c r="N50" s="36"/>
      <c r="O50" s="36"/>
      <c r="P50" s="37"/>
      <c r="Q50" s="34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>
      <c r="A51" s="34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6"/>
      <c r="N51" s="36"/>
      <c r="O51" s="36"/>
      <c r="P51" s="37"/>
      <c r="Q51" s="34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>
      <c r="A52" s="34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6"/>
      <c r="N52" s="36"/>
      <c r="O52" s="36"/>
      <c r="P52" s="37"/>
      <c r="Q52" s="34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>
      <c r="A53" s="34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6"/>
      <c r="N53" s="36"/>
      <c r="O53" s="36"/>
      <c r="P53" s="37"/>
      <c r="Q53" s="34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>
      <c r="A54" s="34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6"/>
      <c r="N54" s="36"/>
      <c r="O54" s="36"/>
      <c r="P54" s="37"/>
      <c r="Q54" s="34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>
      <c r="A55" s="34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6"/>
      <c r="N55" s="36"/>
      <c r="O55" s="36"/>
      <c r="P55" s="37"/>
      <c r="Q55" s="34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>
      <c r="A56" s="34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6"/>
      <c r="N56" s="36"/>
      <c r="O56" s="36"/>
      <c r="P56" s="37"/>
      <c r="Q56" s="34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>
      <c r="A57" s="34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6"/>
      <c r="N57" s="36"/>
      <c r="O57" s="36"/>
      <c r="P57" s="37"/>
      <c r="Q57" s="34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>
      <c r="A58" s="34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6"/>
      <c r="N58" s="36"/>
      <c r="O58" s="36"/>
      <c r="P58" s="37"/>
      <c r="Q58" s="34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>
      <c r="A59" s="34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6"/>
      <c r="N59" s="36"/>
      <c r="O59" s="36"/>
      <c r="P59" s="37"/>
      <c r="Q59" s="34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>
      <c r="A60" s="34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6"/>
      <c r="N60" s="36"/>
      <c r="O60" s="36"/>
      <c r="P60" s="37"/>
      <c r="Q60" s="34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>
      <c r="A61" s="34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6"/>
      <c r="N61" s="36"/>
      <c r="O61" s="36"/>
      <c r="P61" s="37"/>
      <c r="Q61" s="34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>
      <c r="A62" s="34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6"/>
      <c r="N62" s="36"/>
      <c r="O62" s="36"/>
      <c r="P62" s="37"/>
      <c r="Q62" s="34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>
      <c r="A63" s="34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6"/>
      <c r="N63" s="36"/>
      <c r="O63" s="36"/>
      <c r="P63" s="37"/>
      <c r="Q63" s="34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>
      <c r="A64" s="34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6"/>
      <c r="N64" s="36"/>
      <c r="O64" s="36"/>
      <c r="P64" s="37"/>
      <c r="Q64" s="34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>
      <c r="A65" s="34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6"/>
      <c r="N65" s="36"/>
      <c r="O65" s="36"/>
      <c r="P65" s="37"/>
      <c r="Q65" s="34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>
      <c r="A66" s="34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6"/>
      <c r="N66" s="36"/>
      <c r="O66" s="36"/>
      <c r="P66" s="37"/>
      <c r="Q66" s="34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>
      <c r="A67" s="34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6"/>
      <c r="N67" s="36"/>
      <c r="O67" s="36"/>
      <c r="P67" s="37"/>
      <c r="Q67" s="34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>
      <c r="A68" s="34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6"/>
      <c r="N68" s="36"/>
      <c r="O68" s="36"/>
      <c r="P68" s="37"/>
      <c r="Q68" s="34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>
      <c r="A69" s="34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6"/>
      <c r="N69" s="36"/>
      <c r="O69" s="36"/>
      <c r="P69" s="37"/>
      <c r="Q69" s="34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>
      <c r="A70" s="34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6"/>
      <c r="N70" s="36"/>
      <c r="O70" s="36"/>
      <c r="P70" s="37"/>
      <c r="Q70" s="34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>
      <c r="A71" s="34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6"/>
      <c r="N71" s="36"/>
      <c r="O71" s="36"/>
      <c r="P71" s="37"/>
      <c r="Q71" s="34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>
      <c r="A72" s="34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6"/>
      <c r="N72" s="36"/>
      <c r="O72" s="36"/>
      <c r="P72" s="37"/>
      <c r="Q72" s="34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>
      <c r="A73" s="34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6"/>
      <c r="N73" s="36"/>
      <c r="O73" s="36"/>
      <c r="P73" s="37"/>
      <c r="Q73" s="34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>
      <c r="A74" s="34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6"/>
      <c r="N74" s="36"/>
      <c r="O74" s="36"/>
      <c r="P74" s="37"/>
      <c r="Q74" s="34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>
      <c r="A75" s="34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6"/>
      <c r="N75" s="36"/>
      <c r="O75" s="36"/>
      <c r="P75" s="37"/>
      <c r="Q75" s="34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>
      <c r="A76" s="34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6"/>
      <c r="N76" s="36"/>
      <c r="O76" s="36"/>
      <c r="P76" s="37"/>
      <c r="Q76" s="34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>
      <c r="A77" s="34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6"/>
      <c r="N77" s="36"/>
      <c r="O77" s="36"/>
      <c r="P77" s="37"/>
      <c r="Q77" s="34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>
      <c r="A78" s="34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6"/>
      <c r="N78" s="36"/>
      <c r="O78" s="36"/>
      <c r="P78" s="37"/>
      <c r="Q78" s="34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>
      <c r="A79" s="34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6"/>
      <c r="N79" s="36"/>
      <c r="O79" s="36"/>
      <c r="P79" s="37"/>
      <c r="Q79" s="34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>
      <c r="A80" s="34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6"/>
      <c r="N80" s="36"/>
      <c r="O80" s="36"/>
      <c r="P80" s="37"/>
      <c r="Q80" s="34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>
      <c r="A81" s="34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6"/>
      <c r="N81" s="36"/>
      <c r="O81" s="36"/>
      <c r="P81" s="37"/>
      <c r="Q81" s="34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>
      <c r="A82" s="34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6"/>
      <c r="N82" s="36"/>
      <c r="O82" s="36"/>
      <c r="P82" s="37"/>
      <c r="Q82" s="34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>
      <c r="A83" s="34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6"/>
      <c r="N83" s="36"/>
      <c r="O83" s="36"/>
      <c r="P83" s="37"/>
      <c r="Q83" s="34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>
      <c r="A84" s="34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6"/>
      <c r="N84" s="36"/>
      <c r="O84" s="36"/>
      <c r="P84" s="37"/>
      <c r="Q84" s="34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>
      <c r="A85" s="34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6"/>
      <c r="N85" s="36"/>
      <c r="O85" s="36"/>
      <c r="P85" s="37"/>
      <c r="Q85" s="34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>
      <c r="A86" s="34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6"/>
      <c r="N86" s="36"/>
      <c r="O86" s="36"/>
      <c r="P86" s="37"/>
      <c r="Q86" s="34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>
      <c r="A87" s="34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6"/>
      <c r="N87" s="36"/>
      <c r="O87" s="36"/>
      <c r="P87" s="37"/>
      <c r="Q87" s="34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>
      <c r="A88" s="34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6"/>
      <c r="N88" s="36"/>
      <c r="O88" s="36"/>
      <c r="P88" s="37"/>
      <c r="Q88" s="34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>
      <c r="A89" s="34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6"/>
      <c r="N89" s="36"/>
      <c r="O89" s="36"/>
      <c r="P89" s="37"/>
      <c r="Q89" s="34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>
      <c r="A90" s="34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6"/>
      <c r="N90" s="36"/>
      <c r="O90" s="36"/>
      <c r="P90" s="37"/>
      <c r="Q90" s="34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>
      <c r="A91" s="34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6"/>
      <c r="N91" s="36"/>
      <c r="O91" s="36"/>
      <c r="P91" s="37"/>
      <c r="Q91" s="34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>
      <c r="A92" s="34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6"/>
      <c r="N92" s="36"/>
      <c r="O92" s="36"/>
      <c r="P92" s="37"/>
      <c r="Q92" s="34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>
      <c r="A93" s="34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6"/>
      <c r="N93" s="36"/>
      <c r="O93" s="36"/>
      <c r="P93" s="37"/>
      <c r="Q93" s="34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>
      <c r="A94" s="34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6"/>
      <c r="N94" s="36"/>
      <c r="O94" s="36"/>
      <c r="P94" s="37"/>
      <c r="Q94" s="34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>
      <c r="A95" s="34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6"/>
      <c r="N95" s="36"/>
      <c r="O95" s="36"/>
      <c r="P95" s="37"/>
      <c r="Q95" s="34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>
      <c r="A96" s="34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6"/>
      <c r="N96" s="36"/>
      <c r="O96" s="36"/>
      <c r="P96" s="37"/>
      <c r="Q96" s="34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>
      <c r="A97" s="34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6"/>
      <c r="N97" s="36"/>
      <c r="O97" s="36"/>
      <c r="P97" s="37"/>
      <c r="Q97" s="34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>
      <c r="A98" s="34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6"/>
      <c r="N98" s="36"/>
      <c r="O98" s="36"/>
      <c r="P98" s="37"/>
      <c r="Q98" s="34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>
      <c r="A99" s="34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6"/>
      <c r="N99" s="36"/>
      <c r="O99" s="36"/>
      <c r="P99" s="37"/>
      <c r="Q99" s="34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>
      <c r="A100" s="34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6"/>
      <c r="N100" s="36"/>
      <c r="O100" s="36"/>
      <c r="P100" s="37"/>
      <c r="Q100" s="34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>
      <c r="A101" s="34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6"/>
      <c r="N101" s="36"/>
      <c r="O101" s="36"/>
      <c r="P101" s="37"/>
      <c r="Q101" s="34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>
      <c r="A102" s="34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6"/>
      <c r="N102" s="36"/>
      <c r="O102" s="36"/>
      <c r="P102" s="37"/>
      <c r="Q102" s="34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>
      <c r="A103" s="34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6"/>
      <c r="N103" s="36"/>
      <c r="O103" s="36"/>
      <c r="P103" s="37"/>
      <c r="Q103" s="34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>
      <c r="A104" s="34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6"/>
      <c r="N104" s="36"/>
      <c r="O104" s="36"/>
      <c r="P104" s="37"/>
      <c r="Q104" s="34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>
      <c r="A105" s="34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6"/>
      <c r="N105" s="36"/>
      <c r="O105" s="36"/>
      <c r="P105" s="37"/>
      <c r="Q105" s="34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>
      <c r="A106" s="34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6"/>
      <c r="N106" s="36"/>
      <c r="O106" s="36"/>
      <c r="P106" s="37"/>
      <c r="Q106" s="34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>
      <c r="A107" s="34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6"/>
      <c r="N107" s="36"/>
      <c r="O107" s="36"/>
      <c r="P107" s="37"/>
      <c r="Q107" s="34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>
      <c r="A108" s="34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6"/>
      <c r="N108" s="36"/>
      <c r="O108" s="36"/>
      <c r="P108" s="37"/>
      <c r="Q108" s="34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>
      <c r="A109" s="34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6"/>
      <c r="N109" s="36"/>
      <c r="O109" s="36"/>
      <c r="P109" s="37"/>
      <c r="Q109" s="34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>
      <c r="A110" s="34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6"/>
      <c r="N110" s="36"/>
      <c r="O110" s="36"/>
      <c r="P110" s="37"/>
      <c r="Q110" s="34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>
      <c r="A111" s="34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6"/>
      <c r="N111" s="36"/>
      <c r="O111" s="36"/>
      <c r="P111" s="37"/>
      <c r="Q111" s="34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>
      <c r="A112" s="34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6"/>
      <c r="N112" s="36"/>
      <c r="O112" s="36"/>
      <c r="P112" s="37"/>
      <c r="Q112" s="34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>
      <c r="A113" s="34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6"/>
      <c r="N113" s="36"/>
      <c r="O113" s="36"/>
      <c r="P113" s="37"/>
      <c r="Q113" s="34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>
      <c r="A114" s="34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6"/>
      <c r="N114" s="36"/>
      <c r="O114" s="36"/>
      <c r="P114" s="37"/>
      <c r="Q114" s="34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>
      <c r="A115" s="34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6"/>
      <c r="N115" s="36"/>
      <c r="O115" s="36"/>
      <c r="P115" s="37"/>
      <c r="Q115" s="34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>
      <c r="A116" s="34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6"/>
      <c r="N116" s="36"/>
      <c r="O116" s="36"/>
      <c r="P116" s="37"/>
      <c r="Q116" s="34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>
      <c r="A117" s="34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6"/>
      <c r="N117" s="36"/>
      <c r="O117" s="36"/>
      <c r="P117" s="37"/>
      <c r="Q117" s="34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>
      <c r="A118" s="34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6"/>
      <c r="N118" s="36"/>
      <c r="O118" s="36"/>
      <c r="P118" s="37"/>
      <c r="Q118" s="34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>
      <c r="A119" s="34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6"/>
      <c r="N119" s="36"/>
      <c r="O119" s="36"/>
      <c r="P119" s="37"/>
      <c r="Q119" s="34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>
      <c r="A120" s="34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6"/>
      <c r="N120" s="36"/>
      <c r="O120" s="36"/>
      <c r="P120" s="37"/>
      <c r="Q120" s="34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>
      <c r="A121" s="34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6"/>
      <c r="N121" s="36"/>
      <c r="O121" s="36"/>
      <c r="P121" s="37"/>
      <c r="Q121" s="34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>
      <c r="A122" s="34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6"/>
      <c r="N122" s="36"/>
      <c r="O122" s="36"/>
      <c r="P122" s="37"/>
      <c r="Q122" s="34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>
      <c r="A123" s="34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6"/>
      <c r="N123" s="36"/>
      <c r="O123" s="36"/>
      <c r="P123" s="37"/>
      <c r="Q123" s="34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>
      <c r="A124" s="34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6"/>
      <c r="N124" s="36"/>
      <c r="O124" s="36"/>
      <c r="P124" s="37"/>
      <c r="Q124" s="34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>
      <c r="A125" s="34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6"/>
      <c r="N125" s="36"/>
      <c r="O125" s="36"/>
      <c r="P125" s="37"/>
      <c r="Q125" s="34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>
      <c r="A126" s="34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6"/>
      <c r="N126" s="36"/>
      <c r="O126" s="36"/>
      <c r="P126" s="37"/>
      <c r="Q126" s="34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>
      <c r="A127" s="34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6"/>
      <c r="N127" s="36"/>
      <c r="O127" s="36"/>
      <c r="P127" s="37"/>
      <c r="Q127" s="34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>
      <c r="A128" s="34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6"/>
      <c r="N128" s="36"/>
      <c r="O128" s="36"/>
      <c r="P128" s="37"/>
      <c r="Q128" s="34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>
      <c r="A129" s="34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6"/>
      <c r="N129" s="36"/>
      <c r="O129" s="36"/>
      <c r="P129" s="37"/>
      <c r="Q129" s="34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>
      <c r="A130" s="34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6"/>
      <c r="N130" s="36"/>
      <c r="O130" s="36"/>
      <c r="P130" s="37"/>
      <c r="Q130" s="34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>
      <c r="A131" s="34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6"/>
      <c r="N131" s="36"/>
      <c r="O131" s="36"/>
      <c r="P131" s="37"/>
      <c r="Q131" s="34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>
      <c r="A132" s="34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6"/>
      <c r="N132" s="36"/>
      <c r="O132" s="36"/>
      <c r="P132" s="37"/>
      <c r="Q132" s="34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>
      <c r="A133" s="34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6"/>
      <c r="N133" s="36"/>
      <c r="O133" s="36"/>
      <c r="P133" s="37"/>
      <c r="Q133" s="34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>
      <c r="A134" s="34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6"/>
      <c r="N134" s="36"/>
      <c r="O134" s="36"/>
      <c r="P134" s="37"/>
      <c r="Q134" s="34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>
      <c r="A135" s="34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6"/>
      <c r="N135" s="36"/>
      <c r="O135" s="36"/>
      <c r="P135" s="37"/>
      <c r="Q135" s="34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>
      <c r="A136" s="34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6"/>
      <c r="N136" s="36"/>
      <c r="O136" s="36"/>
      <c r="P136" s="37"/>
      <c r="Q136" s="34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>
      <c r="A137" s="34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6"/>
      <c r="N137" s="36"/>
      <c r="O137" s="36"/>
      <c r="P137" s="37"/>
      <c r="Q137" s="34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>
      <c r="A138" s="34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6"/>
      <c r="N138" s="36"/>
      <c r="O138" s="36"/>
      <c r="P138" s="37"/>
      <c r="Q138" s="34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>
      <c r="A139" s="34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6"/>
      <c r="N139" s="36"/>
      <c r="O139" s="36"/>
      <c r="P139" s="37"/>
      <c r="Q139" s="34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>
      <c r="A140" s="34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6"/>
      <c r="N140" s="36"/>
      <c r="O140" s="36"/>
      <c r="P140" s="37"/>
      <c r="Q140" s="34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>
      <c r="A141" s="34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6"/>
      <c r="N141" s="36"/>
      <c r="O141" s="36"/>
      <c r="P141" s="37"/>
      <c r="Q141" s="34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>
      <c r="A142" s="34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6"/>
      <c r="N142" s="36"/>
      <c r="O142" s="36"/>
      <c r="P142" s="37"/>
      <c r="Q142" s="34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>
      <c r="A143" s="34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6"/>
      <c r="N143" s="36"/>
      <c r="O143" s="36"/>
      <c r="P143" s="37"/>
      <c r="Q143" s="34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>
      <c r="A144" s="34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6"/>
      <c r="N144" s="36"/>
      <c r="O144" s="36"/>
      <c r="P144" s="37"/>
      <c r="Q144" s="34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>
      <c r="A145" s="34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6"/>
      <c r="N145" s="36"/>
      <c r="O145" s="36"/>
      <c r="P145" s="37"/>
      <c r="Q145" s="34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>
      <c r="A146" s="34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6"/>
      <c r="N146" s="36"/>
      <c r="O146" s="36"/>
      <c r="P146" s="37"/>
      <c r="Q146" s="34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>
      <c r="A147" s="34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6"/>
      <c r="N147" s="36"/>
      <c r="O147" s="36"/>
      <c r="P147" s="37"/>
      <c r="Q147" s="34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>
      <c r="A148" s="34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6"/>
      <c r="N148" s="36"/>
      <c r="O148" s="36"/>
      <c r="P148" s="37"/>
      <c r="Q148" s="34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>
      <c r="A149" s="34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6"/>
      <c r="N149" s="36"/>
      <c r="O149" s="36"/>
      <c r="P149" s="37"/>
      <c r="Q149" s="34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>
      <c r="A150" s="34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6"/>
      <c r="N150" s="36"/>
      <c r="O150" s="36"/>
      <c r="P150" s="37"/>
      <c r="Q150" s="34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>
      <c r="A151" s="34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6"/>
      <c r="N151" s="36"/>
      <c r="O151" s="36"/>
      <c r="P151" s="37"/>
      <c r="Q151" s="34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>
      <c r="A152" s="34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6"/>
      <c r="N152" s="36"/>
      <c r="O152" s="36"/>
      <c r="P152" s="37"/>
      <c r="Q152" s="34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>
      <c r="A153" s="34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6"/>
      <c r="N153" s="36"/>
      <c r="O153" s="36"/>
      <c r="P153" s="37"/>
      <c r="Q153" s="34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>
      <c r="A154" s="34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6"/>
      <c r="N154" s="36"/>
      <c r="O154" s="36"/>
      <c r="P154" s="37"/>
      <c r="Q154" s="34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>
      <c r="A155" s="34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6"/>
      <c r="N155" s="36"/>
      <c r="O155" s="36"/>
      <c r="P155" s="37"/>
      <c r="Q155" s="34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>
      <c r="A156" s="34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6"/>
      <c r="N156" s="36"/>
      <c r="O156" s="36"/>
      <c r="P156" s="37"/>
      <c r="Q156" s="34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>
      <c r="A157" s="34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6"/>
      <c r="N157" s="36"/>
      <c r="O157" s="36"/>
      <c r="P157" s="37"/>
      <c r="Q157" s="34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>
      <c r="A158" s="34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6"/>
      <c r="N158" s="36"/>
      <c r="O158" s="36"/>
      <c r="P158" s="37"/>
      <c r="Q158" s="34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>
      <c r="A159" s="34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6"/>
      <c r="N159" s="36"/>
      <c r="O159" s="36"/>
      <c r="P159" s="37"/>
      <c r="Q159" s="34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>
      <c r="A160" s="34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6"/>
      <c r="N160" s="36"/>
      <c r="O160" s="36"/>
      <c r="P160" s="37"/>
      <c r="Q160" s="34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>
      <c r="A161" s="34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6"/>
      <c r="N161" s="36"/>
      <c r="O161" s="36"/>
      <c r="P161" s="37"/>
      <c r="Q161" s="34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>
      <c r="A162" s="34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6"/>
      <c r="N162" s="36"/>
      <c r="O162" s="36"/>
      <c r="P162" s="37"/>
      <c r="Q162" s="34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>
      <c r="A163" s="34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6"/>
      <c r="N163" s="36"/>
      <c r="O163" s="36"/>
      <c r="P163" s="37"/>
      <c r="Q163" s="34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>
      <c r="A164" s="34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6"/>
      <c r="N164" s="36"/>
      <c r="O164" s="36"/>
      <c r="P164" s="37"/>
      <c r="Q164" s="34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>
      <c r="A165" s="34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6"/>
      <c r="N165" s="36"/>
      <c r="O165" s="36"/>
      <c r="P165" s="37"/>
      <c r="Q165" s="34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>
      <c r="A166" s="34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6"/>
      <c r="N166" s="36"/>
      <c r="O166" s="36"/>
      <c r="P166" s="37"/>
      <c r="Q166" s="34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>
      <c r="A167" s="34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6"/>
      <c r="N167" s="36"/>
      <c r="O167" s="36"/>
      <c r="P167" s="37"/>
      <c r="Q167" s="34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>
      <c r="A168" s="34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6"/>
      <c r="N168" s="36"/>
      <c r="O168" s="36"/>
      <c r="P168" s="37"/>
      <c r="Q168" s="34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>
      <c r="A169" s="34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6"/>
      <c r="N169" s="36"/>
      <c r="O169" s="36"/>
      <c r="P169" s="37"/>
      <c r="Q169" s="34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>
      <c r="A170" s="34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6"/>
      <c r="N170" s="36"/>
      <c r="O170" s="36"/>
      <c r="P170" s="37"/>
      <c r="Q170" s="34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>
      <c r="A171" s="34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6"/>
      <c r="N171" s="36"/>
      <c r="O171" s="36"/>
      <c r="P171" s="37"/>
      <c r="Q171" s="34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>
      <c r="A172" s="34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6"/>
      <c r="N172" s="36"/>
      <c r="O172" s="36"/>
      <c r="P172" s="37"/>
      <c r="Q172" s="34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>
      <c r="A173" s="34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6"/>
      <c r="N173" s="36"/>
      <c r="O173" s="36"/>
      <c r="P173" s="37"/>
      <c r="Q173" s="34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>
      <c r="A174" s="34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6"/>
      <c r="N174" s="36"/>
      <c r="O174" s="36"/>
      <c r="P174" s="37"/>
      <c r="Q174" s="34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>
      <c r="A175" s="34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6"/>
      <c r="N175" s="36"/>
      <c r="O175" s="36"/>
      <c r="P175" s="37"/>
      <c r="Q175" s="34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>
      <c r="A176" s="34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6"/>
      <c r="N176" s="36"/>
      <c r="O176" s="36"/>
      <c r="P176" s="37"/>
      <c r="Q176" s="34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>
      <c r="A177" s="34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6"/>
      <c r="N177" s="36"/>
      <c r="O177" s="36"/>
      <c r="P177" s="37"/>
      <c r="Q177" s="34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>
      <c r="A178" s="34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6"/>
      <c r="N178" s="36"/>
      <c r="O178" s="36"/>
      <c r="P178" s="37"/>
      <c r="Q178" s="34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>
      <c r="A179" s="34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6"/>
      <c r="N179" s="36"/>
      <c r="O179" s="36"/>
      <c r="P179" s="37"/>
      <c r="Q179" s="34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>
      <c r="A180" s="34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6"/>
      <c r="N180" s="36"/>
      <c r="O180" s="36"/>
      <c r="P180" s="37"/>
      <c r="Q180" s="34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>
      <c r="A181" s="34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6"/>
      <c r="N181" s="36"/>
      <c r="O181" s="36"/>
      <c r="P181" s="37"/>
      <c r="Q181" s="34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>
      <c r="A182" s="34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6"/>
      <c r="N182" s="36"/>
      <c r="O182" s="36"/>
      <c r="P182" s="37"/>
      <c r="Q182" s="34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>
      <c r="A183" s="34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6"/>
      <c r="N183" s="36"/>
      <c r="O183" s="36"/>
      <c r="P183" s="37"/>
      <c r="Q183" s="34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>
      <c r="A184" s="34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6"/>
      <c r="N184" s="36"/>
      <c r="O184" s="36"/>
      <c r="P184" s="37"/>
      <c r="Q184" s="34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>
      <c r="A185" s="34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6"/>
      <c r="N185" s="36"/>
      <c r="O185" s="36"/>
      <c r="P185" s="37"/>
      <c r="Q185" s="34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>
      <c r="A186" s="34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6"/>
      <c r="N186" s="36"/>
      <c r="O186" s="36"/>
      <c r="P186" s="37"/>
      <c r="Q186" s="34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>
      <c r="A187" s="34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6"/>
      <c r="N187" s="36"/>
      <c r="O187" s="36"/>
      <c r="P187" s="37"/>
      <c r="Q187" s="34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>
      <c r="A188" s="34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6"/>
      <c r="N188" s="36"/>
      <c r="O188" s="36"/>
      <c r="P188" s="37"/>
      <c r="Q188" s="34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>
      <c r="A189" s="34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6"/>
      <c r="N189" s="36"/>
      <c r="O189" s="36"/>
      <c r="P189" s="37"/>
      <c r="Q189" s="34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>
      <c r="A190" s="34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6"/>
      <c r="N190" s="36"/>
      <c r="O190" s="36"/>
      <c r="P190" s="37"/>
      <c r="Q190" s="34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>
      <c r="A191" s="34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6"/>
      <c r="N191" s="36"/>
      <c r="O191" s="36"/>
      <c r="P191" s="37"/>
      <c r="Q191" s="34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>
      <c r="A192" s="34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6"/>
      <c r="N192" s="36"/>
      <c r="O192" s="36"/>
      <c r="P192" s="37"/>
      <c r="Q192" s="34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>
      <c r="A193" s="34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6"/>
      <c r="N193" s="36"/>
      <c r="O193" s="36"/>
      <c r="P193" s="37"/>
      <c r="Q193" s="34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>
      <c r="A194" s="34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6"/>
      <c r="N194" s="36"/>
      <c r="O194" s="36"/>
      <c r="P194" s="37"/>
      <c r="Q194" s="34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>
      <c r="A195" s="34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6"/>
      <c r="N195" s="36"/>
      <c r="O195" s="36"/>
      <c r="P195" s="37"/>
      <c r="Q195" s="34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>
      <c r="A196" s="34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6"/>
      <c r="N196" s="36"/>
      <c r="O196" s="36"/>
      <c r="P196" s="37"/>
      <c r="Q196" s="34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>
      <c r="A197" s="34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6"/>
      <c r="N197" s="36"/>
      <c r="O197" s="36"/>
      <c r="P197" s="37"/>
      <c r="Q197" s="34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>
      <c r="A198" s="34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6"/>
      <c r="N198" s="36"/>
      <c r="O198" s="36"/>
      <c r="P198" s="37"/>
      <c r="Q198" s="34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>
      <c r="A199" s="34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6"/>
      <c r="N199" s="36"/>
      <c r="O199" s="36"/>
      <c r="P199" s="37"/>
      <c r="Q199" s="34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>
      <c r="A200" s="34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6"/>
      <c r="N200" s="36"/>
      <c r="O200" s="36"/>
      <c r="P200" s="37"/>
      <c r="Q200" s="34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>
      <c r="A201" s="34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6"/>
      <c r="N201" s="36"/>
      <c r="O201" s="36"/>
      <c r="P201" s="37"/>
      <c r="Q201" s="34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>
      <c r="A202" s="34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6"/>
      <c r="N202" s="36"/>
      <c r="O202" s="36"/>
      <c r="P202" s="37"/>
      <c r="Q202" s="34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>
      <c r="A203" s="34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6"/>
      <c r="N203" s="36"/>
      <c r="O203" s="36"/>
      <c r="P203" s="37"/>
      <c r="Q203" s="34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>
      <c r="A204" s="34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6"/>
      <c r="N204" s="36"/>
      <c r="O204" s="36"/>
      <c r="P204" s="37"/>
      <c r="Q204" s="34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>
      <c r="A205" s="34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6"/>
      <c r="N205" s="36"/>
      <c r="O205" s="36"/>
      <c r="P205" s="37"/>
      <c r="Q205" s="34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>
      <c r="A206" s="34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6"/>
      <c r="N206" s="36"/>
      <c r="O206" s="36"/>
      <c r="P206" s="37"/>
      <c r="Q206" s="34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>
      <c r="A207" s="34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6"/>
      <c r="N207" s="36"/>
      <c r="O207" s="36"/>
      <c r="P207" s="37"/>
      <c r="Q207" s="34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>
      <c r="A208" s="34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6"/>
      <c r="N208" s="36"/>
      <c r="O208" s="36"/>
      <c r="P208" s="37"/>
      <c r="Q208" s="34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>
      <c r="A209" s="34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6"/>
      <c r="N209" s="36"/>
      <c r="O209" s="36"/>
      <c r="P209" s="37"/>
      <c r="Q209" s="34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>
      <c r="A210" s="34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6"/>
      <c r="N210" s="36"/>
      <c r="O210" s="36"/>
      <c r="P210" s="37"/>
      <c r="Q210" s="34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>
      <c r="A211" s="34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6"/>
      <c r="N211" s="36"/>
      <c r="O211" s="36"/>
      <c r="P211" s="37"/>
      <c r="Q211" s="34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>
      <c r="A212" s="34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6"/>
      <c r="N212" s="36"/>
      <c r="O212" s="36"/>
      <c r="P212" s="37"/>
      <c r="Q212" s="34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>
      <c r="A213" s="34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6"/>
      <c r="N213" s="36"/>
      <c r="O213" s="36"/>
      <c r="P213" s="37"/>
      <c r="Q213" s="34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>
      <c r="A214" s="34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6"/>
      <c r="N214" s="36"/>
      <c r="O214" s="36"/>
      <c r="P214" s="37"/>
      <c r="Q214" s="34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>
      <c r="A215" s="34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6"/>
      <c r="N215" s="36"/>
      <c r="O215" s="36"/>
      <c r="P215" s="37"/>
      <c r="Q215" s="34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>
      <c r="A216" s="34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6"/>
      <c r="N216" s="36"/>
      <c r="O216" s="36"/>
      <c r="P216" s="37"/>
      <c r="Q216" s="34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>
      <c r="A217" s="34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6"/>
      <c r="N217" s="36"/>
      <c r="O217" s="36"/>
      <c r="P217" s="37"/>
      <c r="Q217" s="34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>
      <c r="A218" s="34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6"/>
      <c r="N218" s="36"/>
      <c r="O218" s="36"/>
      <c r="P218" s="37"/>
      <c r="Q218" s="34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>
      <c r="A219" s="34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6"/>
      <c r="N219" s="36"/>
      <c r="O219" s="36"/>
      <c r="P219" s="37"/>
      <c r="Q219" s="34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>
      <c r="A220" s="34"/>
      <c r="B220" s="15"/>
      <c r="C220" s="15"/>
      <c r="D220" s="15"/>
      <c r="E220" s="15"/>
      <c r="F220" s="15"/>
      <c r="G220" s="36"/>
      <c r="H220" s="1"/>
      <c r="I220" s="1"/>
      <c r="J220" s="1"/>
      <c r="K220" s="26"/>
      <c r="L220" s="26"/>
      <c r="M220" s="36"/>
      <c r="N220" s="36"/>
      <c r="O220" s="36"/>
      <c r="P220" s="37"/>
      <c r="Q220" s="34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0"/>
    </row>
    <row r="221">
      <c r="A221" s="34"/>
      <c r="B221" s="15"/>
      <c r="C221" s="15"/>
      <c r="D221" s="15"/>
      <c r="E221" s="15"/>
      <c r="F221" s="15"/>
      <c r="G221" s="36"/>
      <c r="H221" s="38"/>
      <c r="I221" s="1"/>
      <c r="J221" s="1"/>
      <c r="K221" s="26"/>
      <c r="L221" s="26"/>
      <c r="M221" s="36"/>
      <c r="N221" s="36"/>
      <c r="O221" s="36"/>
      <c r="P221" s="37"/>
      <c r="Q221" s="34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0"/>
    </row>
    <row r="222">
      <c r="A222" s="34"/>
      <c r="B222" s="15"/>
      <c r="C222" s="15"/>
      <c r="D222" s="15"/>
      <c r="E222" s="15"/>
      <c r="F222" s="15"/>
      <c r="G222" s="36"/>
      <c r="H222" s="38"/>
      <c r="I222" s="1"/>
      <c r="J222" s="1"/>
      <c r="K222" s="26"/>
      <c r="L222" s="26"/>
      <c r="M222" s="36"/>
      <c r="N222" s="36"/>
      <c r="O222" s="36"/>
      <c r="P222" s="37"/>
      <c r="Q222" s="34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0"/>
    </row>
    <row r="223">
      <c r="A223" s="27"/>
      <c r="B223" s="28"/>
      <c r="C223" s="28"/>
      <c r="D223" s="28"/>
      <c r="E223" s="28"/>
      <c r="F223" s="28"/>
      <c r="G223" s="28"/>
      <c r="H223" s="38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8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8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8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8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8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8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8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8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8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8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8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8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8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8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8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8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8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8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8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8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8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8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8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8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8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8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8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8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8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8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8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8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8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8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8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8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8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8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8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8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8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8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8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8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8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8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8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8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8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8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8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8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8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8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8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8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8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8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8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8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8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8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8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8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8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8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8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8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8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8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8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8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8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8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8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8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8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8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8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8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8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8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8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8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8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8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8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8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8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8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8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8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8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8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8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8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8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8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8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8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8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8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8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8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8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8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8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8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8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8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8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8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8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8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8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8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8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8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8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8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8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8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8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8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8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8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8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8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8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8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8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8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8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8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8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8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8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8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8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8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8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8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8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8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8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8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8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8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8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8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8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8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8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8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8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8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8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8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8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8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8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8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8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8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8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8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8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8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8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8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8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8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8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8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8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8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8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8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8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8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8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8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8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8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8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8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8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8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8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8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8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8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8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8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8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8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8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8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8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8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8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8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8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8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8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8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8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8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8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8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8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8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8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8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8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8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8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8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8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8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8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8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8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8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8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8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8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8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8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8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8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8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8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8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8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8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8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8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8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8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8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8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8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8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8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8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8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8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8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8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8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8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8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8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8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8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8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8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8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8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8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8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8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8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8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8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8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8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8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8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8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8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8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8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8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8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8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8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8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8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8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8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8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8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8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8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8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8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8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8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8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8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8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8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8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8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8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8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8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8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8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8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8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8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8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8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8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8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8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8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8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8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8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8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8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8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8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8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8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8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8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8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8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8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8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8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8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8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8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8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8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8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8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8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8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8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8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8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8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8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8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8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8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8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8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8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8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8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8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8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8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8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8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8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8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8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8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8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8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8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8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8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8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8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8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8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8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8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8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8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8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8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8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8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8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8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8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8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8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8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8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8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8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8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8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8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8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8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8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8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8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8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8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8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8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8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8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8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8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8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8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8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8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8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8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8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8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8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8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8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8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8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8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8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8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8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8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8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8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8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8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8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8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8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8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8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8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8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8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8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8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8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8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8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8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8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8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8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8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8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8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8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8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8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8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8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8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8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8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8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8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8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8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8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8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8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8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8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8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8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8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8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8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8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8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8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8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8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8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8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8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8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8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8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8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8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8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8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8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8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8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8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8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8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8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8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8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8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8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8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8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8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8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8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8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8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8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8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8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8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8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8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8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8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8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8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8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8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8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8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8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8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8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8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8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8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8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8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8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8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8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8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8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8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8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8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8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8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8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8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8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8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8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8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8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8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8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8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8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8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8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8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8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8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8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8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8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8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8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8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8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8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8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8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8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8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8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8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8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8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8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8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8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8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8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8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8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8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8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8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8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8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8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8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8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8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8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8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8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8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8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8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8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8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8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8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8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8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8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8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8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8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8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8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8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8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8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8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8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8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8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8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8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8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8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8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8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8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8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8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8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8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8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8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8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8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8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8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8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8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8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8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8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8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8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8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8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8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8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8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8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8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8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8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8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8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8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8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8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8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8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8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8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8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8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8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8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8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8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8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8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8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8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8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8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8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8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8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8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8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8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8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8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8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8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8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8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8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8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8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8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8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8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8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8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8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8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8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8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8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8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8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8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8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8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8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8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8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8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8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8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8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8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8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8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8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8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8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8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8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8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8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8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8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8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8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8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8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8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8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8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8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8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8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8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8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8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8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8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8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8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8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8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8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8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8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8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8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8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8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8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8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8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8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8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8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8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8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8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8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8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8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8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8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8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8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8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8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8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8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8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8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8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8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8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8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8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8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8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8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8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8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8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8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8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8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8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8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8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8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8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8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8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8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8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8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8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1" t="s">
        <v>206</v>
      </c>
      <c r="I1" s="1" t="s">
        <v>207</v>
      </c>
      <c r="J1" s="1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4" t="s">
        <v>214</v>
      </c>
      <c r="Q1" s="34" t="s">
        <v>215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5" t="s">
        <v>223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7">
        <v>0.0</v>
      </c>
      <c r="Q2" s="34" t="str">
        <f>JOIN("/", README!$B$36, "G_KoreanFont")</f>
        <v>Fonts/Global/G_KoreanFont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5" t="s">
        <v>224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7">
        <v>0.0</v>
      </c>
      <c r="Q3" s="34" t="str">
        <f>JOIN("/", README!$B$36, "G_EnglishFont")</f>
        <v>Fonts/Global/G_EnglishFont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0"/>
    </row>
    <row r="4">
      <c r="A4" s="34"/>
      <c r="B4" s="15"/>
      <c r="C4" s="15"/>
      <c r="D4" s="15"/>
      <c r="E4" s="15"/>
      <c r="F4" s="15"/>
      <c r="G4" s="36"/>
      <c r="H4" s="14"/>
      <c r="I4" s="14"/>
      <c r="J4" s="14"/>
      <c r="K4" s="26"/>
      <c r="L4" s="26"/>
      <c r="M4" s="37"/>
      <c r="N4" s="36"/>
      <c r="O4" s="36"/>
      <c r="P4" s="37"/>
      <c r="Q4" s="34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4"/>
      <c r="B5" s="15"/>
      <c r="C5" s="15"/>
      <c r="D5" s="15"/>
      <c r="E5" s="15"/>
      <c r="F5" s="15"/>
      <c r="G5" s="36"/>
      <c r="H5" s="1"/>
      <c r="I5" s="1"/>
      <c r="J5" s="1"/>
      <c r="K5" s="26"/>
      <c r="L5" s="26"/>
      <c r="M5" s="37"/>
      <c r="N5" s="36"/>
      <c r="O5" s="36"/>
      <c r="P5" s="37"/>
      <c r="Q5" s="34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26"/>
      <c r="M6" s="37"/>
      <c r="N6" s="36"/>
      <c r="O6" s="36"/>
      <c r="P6" s="37"/>
      <c r="Q6" s="34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26"/>
      <c r="M7" s="37"/>
      <c r="N7" s="36"/>
      <c r="O7" s="36"/>
      <c r="P7" s="37"/>
      <c r="Q7" s="34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4"/>
      <c r="B8" s="15"/>
      <c r="C8" s="15"/>
      <c r="D8" s="15"/>
      <c r="E8" s="15"/>
      <c r="F8" s="15"/>
      <c r="G8" s="36"/>
      <c r="H8" s="1"/>
      <c r="I8" s="1"/>
      <c r="J8" s="1"/>
      <c r="K8" s="26"/>
      <c r="L8" s="26"/>
      <c r="M8" s="37"/>
      <c r="N8" s="36"/>
      <c r="O8" s="36"/>
      <c r="P8" s="37"/>
      <c r="Q8" s="34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26"/>
      <c r="M9" s="37"/>
      <c r="N9" s="36"/>
      <c r="O9" s="36"/>
      <c r="P9" s="37"/>
      <c r="Q9" s="34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26"/>
      <c r="M10" s="37"/>
      <c r="N10" s="36"/>
      <c r="O10" s="36"/>
      <c r="P10" s="37"/>
      <c r="Q10" s="34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0"/>
    </row>
    <row r="11">
      <c r="A11" s="34"/>
      <c r="B11" s="15"/>
      <c r="C11" s="15"/>
      <c r="D11" s="15"/>
      <c r="E11" s="15"/>
      <c r="F11" s="15"/>
      <c r="G11" s="36"/>
      <c r="H11" s="1"/>
      <c r="I11" s="1"/>
      <c r="J11" s="1"/>
      <c r="K11" s="26"/>
      <c r="L11" s="26"/>
      <c r="M11" s="37"/>
      <c r="N11" s="36"/>
      <c r="O11" s="36"/>
      <c r="P11" s="37"/>
      <c r="Q11" s="34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4"/>
      <c r="B12" s="15"/>
      <c r="C12" s="15"/>
      <c r="D12" s="15"/>
      <c r="E12" s="15"/>
      <c r="F12" s="15"/>
      <c r="G12" s="36"/>
      <c r="H12" s="1"/>
      <c r="I12" s="1"/>
      <c r="J12" s="1"/>
      <c r="K12" s="26"/>
      <c r="L12" s="26"/>
      <c r="M12" s="37"/>
      <c r="N12" s="36"/>
      <c r="O12" s="36"/>
      <c r="P12" s="37"/>
      <c r="Q12" s="34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4"/>
      <c r="B13" s="15"/>
      <c r="C13" s="15"/>
      <c r="D13" s="15"/>
      <c r="E13" s="15"/>
      <c r="F13" s="15"/>
      <c r="G13" s="36"/>
      <c r="H13" s="1"/>
      <c r="I13" s="1"/>
      <c r="J13" s="1"/>
      <c r="K13" s="26"/>
      <c r="L13" s="26"/>
      <c r="M13" s="37"/>
      <c r="N13" s="36"/>
      <c r="O13" s="36"/>
      <c r="P13" s="37"/>
      <c r="Q13" s="34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0"/>
    </row>
    <row r="14">
      <c r="A14" s="34"/>
      <c r="B14" s="15"/>
      <c r="C14" s="15"/>
      <c r="D14" s="15"/>
      <c r="E14" s="15"/>
      <c r="F14" s="15"/>
      <c r="G14" s="36"/>
      <c r="H14" s="1"/>
      <c r="I14" s="1"/>
      <c r="J14" s="1"/>
      <c r="K14" s="26"/>
      <c r="L14" s="26"/>
      <c r="M14" s="37"/>
      <c r="N14" s="36"/>
      <c r="O14" s="36"/>
      <c r="P14" s="37"/>
      <c r="Q14" s="34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4"/>
      <c r="B15" s="15"/>
      <c r="C15" s="15"/>
      <c r="D15" s="15"/>
      <c r="E15" s="15"/>
      <c r="F15" s="15"/>
      <c r="G15" s="36"/>
      <c r="H15" s="1"/>
      <c r="I15" s="1"/>
      <c r="J15" s="1"/>
      <c r="K15" s="26"/>
      <c r="L15" s="26"/>
      <c r="M15" s="37"/>
      <c r="N15" s="36"/>
      <c r="O15" s="36"/>
      <c r="P15" s="37"/>
      <c r="Q15" s="34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4"/>
      <c r="B16" s="15"/>
      <c r="C16" s="15"/>
      <c r="D16" s="15"/>
      <c r="E16" s="15"/>
      <c r="F16" s="15"/>
      <c r="G16" s="36"/>
      <c r="H16" s="1"/>
      <c r="I16" s="1"/>
      <c r="J16" s="1"/>
      <c r="K16" s="26"/>
      <c r="L16" s="26"/>
      <c r="M16" s="37"/>
      <c r="N16" s="36"/>
      <c r="O16" s="36"/>
      <c r="P16" s="37"/>
      <c r="Q16" s="34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A17" s="34"/>
      <c r="B17" s="15"/>
      <c r="C17" s="15"/>
      <c r="D17" s="15"/>
      <c r="E17" s="15"/>
      <c r="F17" s="15"/>
      <c r="G17" s="36"/>
      <c r="H17" s="1"/>
      <c r="I17" s="1"/>
      <c r="J17" s="1"/>
      <c r="K17" s="26"/>
      <c r="L17" s="26"/>
      <c r="M17" s="37"/>
      <c r="N17" s="36"/>
      <c r="O17" s="36"/>
      <c r="P17" s="37"/>
      <c r="Q17" s="34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0"/>
    </row>
    <row r="18">
      <c r="A18" s="34"/>
      <c r="B18" s="15"/>
      <c r="C18" s="15"/>
      <c r="D18" s="15"/>
      <c r="E18" s="15"/>
      <c r="F18" s="15"/>
      <c r="G18" s="36"/>
      <c r="H18" s="1"/>
      <c r="I18" s="1"/>
      <c r="J18" s="1"/>
      <c r="K18" s="26"/>
      <c r="L18" s="26"/>
      <c r="M18" s="37"/>
      <c r="N18" s="36"/>
      <c r="O18" s="36"/>
      <c r="P18" s="37"/>
      <c r="Q18" s="34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0"/>
    </row>
    <row r="19">
      <c r="A19" s="34"/>
      <c r="B19" s="15"/>
      <c r="C19" s="15"/>
      <c r="D19" s="15"/>
      <c r="E19" s="15"/>
      <c r="F19" s="15"/>
      <c r="G19" s="36"/>
      <c r="H19" s="1"/>
      <c r="I19" s="1"/>
      <c r="J19" s="1"/>
      <c r="K19" s="26"/>
      <c r="L19" s="26"/>
      <c r="M19" s="37"/>
      <c r="N19" s="36"/>
      <c r="O19" s="36"/>
      <c r="P19" s="37"/>
      <c r="Q19" s="34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0"/>
    </row>
    <row r="20">
      <c r="A20" s="34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7"/>
      <c r="N20" s="36"/>
      <c r="O20" s="36"/>
      <c r="P20" s="37"/>
      <c r="Q20" s="34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>
      <c r="A21" s="34"/>
      <c r="B21" s="15"/>
      <c r="C21" s="15"/>
      <c r="D21" s="15"/>
      <c r="E21" s="15"/>
      <c r="F21" s="15"/>
      <c r="G21" s="36"/>
      <c r="H21" s="1"/>
      <c r="I21" s="1"/>
      <c r="J21" s="1"/>
      <c r="K21" s="26"/>
      <c r="L21" s="26"/>
      <c r="M21" s="37"/>
      <c r="N21" s="36"/>
      <c r="O21" s="36"/>
      <c r="P21" s="37"/>
      <c r="Q21" s="34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0"/>
    </row>
    <row r="22">
      <c r="A22" s="34"/>
      <c r="B22" s="15"/>
      <c r="C22" s="15"/>
      <c r="D22" s="15"/>
      <c r="E22" s="15"/>
      <c r="F22" s="15"/>
      <c r="G22" s="36"/>
      <c r="H22" s="1"/>
      <c r="I22" s="1"/>
      <c r="J22" s="1"/>
      <c r="K22" s="26"/>
      <c r="L22" s="26"/>
      <c r="M22" s="37"/>
      <c r="N22" s="36"/>
      <c r="O22" s="36"/>
      <c r="P22" s="37"/>
      <c r="Q22" s="34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0"/>
    </row>
    <row r="23">
      <c r="A23" s="34"/>
      <c r="B23" s="15"/>
      <c r="C23" s="15"/>
      <c r="D23" s="15"/>
      <c r="E23" s="15"/>
      <c r="F23" s="15"/>
      <c r="G23" s="36"/>
      <c r="H23" s="1"/>
      <c r="I23" s="1"/>
      <c r="J23" s="1"/>
      <c r="K23" s="26"/>
      <c r="L23" s="26"/>
      <c r="M23" s="37"/>
      <c r="N23" s="36"/>
      <c r="O23" s="36"/>
      <c r="P23" s="37"/>
      <c r="Q23" s="34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0"/>
    </row>
    <row r="24">
      <c r="A24" s="34"/>
      <c r="B24" s="15"/>
      <c r="C24" s="15"/>
      <c r="D24" s="15"/>
      <c r="E24" s="15"/>
      <c r="F24" s="15"/>
      <c r="G24" s="36"/>
      <c r="H24" s="1"/>
      <c r="I24" s="1"/>
      <c r="J24" s="1"/>
      <c r="K24" s="26"/>
      <c r="L24" s="26"/>
      <c r="M24" s="37"/>
      <c r="N24" s="36"/>
      <c r="O24" s="36"/>
      <c r="P24" s="37"/>
      <c r="Q24" s="34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0"/>
    </row>
    <row r="25">
      <c r="A25" s="34"/>
      <c r="B25" s="15"/>
      <c r="C25" s="15"/>
      <c r="D25" s="15"/>
      <c r="E25" s="15"/>
      <c r="F25" s="15"/>
      <c r="G25" s="36"/>
      <c r="H25" s="1"/>
      <c r="I25" s="1"/>
      <c r="J25" s="1"/>
      <c r="K25" s="26"/>
      <c r="L25" s="26"/>
      <c r="M25" s="37"/>
      <c r="N25" s="36"/>
      <c r="O25" s="36"/>
      <c r="P25" s="37"/>
      <c r="Q25" s="3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0"/>
    </row>
    <row r="26">
      <c r="A26" s="34"/>
      <c r="B26" s="15"/>
      <c r="C26" s="15"/>
      <c r="D26" s="15"/>
      <c r="E26" s="15"/>
      <c r="F26" s="15"/>
      <c r="G26" s="36"/>
      <c r="H26" s="1"/>
      <c r="I26" s="1"/>
      <c r="J26" s="1"/>
      <c r="K26" s="26"/>
      <c r="L26" s="26"/>
      <c r="M26" s="37"/>
      <c r="N26" s="36"/>
      <c r="O26" s="36"/>
      <c r="P26" s="37"/>
      <c r="Q26" s="3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0"/>
    </row>
    <row r="27">
      <c r="A27" s="34"/>
      <c r="B27" s="15"/>
      <c r="C27" s="15"/>
      <c r="D27" s="15"/>
      <c r="E27" s="15"/>
      <c r="F27" s="15"/>
      <c r="G27" s="36"/>
      <c r="H27" s="1"/>
      <c r="I27" s="1"/>
      <c r="J27" s="1"/>
      <c r="K27" s="26"/>
      <c r="L27" s="26"/>
      <c r="M27" s="37"/>
      <c r="N27" s="36"/>
      <c r="O27" s="36"/>
      <c r="P27" s="37"/>
      <c r="Q27" s="3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0"/>
    </row>
    <row r="28">
      <c r="A28" s="34"/>
      <c r="B28" s="15"/>
      <c r="C28" s="15"/>
      <c r="D28" s="15"/>
      <c r="E28" s="15"/>
      <c r="F28" s="15"/>
      <c r="G28" s="36"/>
      <c r="H28" s="1"/>
      <c r="I28" s="1"/>
      <c r="J28" s="1"/>
      <c r="K28" s="26"/>
      <c r="L28" s="26"/>
      <c r="M28" s="37"/>
      <c r="N28" s="36"/>
      <c r="O28" s="36"/>
      <c r="P28" s="37"/>
      <c r="Q28" s="3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0"/>
    </row>
    <row r="29">
      <c r="A29" s="34"/>
      <c r="B29" s="15"/>
      <c r="C29" s="15"/>
      <c r="D29" s="15"/>
      <c r="E29" s="15"/>
      <c r="F29" s="15"/>
      <c r="G29" s="36"/>
      <c r="H29" s="1"/>
      <c r="I29" s="1"/>
      <c r="J29" s="1"/>
      <c r="K29" s="26"/>
      <c r="L29" s="26"/>
      <c r="M29" s="37"/>
      <c r="N29" s="36"/>
      <c r="O29" s="36"/>
      <c r="P29" s="37"/>
      <c r="Q29" s="3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0"/>
    </row>
    <row r="30">
      <c r="A30" s="34"/>
      <c r="B30" s="15"/>
      <c r="C30" s="15"/>
      <c r="D30" s="15"/>
      <c r="E30" s="15"/>
      <c r="F30" s="15"/>
      <c r="G30" s="36"/>
      <c r="H30" s="1"/>
      <c r="I30" s="1"/>
      <c r="J30" s="1"/>
      <c r="K30" s="26"/>
      <c r="L30" s="26"/>
      <c r="M30" s="37"/>
      <c r="N30" s="36"/>
      <c r="O30" s="36"/>
      <c r="P30" s="37"/>
      <c r="Q30" s="34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0"/>
    </row>
    <row r="31">
      <c r="A31" s="34"/>
      <c r="B31" s="15"/>
      <c r="C31" s="15"/>
      <c r="D31" s="15"/>
      <c r="E31" s="15"/>
      <c r="F31" s="15"/>
      <c r="G31" s="36"/>
      <c r="H31" s="1"/>
      <c r="I31" s="1"/>
      <c r="J31" s="1"/>
      <c r="K31" s="26"/>
      <c r="L31" s="26"/>
      <c r="M31" s="37"/>
      <c r="N31" s="36"/>
      <c r="O31" s="36"/>
      <c r="P31" s="37"/>
      <c r="Q31" s="34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0"/>
    </row>
    <row r="32">
      <c r="A32" s="34"/>
      <c r="B32" s="15"/>
      <c r="C32" s="15"/>
      <c r="D32" s="15"/>
      <c r="E32" s="15"/>
      <c r="F32" s="15"/>
      <c r="G32" s="36"/>
      <c r="H32" s="1"/>
      <c r="I32" s="1"/>
      <c r="J32" s="1"/>
      <c r="K32" s="26"/>
      <c r="L32" s="26"/>
      <c r="M32" s="37"/>
      <c r="N32" s="36"/>
      <c r="O32" s="36"/>
      <c r="P32" s="37"/>
      <c r="Q32" s="34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0"/>
    </row>
    <row r="33">
      <c r="A33" s="34"/>
      <c r="B33" s="15"/>
      <c r="C33" s="15"/>
      <c r="D33" s="15"/>
      <c r="E33" s="15"/>
      <c r="F33" s="15"/>
      <c r="G33" s="36"/>
      <c r="H33" s="1"/>
      <c r="I33" s="1"/>
      <c r="J33" s="1"/>
      <c r="K33" s="26"/>
      <c r="L33" s="26"/>
      <c r="M33" s="37"/>
      <c r="N33" s="36"/>
      <c r="O33" s="36"/>
      <c r="P33" s="37"/>
      <c r="Q33" s="34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0"/>
    </row>
    <row r="34">
      <c r="A34" s="34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7"/>
      <c r="N34" s="36"/>
      <c r="O34" s="36"/>
      <c r="P34" s="37"/>
      <c r="Q34" s="34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>
      <c r="A35" s="34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7"/>
      <c r="N35" s="36"/>
      <c r="O35" s="36"/>
      <c r="P35" s="37"/>
      <c r="Q35" s="34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>
      <c r="A36" s="34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7"/>
      <c r="N36" s="36"/>
      <c r="O36" s="36"/>
      <c r="P36" s="37"/>
      <c r="Q36" s="34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>
      <c r="A37" s="34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7"/>
      <c r="N37" s="36"/>
      <c r="O37" s="36"/>
      <c r="P37" s="37"/>
      <c r="Q37" s="34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>
      <c r="A38" s="34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7"/>
      <c r="N38" s="36"/>
      <c r="O38" s="36"/>
      <c r="P38" s="37"/>
      <c r="Q38" s="34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>
      <c r="A39" s="34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7"/>
      <c r="N39" s="36"/>
      <c r="O39" s="36"/>
      <c r="P39" s="37"/>
      <c r="Q39" s="34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>
      <c r="A40" s="34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7"/>
      <c r="N40" s="36"/>
      <c r="O40" s="36"/>
      <c r="P40" s="37"/>
      <c r="Q40" s="34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>
      <c r="A41" s="34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7"/>
      <c r="N41" s="36"/>
      <c r="O41" s="36"/>
      <c r="P41" s="37"/>
      <c r="Q41" s="34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>
      <c r="A42" s="34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7"/>
      <c r="N42" s="36"/>
      <c r="O42" s="36"/>
      <c r="P42" s="37"/>
      <c r="Q42" s="34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>
      <c r="A43" s="34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7"/>
      <c r="N43" s="36"/>
      <c r="O43" s="36"/>
      <c r="P43" s="37"/>
      <c r="Q43" s="34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>
      <c r="A44" s="34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7"/>
      <c r="N44" s="36"/>
      <c r="O44" s="36"/>
      <c r="P44" s="37"/>
      <c r="Q44" s="34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>
      <c r="A45" s="34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7"/>
      <c r="N45" s="36"/>
      <c r="O45" s="36"/>
      <c r="P45" s="37"/>
      <c r="Q45" s="34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>
      <c r="A46" s="34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7"/>
      <c r="N46" s="36"/>
      <c r="O46" s="36"/>
      <c r="P46" s="37"/>
      <c r="Q46" s="34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>
      <c r="A47" s="34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7"/>
      <c r="N47" s="36"/>
      <c r="O47" s="36"/>
      <c r="P47" s="37"/>
      <c r="Q47" s="34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>
      <c r="A48" s="34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7"/>
      <c r="N48" s="36"/>
      <c r="O48" s="36"/>
      <c r="P48" s="37"/>
      <c r="Q48" s="34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>
      <c r="A49" s="34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7"/>
      <c r="N49" s="36"/>
      <c r="O49" s="36"/>
      <c r="P49" s="37"/>
      <c r="Q49" s="34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>
      <c r="A50" s="34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7"/>
      <c r="N50" s="36"/>
      <c r="O50" s="36"/>
      <c r="P50" s="37"/>
      <c r="Q50" s="34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>
      <c r="A51" s="34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7"/>
      <c r="N51" s="36"/>
      <c r="O51" s="36"/>
      <c r="P51" s="37"/>
      <c r="Q51" s="34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>
      <c r="A52" s="34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7"/>
      <c r="N52" s="36"/>
      <c r="O52" s="36"/>
      <c r="P52" s="37"/>
      <c r="Q52" s="34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>
      <c r="A53" s="34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7"/>
      <c r="N53" s="36"/>
      <c r="O53" s="36"/>
      <c r="P53" s="37"/>
      <c r="Q53" s="34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>
      <c r="A54" s="34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7"/>
      <c r="N54" s="36"/>
      <c r="O54" s="36"/>
      <c r="P54" s="37"/>
      <c r="Q54" s="34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>
      <c r="A55" s="34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7"/>
      <c r="N55" s="36"/>
      <c r="O55" s="36"/>
      <c r="P55" s="37"/>
      <c r="Q55" s="34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>
      <c r="A56" s="34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7"/>
      <c r="N56" s="36"/>
      <c r="O56" s="36"/>
      <c r="P56" s="37"/>
      <c r="Q56" s="34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>
      <c r="A57" s="34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7"/>
      <c r="N57" s="36"/>
      <c r="O57" s="36"/>
      <c r="P57" s="37"/>
      <c r="Q57" s="34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>
      <c r="A58" s="34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7"/>
      <c r="N58" s="36"/>
      <c r="O58" s="36"/>
      <c r="P58" s="37"/>
      <c r="Q58" s="34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>
      <c r="A59" s="34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7"/>
      <c r="N59" s="36"/>
      <c r="O59" s="36"/>
      <c r="P59" s="37"/>
      <c r="Q59" s="34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>
      <c r="A60" s="34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7"/>
      <c r="N60" s="36"/>
      <c r="O60" s="36"/>
      <c r="P60" s="37"/>
      <c r="Q60" s="34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>
      <c r="A61" s="34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7"/>
      <c r="N61" s="36"/>
      <c r="O61" s="36"/>
      <c r="P61" s="37"/>
      <c r="Q61" s="34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>
      <c r="A62" s="34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7"/>
      <c r="N62" s="36"/>
      <c r="O62" s="36"/>
      <c r="P62" s="37"/>
      <c r="Q62" s="34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>
      <c r="A63" s="34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7"/>
      <c r="N63" s="36"/>
      <c r="O63" s="36"/>
      <c r="P63" s="37"/>
      <c r="Q63" s="34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>
      <c r="A64" s="34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7"/>
      <c r="N64" s="36"/>
      <c r="O64" s="36"/>
      <c r="P64" s="37"/>
      <c r="Q64" s="34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>
      <c r="A65" s="34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7"/>
      <c r="N65" s="36"/>
      <c r="O65" s="36"/>
      <c r="P65" s="37"/>
      <c r="Q65" s="34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>
      <c r="A66" s="34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7"/>
      <c r="N66" s="36"/>
      <c r="O66" s="36"/>
      <c r="P66" s="37"/>
      <c r="Q66" s="34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>
      <c r="A67" s="34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7"/>
      <c r="N67" s="36"/>
      <c r="O67" s="36"/>
      <c r="P67" s="37"/>
      <c r="Q67" s="34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>
      <c r="A68" s="34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7"/>
      <c r="N68" s="36"/>
      <c r="O68" s="36"/>
      <c r="P68" s="37"/>
      <c r="Q68" s="34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>
      <c r="A69" s="34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7"/>
      <c r="N69" s="36"/>
      <c r="O69" s="36"/>
      <c r="P69" s="37"/>
      <c r="Q69" s="34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>
      <c r="A70" s="34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7"/>
      <c r="N70" s="36"/>
      <c r="O70" s="36"/>
      <c r="P70" s="37"/>
      <c r="Q70" s="34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>
      <c r="A71" s="34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7"/>
      <c r="N71" s="36"/>
      <c r="O71" s="36"/>
      <c r="P71" s="37"/>
      <c r="Q71" s="34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>
      <c r="A72" s="34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7"/>
      <c r="N72" s="36"/>
      <c r="O72" s="36"/>
      <c r="P72" s="37"/>
      <c r="Q72" s="34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>
      <c r="A73" s="34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7"/>
      <c r="N73" s="36"/>
      <c r="O73" s="36"/>
      <c r="P73" s="37"/>
      <c r="Q73" s="34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>
      <c r="A74" s="34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7"/>
      <c r="N74" s="36"/>
      <c r="O74" s="36"/>
      <c r="P74" s="37"/>
      <c r="Q74" s="34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>
      <c r="A75" s="34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7"/>
      <c r="N75" s="36"/>
      <c r="O75" s="36"/>
      <c r="P75" s="37"/>
      <c r="Q75" s="34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>
      <c r="A76" s="34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7"/>
      <c r="N76" s="36"/>
      <c r="O76" s="36"/>
      <c r="P76" s="37"/>
      <c r="Q76" s="34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>
      <c r="A77" s="34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7"/>
      <c r="N77" s="36"/>
      <c r="O77" s="36"/>
      <c r="P77" s="37"/>
      <c r="Q77" s="34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>
      <c r="A78" s="34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7"/>
      <c r="N78" s="36"/>
      <c r="O78" s="36"/>
      <c r="P78" s="37"/>
      <c r="Q78" s="34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>
      <c r="A79" s="34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7"/>
      <c r="N79" s="36"/>
      <c r="O79" s="36"/>
      <c r="P79" s="37"/>
      <c r="Q79" s="34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>
      <c r="A80" s="34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7"/>
      <c r="N80" s="36"/>
      <c r="O80" s="36"/>
      <c r="P80" s="37"/>
      <c r="Q80" s="34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>
      <c r="A81" s="34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7"/>
      <c r="N81" s="36"/>
      <c r="O81" s="36"/>
      <c r="P81" s="37"/>
      <c r="Q81" s="34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>
      <c r="A82" s="34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7"/>
      <c r="N82" s="36"/>
      <c r="O82" s="36"/>
      <c r="P82" s="37"/>
      <c r="Q82" s="34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>
      <c r="A83" s="34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7"/>
      <c r="N83" s="36"/>
      <c r="O83" s="36"/>
      <c r="P83" s="37"/>
      <c r="Q83" s="34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>
      <c r="A84" s="34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7"/>
      <c r="N84" s="36"/>
      <c r="O84" s="36"/>
      <c r="P84" s="37"/>
      <c r="Q84" s="34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>
      <c r="A85" s="34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7"/>
      <c r="N85" s="36"/>
      <c r="O85" s="36"/>
      <c r="P85" s="37"/>
      <c r="Q85" s="34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>
      <c r="A86" s="34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7"/>
      <c r="N86" s="36"/>
      <c r="O86" s="36"/>
      <c r="P86" s="37"/>
      <c r="Q86" s="34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>
      <c r="A87" s="34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7"/>
      <c r="N87" s="36"/>
      <c r="O87" s="36"/>
      <c r="P87" s="37"/>
      <c r="Q87" s="34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>
      <c r="A88" s="34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7"/>
      <c r="N88" s="36"/>
      <c r="O88" s="36"/>
      <c r="P88" s="37"/>
      <c r="Q88" s="34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>
      <c r="A89" s="34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7"/>
      <c r="N89" s="36"/>
      <c r="O89" s="36"/>
      <c r="P89" s="37"/>
      <c r="Q89" s="34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>
      <c r="A90" s="34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7"/>
      <c r="N90" s="36"/>
      <c r="O90" s="36"/>
      <c r="P90" s="37"/>
      <c r="Q90" s="34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>
      <c r="A91" s="34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7"/>
      <c r="N91" s="36"/>
      <c r="O91" s="36"/>
      <c r="P91" s="37"/>
      <c r="Q91" s="34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>
      <c r="A92" s="34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7"/>
      <c r="N92" s="36"/>
      <c r="O92" s="36"/>
      <c r="P92" s="37"/>
      <c r="Q92" s="34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>
      <c r="A93" s="34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7"/>
      <c r="N93" s="36"/>
      <c r="O93" s="36"/>
      <c r="P93" s="37"/>
      <c r="Q93" s="34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>
      <c r="A94" s="34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7"/>
      <c r="N94" s="36"/>
      <c r="O94" s="36"/>
      <c r="P94" s="37"/>
      <c r="Q94" s="34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>
      <c r="A95" s="34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7"/>
      <c r="N95" s="36"/>
      <c r="O95" s="36"/>
      <c r="P95" s="37"/>
      <c r="Q95" s="34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>
      <c r="A96" s="34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7"/>
      <c r="N96" s="36"/>
      <c r="O96" s="36"/>
      <c r="P96" s="37"/>
      <c r="Q96" s="34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>
      <c r="A97" s="34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7"/>
      <c r="N97" s="36"/>
      <c r="O97" s="36"/>
      <c r="P97" s="37"/>
      <c r="Q97" s="34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>
      <c r="A98" s="34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7"/>
      <c r="N98" s="36"/>
      <c r="O98" s="36"/>
      <c r="P98" s="37"/>
      <c r="Q98" s="34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>
      <c r="A99" s="34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7"/>
      <c r="N99" s="36"/>
      <c r="O99" s="36"/>
      <c r="P99" s="37"/>
      <c r="Q99" s="34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>
      <c r="A100" s="34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7"/>
      <c r="N100" s="36"/>
      <c r="O100" s="36"/>
      <c r="P100" s="37"/>
      <c r="Q100" s="34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>
      <c r="A101" s="34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7"/>
      <c r="N101" s="36"/>
      <c r="O101" s="36"/>
      <c r="P101" s="37"/>
      <c r="Q101" s="34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>
      <c r="A102" s="34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7"/>
      <c r="N102" s="36"/>
      <c r="O102" s="36"/>
      <c r="P102" s="37"/>
      <c r="Q102" s="34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>
      <c r="A103" s="34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7"/>
      <c r="N103" s="36"/>
      <c r="O103" s="36"/>
      <c r="P103" s="37"/>
      <c r="Q103" s="34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>
      <c r="A104" s="34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7"/>
      <c r="N104" s="36"/>
      <c r="O104" s="36"/>
      <c r="P104" s="37"/>
      <c r="Q104" s="34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>
      <c r="A105" s="34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7"/>
      <c r="N105" s="36"/>
      <c r="O105" s="36"/>
      <c r="P105" s="37"/>
      <c r="Q105" s="34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>
      <c r="A106" s="34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7"/>
      <c r="N106" s="36"/>
      <c r="O106" s="36"/>
      <c r="P106" s="37"/>
      <c r="Q106" s="34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>
      <c r="A107" s="34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7"/>
      <c r="N107" s="36"/>
      <c r="O107" s="36"/>
      <c r="P107" s="37"/>
      <c r="Q107" s="34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>
      <c r="A108" s="34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7"/>
      <c r="N108" s="36"/>
      <c r="O108" s="36"/>
      <c r="P108" s="37"/>
      <c r="Q108" s="34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>
      <c r="A109" s="34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7"/>
      <c r="N109" s="36"/>
      <c r="O109" s="36"/>
      <c r="P109" s="37"/>
      <c r="Q109" s="34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>
      <c r="A110" s="34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7"/>
      <c r="N110" s="36"/>
      <c r="O110" s="36"/>
      <c r="P110" s="37"/>
      <c r="Q110" s="34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>
      <c r="A111" s="34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7"/>
      <c r="N111" s="36"/>
      <c r="O111" s="36"/>
      <c r="P111" s="37"/>
      <c r="Q111" s="34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>
      <c r="A112" s="34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7"/>
      <c r="N112" s="36"/>
      <c r="O112" s="36"/>
      <c r="P112" s="37"/>
      <c r="Q112" s="34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>
      <c r="A113" s="34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7"/>
      <c r="N113" s="36"/>
      <c r="O113" s="36"/>
      <c r="P113" s="37"/>
      <c r="Q113" s="34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>
      <c r="A114" s="34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7"/>
      <c r="N114" s="36"/>
      <c r="O114" s="36"/>
      <c r="P114" s="37"/>
      <c r="Q114" s="34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>
      <c r="A115" s="34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7"/>
      <c r="N115" s="36"/>
      <c r="O115" s="36"/>
      <c r="P115" s="37"/>
      <c r="Q115" s="34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>
      <c r="A116" s="34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7"/>
      <c r="N116" s="36"/>
      <c r="O116" s="36"/>
      <c r="P116" s="37"/>
      <c r="Q116" s="34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>
      <c r="A117" s="34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7"/>
      <c r="N117" s="36"/>
      <c r="O117" s="36"/>
      <c r="P117" s="37"/>
      <c r="Q117" s="34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>
      <c r="A118" s="34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7"/>
      <c r="N118" s="36"/>
      <c r="O118" s="36"/>
      <c r="P118" s="37"/>
      <c r="Q118" s="34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>
      <c r="A119" s="34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7"/>
      <c r="N119" s="36"/>
      <c r="O119" s="36"/>
      <c r="P119" s="37"/>
      <c r="Q119" s="34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>
      <c r="A120" s="34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7"/>
      <c r="N120" s="36"/>
      <c r="O120" s="36"/>
      <c r="P120" s="37"/>
      <c r="Q120" s="34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>
      <c r="A121" s="34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7"/>
      <c r="N121" s="36"/>
      <c r="O121" s="36"/>
      <c r="P121" s="37"/>
      <c r="Q121" s="34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>
      <c r="A122" s="34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7"/>
      <c r="N122" s="36"/>
      <c r="O122" s="36"/>
      <c r="P122" s="37"/>
      <c r="Q122" s="34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>
      <c r="A123" s="34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7"/>
      <c r="N123" s="36"/>
      <c r="O123" s="36"/>
      <c r="P123" s="37"/>
      <c r="Q123" s="34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>
      <c r="A124" s="34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7"/>
      <c r="N124" s="36"/>
      <c r="O124" s="36"/>
      <c r="P124" s="37"/>
      <c r="Q124" s="34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>
      <c r="A125" s="34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7"/>
      <c r="N125" s="36"/>
      <c r="O125" s="36"/>
      <c r="P125" s="37"/>
      <c r="Q125" s="34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>
      <c r="A126" s="34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7"/>
      <c r="N126" s="36"/>
      <c r="O126" s="36"/>
      <c r="P126" s="37"/>
      <c r="Q126" s="34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>
      <c r="A127" s="34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7"/>
      <c r="N127" s="36"/>
      <c r="O127" s="36"/>
      <c r="P127" s="37"/>
      <c r="Q127" s="34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>
      <c r="A128" s="34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7"/>
      <c r="N128" s="36"/>
      <c r="O128" s="36"/>
      <c r="P128" s="37"/>
      <c r="Q128" s="34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>
      <c r="A129" s="34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7"/>
      <c r="N129" s="36"/>
      <c r="O129" s="36"/>
      <c r="P129" s="37"/>
      <c r="Q129" s="34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>
      <c r="A130" s="34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7"/>
      <c r="N130" s="36"/>
      <c r="O130" s="36"/>
      <c r="P130" s="37"/>
      <c r="Q130" s="34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>
      <c r="A131" s="34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7"/>
      <c r="N131" s="36"/>
      <c r="O131" s="36"/>
      <c r="P131" s="37"/>
      <c r="Q131" s="34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>
      <c r="A132" s="34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7"/>
      <c r="N132" s="36"/>
      <c r="O132" s="36"/>
      <c r="P132" s="37"/>
      <c r="Q132" s="34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>
      <c r="A133" s="34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7"/>
      <c r="N133" s="36"/>
      <c r="O133" s="36"/>
      <c r="P133" s="37"/>
      <c r="Q133" s="34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>
      <c r="A134" s="34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7"/>
      <c r="N134" s="36"/>
      <c r="O134" s="36"/>
      <c r="P134" s="37"/>
      <c r="Q134" s="34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>
      <c r="A135" s="34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7"/>
      <c r="N135" s="36"/>
      <c r="O135" s="36"/>
      <c r="P135" s="37"/>
      <c r="Q135" s="34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>
      <c r="A136" s="34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7"/>
      <c r="N136" s="36"/>
      <c r="O136" s="36"/>
      <c r="P136" s="37"/>
      <c r="Q136" s="34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>
      <c r="A137" s="34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7"/>
      <c r="N137" s="36"/>
      <c r="O137" s="36"/>
      <c r="P137" s="37"/>
      <c r="Q137" s="34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>
      <c r="A138" s="34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7"/>
      <c r="N138" s="36"/>
      <c r="O138" s="36"/>
      <c r="P138" s="37"/>
      <c r="Q138" s="34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>
      <c r="A139" s="34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7"/>
      <c r="N139" s="36"/>
      <c r="O139" s="36"/>
      <c r="P139" s="37"/>
      <c r="Q139" s="34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>
      <c r="A140" s="34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7"/>
      <c r="N140" s="36"/>
      <c r="O140" s="36"/>
      <c r="P140" s="37"/>
      <c r="Q140" s="34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>
      <c r="A141" s="34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7"/>
      <c r="N141" s="36"/>
      <c r="O141" s="36"/>
      <c r="P141" s="37"/>
      <c r="Q141" s="34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>
      <c r="A142" s="34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7"/>
      <c r="N142" s="36"/>
      <c r="O142" s="36"/>
      <c r="P142" s="37"/>
      <c r="Q142" s="34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>
      <c r="A143" s="34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7"/>
      <c r="N143" s="36"/>
      <c r="O143" s="36"/>
      <c r="P143" s="37"/>
      <c r="Q143" s="34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>
      <c r="A144" s="34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7"/>
      <c r="N144" s="36"/>
      <c r="O144" s="36"/>
      <c r="P144" s="37"/>
      <c r="Q144" s="34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>
      <c r="A145" s="34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7"/>
      <c r="N145" s="36"/>
      <c r="O145" s="36"/>
      <c r="P145" s="37"/>
      <c r="Q145" s="34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>
      <c r="A146" s="34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7"/>
      <c r="N146" s="36"/>
      <c r="O146" s="36"/>
      <c r="P146" s="37"/>
      <c r="Q146" s="34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>
      <c r="A147" s="34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7"/>
      <c r="N147" s="36"/>
      <c r="O147" s="36"/>
      <c r="P147" s="37"/>
      <c r="Q147" s="34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>
      <c r="A148" s="34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7"/>
      <c r="N148" s="36"/>
      <c r="O148" s="36"/>
      <c r="P148" s="37"/>
      <c r="Q148" s="34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>
      <c r="A149" s="34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7"/>
      <c r="N149" s="36"/>
      <c r="O149" s="36"/>
      <c r="P149" s="37"/>
      <c r="Q149" s="34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>
      <c r="A150" s="34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7"/>
      <c r="N150" s="36"/>
      <c r="O150" s="36"/>
      <c r="P150" s="37"/>
      <c r="Q150" s="34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>
      <c r="A151" s="34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7"/>
      <c r="N151" s="36"/>
      <c r="O151" s="36"/>
      <c r="P151" s="37"/>
      <c r="Q151" s="34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>
      <c r="A152" s="34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7"/>
      <c r="N152" s="36"/>
      <c r="O152" s="36"/>
      <c r="P152" s="37"/>
      <c r="Q152" s="34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>
      <c r="A153" s="34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7"/>
      <c r="N153" s="36"/>
      <c r="O153" s="36"/>
      <c r="P153" s="37"/>
      <c r="Q153" s="34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>
      <c r="A154" s="34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7"/>
      <c r="N154" s="36"/>
      <c r="O154" s="36"/>
      <c r="P154" s="37"/>
      <c r="Q154" s="34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>
      <c r="A155" s="34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7"/>
      <c r="N155" s="36"/>
      <c r="O155" s="36"/>
      <c r="P155" s="37"/>
      <c r="Q155" s="34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>
      <c r="A156" s="34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7"/>
      <c r="N156" s="36"/>
      <c r="O156" s="36"/>
      <c r="P156" s="37"/>
      <c r="Q156" s="34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>
      <c r="A157" s="34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7"/>
      <c r="N157" s="36"/>
      <c r="O157" s="36"/>
      <c r="P157" s="37"/>
      <c r="Q157" s="34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>
      <c r="A158" s="34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7"/>
      <c r="N158" s="36"/>
      <c r="O158" s="36"/>
      <c r="P158" s="37"/>
      <c r="Q158" s="34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>
      <c r="A159" s="34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7"/>
      <c r="N159" s="36"/>
      <c r="O159" s="36"/>
      <c r="P159" s="37"/>
      <c r="Q159" s="34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>
      <c r="A160" s="34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7"/>
      <c r="N160" s="36"/>
      <c r="O160" s="36"/>
      <c r="P160" s="37"/>
      <c r="Q160" s="34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>
      <c r="A161" s="34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7"/>
      <c r="N161" s="36"/>
      <c r="O161" s="36"/>
      <c r="P161" s="37"/>
      <c r="Q161" s="34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>
      <c r="A162" s="34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7"/>
      <c r="N162" s="36"/>
      <c r="O162" s="36"/>
      <c r="P162" s="37"/>
      <c r="Q162" s="34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>
      <c r="A163" s="34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7"/>
      <c r="N163" s="36"/>
      <c r="O163" s="36"/>
      <c r="P163" s="37"/>
      <c r="Q163" s="34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>
      <c r="A164" s="34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7"/>
      <c r="N164" s="36"/>
      <c r="O164" s="36"/>
      <c r="P164" s="37"/>
      <c r="Q164" s="34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>
      <c r="A165" s="34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7"/>
      <c r="N165" s="36"/>
      <c r="O165" s="36"/>
      <c r="P165" s="37"/>
      <c r="Q165" s="34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>
      <c r="A166" s="34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7"/>
      <c r="N166" s="36"/>
      <c r="O166" s="36"/>
      <c r="P166" s="37"/>
      <c r="Q166" s="34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>
      <c r="A167" s="34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7"/>
      <c r="N167" s="36"/>
      <c r="O167" s="36"/>
      <c r="P167" s="37"/>
      <c r="Q167" s="34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>
      <c r="A168" s="34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7"/>
      <c r="N168" s="36"/>
      <c r="O168" s="36"/>
      <c r="P168" s="37"/>
      <c r="Q168" s="34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>
      <c r="A169" s="34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7"/>
      <c r="N169" s="36"/>
      <c r="O169" s="36"/>
      <c r="P169" s="37"/>
      <c r="Q169" s="34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>
      <c r="A170" s="34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7"/>
      <c r="N170" s="36"/>
      <c r="O170" s="36"/>
      <c r="P170" s="37"/>
      <c r="Q170" s="34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>
      <c r="A171" s="34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7"/>
      <c r="N171" s="36"/>
      <c r="O171" s="36"/>
      <c r="P171" s="37"/>
      <c r="Q171" s="34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>
      <c r="A172" s="34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7"/>
      <c r="N172" s="36"/>
      <c r="O172" s="36"/>
      <c r="P172" s="37"/>
      <c r="Q172" s="34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>
      <c r="A173" s="34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7"/>
      <c r="N173" s="36"/>
      <c r="O173" s="36"/>
      <c r="P173" s="37"/>
      <c r="Q173" s="34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>
      <c r="A174" s="34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7"/>
      <c r="N174" s="36"/>
      <c r="O174" s="36"/>
      <c r="P174" s="37"/>
      <c r="Q174" s="34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>
      <c r="A175" s="34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7"/>
      <c r="N175" s="36"/>
      <c r="O175" s="36"/>
      <c r="P175" s="37"/>
      <c r="Q175" s="34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>
      <c r="A176" s="34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7"/>
      <c r="N176" s="36"/>
      <c r="O176" s="36"/>
      <c r="P176" s="37"/>
      <c r="Q176" s="34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>
      <c r="A177" s="34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7"/>
      <c r="N177" s="36"/>
      <c r="O177" s="36"/>
      <c r="P177" s="37"/>
      <c r="Q177" s="34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>
      <c r="A178" s="34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7"/>
      <c r="N178" s="36"/>
      <c r="O178" s="36"/>
      <c r="P178" s="37"/>
      <c r="Q178" s="34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>
      <c r="A179" s="34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7"/>
      <c r="N179" s="36"/>
      <c r="O179" s="36"/>
      <c r="P179" s="37"/>
      <c r="Q179" s="34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>
      <c r="A180" s="34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7"/>
      <c r="N180" s="36"/>
      <c r="O180" s="36"/>
      <c r="P180" s="37"/>
      <c r="Q180" s="34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>
      <c r="A181" s="34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7"/>
      <c r="N181" s="36"/>
      <c r="O181" s="36"/>
      <c r="P181" s="37"/>
      <c r="Q181" s="34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>
      <c r="A182" s="34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7"/>
      <c r="N182" s="36"/>
      <c r="O182" s="36"/>
      <c r="P182" s="37"/>
      <c r="Q182" s="34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>
      <c r="A183" s="34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7"/>
      <c r="N183" s="36"/>
      <c r="O183" s="36"/>
      <c r="P183" s="37"/>
      <c r="Q183" s="34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>
      <c r="A184" s="34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7"/>
      <c r="N184" s="36"/>
      <c r="O184" s="36"/>
      <c r="P184" s="37"/>
      <c r="Q184" s="34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>
      <c r="A185" s="34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7"/>
      <c r="N185" s="36"/>
      <c r="O185" s="36"/>
      <c r="P185" s="37"/>
      <c r="Q185" s="34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>
      <c r="A186" s="34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7"/>
      <c r="N186" s="36"/>
      <c r="O186" s="36"/>
      <c r="P186" s="37"/>
      <c r="Q186" s="34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>
      <c r="A187" s="34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7"/>
      <c r="N187" s="36"/>
      <c r="O187" s="36"/>
      <c r="P187" s="37"/>
      <c r="Q187" s="34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>
      <c r="A188" s="34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7"/>
      <c r="N188" s="36"/>
      <c r="O188" s="36"/>
      <c r="P188" s="37"/>
      <c r="Q188" s="34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>
      <c r="A189" s="34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7"/>
      <c r="N189" s="36"/>
      <c r="O189" s="36"/>
      <c r="P189" s="37"/>
      <c r="Q189" s="34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>
      <c r="A190" s="34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7"/>
      <c r="N190" s="36"/>
      <c r="O190" s="36"/>
      <c r="P190" s="37"/>
      <c r="Q190" s="34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>
      <c r="A191" s="34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7"/>
      <c r="N191" s="36"/>
      <c r="O191" s="36"/>
      <c r="P191" s="37"/>
      <c r="Q191" s="34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>
      <c r="A192" s="34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7"/>
      <c r="N192" s="36"/>
      <c r="O192" s="36"/>
      <c r="P192" s="37"/>
      <c r="Q192" s="34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>
      <c r="A193" s="34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7"/>
      <c r="N193" s="36"/>
      <c r="O193" s="36"/>
      <c r="P193" s="37"/>
      <c r="Q193" s="34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>
      <c r="A194" s="34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7"/>
      <c r="N194" s="36"/>
      <c r="O194" s="36"/>
      <c r="P194" s="37"/>
      <c r="Q194" s="34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>
      <c r="A195" s="34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7"/>
      <c r="N195" s="36"/>
      <c r="O195" s="36"/>
      <c r="P195" s="37"/>
      <c r="Q195" s="34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>
      <c r="A196" s="34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7"/>
      <c r="N196" s="36"/>
      <c r="O196" s="36"/>
      <c r="P196" s="37"/>
      <c r="Q196" s="34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>
      <c r="A197" s="34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7"/>
      <c r="N197" s="36"/>
      <c r="O197" s="36"/>
      <c r="P197" s="37"/>
      <c r="Q197" s="34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>
      <c r="A198" s="34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7"/>
      <c r="N198" s="36"/>
      <c r="O198" s="36"/>
      <c r="P198" s="37"/>
      <c r="Q198" s="34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>
      <c r="A199" s="34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7"/>
      <c r="N199" s="36"/>
      <c r="O199" s="36"/>
      <c r="P199" s="37"/>
      <c r="Q199" s="34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>
      <c r="A200" s="34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7"/>
      <c r="N200" s="36"/>
      <c r="O200" s="36"/>
      <c r="P200" s="37"/>
      <c r="Q200" s="34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>
      <c r="A201" s="34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7"/>
      <c r="N201" s="36"/>
      <c r="O201" s="36"/>
      <c r="P201" s="37"/>
      <c r="Q201" s="34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>
      <c r="A202" s="34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7"/>
      <c r="N202" s="36"/>
      <c r="O202" s="36"/>
      <c r="P202" s="37"/>
      <c r="Q202" s="34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>
      <c r="A203" s="34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7"/>
      <c r="N203" s="36"/>
      <c r="O203" s="36"/>
      <c r="P203" s="37"/>
      <c r="Q203" s="34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>
      <c r="A204" s="34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7"/>
      <c r="N204" s="36"/>
      <c r="O204" s="36"/>
      <c r="P204" s="37"/>
      <c r="Q204" s="34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>
      <c r="A205" s="34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7"/>
      <c r="N205" s="36"/>
      <c r="O205" s="36"/>
      <c r="P205" s="37"/>
      <c r="Q205" s="34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>
      <c r="A206" s="34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7"/>
      <c r="N206" s="36"/>
      <c r="O206" s="36"/>
      <c r="P206" s="37"/>
      <c r="Q206" s="34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>
      <c r="A207" s="34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7"/>
      <c r="N207" s="36"/>
      <c r="O207" s="36"/>
      <c r="P207" s="37"/>
      <c r="Q207" s="34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>
      <c r="A208" s="34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7"/>
      <c r="N208" s="36"/>
      <c r="O208" s="36"/>
      <c r="P208" s="37"/>
      <c r="Q208" s="34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>
      <c r="A209" s="34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7"/>
      <c r="N209" s="36"/>
      <c r="O209" s="36"/>
      <c r="P209" s="37"/>
      <c r="Q209" s="34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>
      <c r="A210" s="34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7"/>
      <c r="N210" s="36"/>
      <c r="O210" s="36"/>
      <c r="P210" s="37"/>
      <c r="Q210" s="34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>
      <c r="A211" s="34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7"/>
      <c r="N211" s="36"/>
      <c r="O211" s="36"/>
      <c r="P211" s="37"/>
      <c r="Q211" s="34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>
      <c r="A212" s="34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7"/>
      <c r="N212" s="36"/>
      <c r="O212" s="36"/>
      <c r="P212" s="37"/>
      <c r="Q212" s="34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>
      <c r="A213" s="34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7"/>
      <c r="N213" s="36"/>
      <c r="O213" s="36"/>
      <c r="P213" s="37"/>
      <c r="Q213" s="34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>
      <c r="A214" s="34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7"/>
      <c r="N214" s="36"/>
      <c r="O214" s="36"/>
      <c r="P214" s="37"/>
      <c r="Q214" s="34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>
      <c r="A215" s="34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7"/>
      <c r="N215" s="36"/>
      <c r="O215" s="36"/>
      <c r="P215" s="37"/>
      <c r="Q215" s="34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>
      <c r="A216" s="34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7"/>
      <c r="N216" s="36"/>
      <c r="O216" s="36"/>
      <c r="P216" s="37"/>
      <c r="Q216" s="34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>
      <c r="A217" s="34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7"/>
      <c r="N217" s="36"/>
      <c r="O217" s="36"/>
      <c r="P217" s="37"/>
      <c r="Q217" s="34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>
      <c r="A218" s="34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7"/>
      <c r="N218" s="36"/>
      <c r="O218" s="36"/>
      <c r="P218" s="37"/>
      <c r="Q218" s="34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>
      <c r="A219" s="34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7"/>
      <c r="N219" s="36"/>
      <c r="O219" s="36"/>
      <c r="P219" s="37"/>
      <c r="Q219" s="34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>
      <c r="A220" s="34"/>
      <c r="B220" s="15"/>
      <c r="C220" s="15"/>
      <c r="D220" s="15"/>
      <c r="E220" s="15"/>
      <c r="F220" s="15"/>
      <c r="G220" s="36"/>
      <c r="H220" s="1"/>
      <c r="I220" s="1"/>
      <c r="J220" s="1"/>
      <c r="K220" s="26"/>
      <c r="L220" s="26"/>
      <c r="M220" s="37"/>
      <c r="N220" s="36"/>
      <c r="O220" s="36"/>
      <c r="P220" s="37"/>
      <c r="Q220" s="34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0"/>
    </row>
    <row r="221">
      <c r="A221" s="27"/>
      <c r="B221" s="28"/>
      <c r="C221" s="28"/>
      <c r="D221" s="28"/>
      <c r="E221" s="28"/>
      <c r="F221" s="28"/>
      <c r="G221" s="28"/>
      <c r="H221" s="38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8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8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8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8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8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8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8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8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8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8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8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8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8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8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8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8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8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8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8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8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8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8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8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8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8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8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8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8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8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8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8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8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8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8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8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8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8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8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8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8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8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8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8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8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8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8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8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8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8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8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8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8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8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8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8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8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8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8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8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8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8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8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8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8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8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8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8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8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8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8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8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8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8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8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8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8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8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8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8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8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8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8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8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8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8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8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8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8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8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8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8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8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8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8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8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8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8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8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8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8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8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8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8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8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8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8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8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8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8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8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8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8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8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8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8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8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8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8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8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8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8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8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8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8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8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8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8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8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8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8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8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8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8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8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8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8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8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8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8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8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8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8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8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8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8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8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8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8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8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8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8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8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8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8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8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8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8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8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8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8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8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8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8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8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8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8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8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8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8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8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8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8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8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8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8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8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8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8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8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8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8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8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8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8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8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8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8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8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8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8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8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8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8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8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8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8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8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8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8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8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8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8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8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8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8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8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8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8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8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8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8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8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8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8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8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8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8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8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8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8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8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8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8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8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8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8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8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8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8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8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8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8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8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8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8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8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8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8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8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8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8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8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8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8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8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8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8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8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8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8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8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8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8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8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8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8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8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8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8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8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8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8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8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8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8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8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8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8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8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8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8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8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8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8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8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8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8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8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8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8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8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8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8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8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8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8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8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8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8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8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8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8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8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8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8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8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8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8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8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8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8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8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8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8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8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8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8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8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8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8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8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8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8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8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8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8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8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8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8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8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8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8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8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8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8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8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8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8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8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8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8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8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8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8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8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8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8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8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8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8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8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8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8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8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8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8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8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8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8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8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8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8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8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8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8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8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8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8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8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8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8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8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8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8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8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8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8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8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8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8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8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8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8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8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8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8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8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8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8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8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8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8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8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8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8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8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8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8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8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8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8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8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8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8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8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8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8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8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8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8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8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8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8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8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8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8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8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8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8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8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8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8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8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8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8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8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8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8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8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8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8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8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8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8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8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8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8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8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8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8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8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8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8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8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8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8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8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8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8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8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8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8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8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8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8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8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8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8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8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8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8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8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8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8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8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8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8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8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8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8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8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8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8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8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8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8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8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8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8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8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8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8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8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8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8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8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8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8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8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8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8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8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8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8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8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8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8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8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8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8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8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8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8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8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8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8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8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8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8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8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8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8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8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8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8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8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8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8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8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8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8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8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8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8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8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8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8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8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8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8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8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8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8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8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8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8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8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8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8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8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8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8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8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8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8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8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8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8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8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8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8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8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8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8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8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8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8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8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8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8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8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8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8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8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8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8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8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8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8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8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8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8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8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8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8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8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8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8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8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8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8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8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8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8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8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8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8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8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8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8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8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8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8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8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8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8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8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8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8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8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8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8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8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8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8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8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8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8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8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8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8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8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8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8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8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8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8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8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8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8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8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8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8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8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8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8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8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8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8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8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8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8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8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8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8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8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8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8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8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8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8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8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8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8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8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8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8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8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8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8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8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8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8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8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8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8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8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8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8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8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8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8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8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8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8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8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8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8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8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8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8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8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8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8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8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8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8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8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8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8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8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8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8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8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8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8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8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8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8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8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8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8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8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8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8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8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8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8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8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8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8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8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8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8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8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8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8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8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8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8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8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8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8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8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8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8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8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8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8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8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8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8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8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8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8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8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8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8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8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8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8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8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8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8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8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8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8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8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8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8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8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8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8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8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8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8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8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8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8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8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8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8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8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8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8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8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8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8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8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8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8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8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8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8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8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8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8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8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8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8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8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8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8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8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8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8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8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8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8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8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8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8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8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8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8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8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8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8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8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1" t="s">
        <v>206</v>
      </c>
      <c r="I1" s="1" t="s">
        <v>207</v>
      </c>
      <c r="J1" s="1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4" t="s">
        <v>214</v>
      </c>
      <c r="Q1" s="34" t="s">
        <v>215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7">
        <v>1.0</v>
      </c>
      <c r="Q2" s="34" t="str">
        <f>JOIN("/", README!$B$51, "U_SA_01_White")</f>
        <v>Images/U_SpriteAtlas_01/U_SA_01_White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4" t="s">
        <v>226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7">
        <v>1.0</v>
      </c>
      <c r="Q3" s="34" t="str">
        <f>JOIN("/", README!$B$51, "U_SA_01_Splash")</f>
        <v>Images/U_SpriteAtlas_01/U_SA_01_Splash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0"/>
    </row>
    <row r="4">
      <c r="A4" s="34" t="s">
        <v>227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7">
        <v>1.0</v>
      </c>
      <c r="Q4" s="34" t="str">
        <f>JOIN("/", README!$B$51, "U_SA_01_Indicator")</f>
        <v>Images/U_SpriteAtlas_01/U_SA_01_Indicator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4"/>
      <c r="B5" s="15"/>
      <c r="C5" s="15"/>
      <c r="D5" s="15"/>
      <c r="E5" s="15"/>
      <c r="F5" s="15"/>
      <c r="G5" s="36"/>
      <c r="H5" s="1"/>
      <c r="I5" s="1"/>
      <c r="J5" s="1"/>
      <c r="K5" s="26"/>
      <c r="L5" s="26"/>
      <c r="M5" s="37"/>
      <c r="N5" s="36"/>
      <c r="O5" s="36"/>
      <c r="P5" s="37"/>
      <c r="Q5" s="34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26"/>
      <c r="M6" s="37"/>
      <c r="N6" s="36"/>
      <c r="O6" s="36"/>
      <c r="P6" s="37"/>
      <c r="Q6" s="34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26"/>
      <c r="M7" s="37"/>
      <c r="N7" s="36"/>
      <c r="O7" s="36"/>
      <c r="P7" s="37"/>
      <c r="Q7" s="34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4"/>
      <c r="B8" s="15"/>
      <c r="C8" s="15"/>
      <c r="D8" s="15"/>
      <c r="E8" s="15"/>
      <c r="F8" s="15"/>
      <c r="G8" s="36"/>
      <c r="H8" s="1"/>
      <c r="I8" s="1"/>
      <c r="J8" s="1"/>
      <c r="K8" s="26"/>
      <c r="L8" s="26"/>
      <c r="M8" s="37"/>
      <c r="N8" s="36"/>
      <c r="O8" s="36"/>
      <c r="P8" s="37"/>
      <c r="Q8" s="34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26"/>
      <c r="M9" s="37"/>
      <c r="N9" s="36"/>
      <c r="O9" s="36"/>
      <c r="P9" s="37"/>
      <c r="Q9" s="34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26"/>
      <c r="M10" s="37"/>
      <c r="N10" s="36"/>
      <c r="O10" s="36"/>
      <c r="P10" s="37"/>
      <c r="Q10" s="34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0"/>
    </row>
    <row r="11">
      <c r="A11" s="34"/>
      <c r="B11" s="15"/>
      <c r="C11" s="15"/>
      <c r="D11" s="15"/>
      <c r="E11" s="15"/>
      <c r="F11" s="15"/>
      <c r="G11" s="36"/>
      <c r="H11" s="1"/>
      <c r="I11" s="1"/>
      <c r="J11" s="1"/>
      <c r="K11" s="26"/>
      <c r="L11" s="26"/>
      <c r="M11" s="37"/>
      <c r="N11" s="36"/>
      <c r="O11" s="36"/>
      <c r="P11" s="37"/>
      <c r="Q11" s="34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4"/>
      <c r="B12" s="15"/>
      <c r="C12" s="15"/>
      <c r="D12" s="15"/>
      <c r="E12" s="15"/>
      <c r="F12" s="15"/>
      <c r="G12" s="36"/>
      <c r="H12" s="1"/>
      <c r="I12" s="1"/>
      <c r="J12" s="1"/>
      <c r="K12" s="26"/>
      <c r="L12" s="26"/>
      <c r="M12" s="37"/>
      <c r="N12" s="36"/>
      <c r="O12" s="36"/>
      <c r="P12" s="37"/>
      <c r="Q12" s="34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4"/>
      <c r="B13" s="15"/>
      <c r="C13" s="15"/>
      <c r="D13" s="15"/>
      <c r="E13" s="15"/>
      <c r="F13" s="15"/>
      <c r="G13" s="36"/>
      <c r="H13" s="1"/>
      <c r="I13" s="1"/>
      <c r="J13" s="1"/>
      <c r="K13" s="26"/>
      <c r="L13" s="26"/>
      <c r="M13" s="37"/>
      <c r="N13" s="36"/>
      <c r="O13" s="36"/>
      <c r="P13" s="37"/>
      <c r="Q13" s="34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0"/>
    </row>
    <row r="14">
      <c r="A14" s="34"/>
      <c r="B14" s="15"/>
      <c r="C14" s="15"/>
      <c r="D14" s="15"/>
      <c r="E14" s="15"/>
      <c r="F14" s="15"/>
      <c r="G14" s="36"/>
      <c r="H14" s="1"/>
      <c r="I14" s="1"/>
      <c r="J14" s="1"/>
      <c r="K14" s="26"/>
      <c r="L14" s="26"/>
      <c r="M14" s="37"/>
      <c r="N14" s="36"/>
      <c r="O14" s="36"/>
      <c r="P14" s="37"/>
      <c r="Q14" s="34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4"/>
      <c r="B15" s="15"/>
      <c r="C15" s="15"/>
      <c r="D15" s="15"/>
      <c r="E15" s="15"/>
      <c r="F15" s="15"/>
      <c r="G15" s="36"/>
      <c r="H15" s="1"/>
      <c r="I15" s="1"/>
      <c r="J15" s="1"/>
      <c r="K15" s="26"/>
      <c r="L15" s="26"/>
      <c r="M15" s="37"/>
      <c r="N15" s="36"/>
      <c r="O15" s="36"/>
      <c r="P15" s="37"/>
      <c r="Q15" s="34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4"/>
      <c r="B16" s="15"/>
      <c r="C16" s="15"/>
      <c r="D16" s="15"/>
      <c r="E16" s="15"/>
      <c r="F16" s="15"/>
      <c r="G16" s="36"/>
      <c r="H16" s="1"/>
      <c r="I16" s="1"/>
      <c r="J16" s="1"/>
      <c r="K16" s="26"/>
      <c r="L16" s="26"/>
      <c r="M16" s="37"/>
      <c r="N16" s="36"/>
      <c r="O16" s="36"/>
      <c r="P16" s="37"/>
      <c r="Q16" s="34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A17" s="34"/>
      <c r="B17" s="15"/>
      <c r="C17" s="15"/>
      <c r="D17" s="15"/>
      <c r="E17" s="15"/>
      <c r="F17" s="15"/>
      <c r="G17" s="36"/>
      <c r="H17" s="1"/>
      <c r="I17" s="1"/>
      <c r="J17" s="1"/>
      <c r="K17" s="26"/>
      <c r="L17" s="26"/>
      <c r="M17" s="37"/>
      <c r="N17" s="36"/>
      <c r="O17" s="36"/>
      <c r="P17" s="37"/>
      <c r="Q17" s="34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0"/>
    </row>
    <row r="18">
      <c r="A18" s="34"/>
      <c r="B18" s="15"/>
      <c r="C18" s="15"/>
      <c r="D18" s="15"/>
      <c r="E18" s="15"/>
      <c r="F18" s="15"/>
      <c r="G18" s="36"/>
      <c r="H18" s="1"/>
      <c r="I18" s="1"/>
      <c r="J18" s="1"/>
      <c r="K18" s="26"/>
      <c r="L18" s="26"/>
      <c r="M18" s="37"/>
      <c r="N18" s="36"/>
      <c r="O18" s="36"/>
      <c r="P18" s="37"/>
      <c r="Q18" s="34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0"/>
    </row>
    <row r="19">
      <c r="A19" s="34"/>
      <c r="B19" s="15"/>
      <c r="C19" s="15"/>
      <c r="D19" s="15"/>
      <c r="E19" s="15"/>
      <c r="F19" s="15"/>
      <c r="G19" s="36"/>
      <c r="H19" s="1"/>
      <c r="I19" s="1"/>
      <c r="J19" s="1"/>
      <c r="K19" s="26"/>
      <c r="L19" s="26"/>
      <c r="M19" s="37"/>
      <c r="N19" s="36"/>
      <c r="O19" s="36"/>
      <c r="P19" s="37"/>
      <c r="Q19" s="34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0"/>
    </row>
    <row r="20">
      <c r="A20" s="34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7"/>
      <c r="N20" s="36"/>
      <c r="O20" s="36"/>
      <c r="P20" s="37"/>
      <c r="Q20" s="34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>
      <c r="A21" s="34"/>
      <c r="B21" s="15"/>
      <c r="C21" s="15"/>
      <c r="D21" s="15"/>
      <c r="E21" s="15"/>
      <c r="F21" s="15"/>
      <c r="G21" s="36"/>
      <c r="H21" s="1"/>
      <c r="I21" s="1"/>
      <c r="J21" s="1"/>
      <c r="K21" s="26"/>
      <c r="L21" s="26"/>
      <c r="M21" s="37"/>
      <c r="N21" s="36"/>
      <c r="O21" s="36"/>
      <c r="P21" s="37"/>
      <c r="Q21" s="34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0"/>
    </row>
    <row r="22">
      <c r="A22" s="34"/>
      <c r="B22" s="15"/>
      <c r="C22" s="15"/>
      <c r="D22" s="15"/>
      <c r="E22" s="15"/>
      <c r="F22" s="15"/>
      <c r="G22" s="36"/>
      <c r="H22" s="1"/>
      <c r="I22" s="1"/>
      <c r="J22" s="1"/>
      <c r="K22" s="26"/>
      <c r="L22" s="26"/>
      <c r="M22" s="37"/>
      <c r="N22" s="36"/>
      <c r="O22" s="36"/>
      <c r="P22" s="37"/>
      <c r="Q22" s="34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0"/>
    </row>
    <row r="23">
      <c r="A23" s="34"/>
      <c r="B23" s="15"/>
      <c r="C23" s="15"/>
      <c r="D23" s="15"/>
      <c r="E23" s="15"/>
      <c r="F23" s="15"/>
      <c r="G23" s="36"/>
      <c r="H23" s="1"/>
      <c r="I23" s="1"/>
      <c r="J23" s="1"/>
      <c r="K23" s="26"/>
      <c r="L23" s="26"/>
      <c r="M23" s="37"/>
      <c r="N23" s="36"/>
      <c r="O23" s="36"/>
      <c r="P23" s="37"/>
      <c r="Q23" s="34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0"/>
    </row>
    <row r="24">
      <c r="A24" s="34"/>
      <c r="B24" s="15"/>
      <c r="C24" s="15"/>
      <c r="D24" s="15"/>
      <c r="E24" s="15"/>
      <c r="F24" s="15"/>
      <c r="G24" s="36"/>
      <c r="H24" s="1"/>
      <c r="I24" s="1"/>
      <c r="J24" s="1"/>
      <c r="K24" s="26"/>
      <c r="L24" s="26"/>
      <c r="M24" s="37"/>
      <c r="N24" s="36"/>
      <c r="O24" s="36"/>
      <c r="P24" s="37"/>
      <c r="Q24" s="34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0"/>
    </row>
    <row r="25">
      <c r="A25" s="34"/>
      <c r="B25" s="15"/>
      <c r="C25" s="15"/>
      <c r="D25" s="15"/>
      <c r="E25" s="15"/>
      <c r="F25" s="15"/>
      <c r="G25" s="36"/>
      <c r="H25" s="1"/>
      <c r="I25" s="1"/>
      <c r="J25" s="1"/>
      <c r="K25" s="26"/>
      <c r="L25" s="26"/>
      <c r="M25" s="37"/>
      <c r="N25" s="36"/>
      <c r="O25" s="36"/>
      <c r="P25" s="37"/>
      <c r="Q25" s="3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0"/>
    </row>
    <row r="26">
      <c r="A26" s="34"/>
      <c r="B26" s="15"/>
      <c r="C26" s="15"/>
      <c r="D26" s="15"/>
      <c r="E26" s="15"/>
      <c r="F26" s="15"/>
      <c r="G26" s="36"/>
      <c r="H26" s="1"/>
      <c r="I26" s="1"/>
      <c r="J26" s="1"/>
      <c r="K26" s="26"/>
      <c r="L26" s="26"/>
      <c r="M26" s="37"/>
      <c r="N26" s="36"/>
      <c r="O26" s="36"/>
      <c r="P26" s="37"/>
      <c r="Q26" s="3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0"/>
    </row>
    <row r="27">
      <c r="A27" s="34"/>
      <c r="B27" s="15"/>
      <c r="C27" s="15"/>
      <c r="D27" s="15"/>
      <c r="E27" s="15"/>
      <c r="F27" s="15"/>
      <c r="G27" s="36"/>
      <c r="H27" s="1"/>
      <c r="I27" s="1"/>
      <c r="J27" s="1"/>
      <c r="K27" s="26"/>
      <c r="L27" s="26"/>
      <c r="M27" s="37"/>
      <c r="N27" s="36"/>
      <c r="O27" s="36"/>
      <c r="P27" s="37"/>
      <c r="Q27" s="3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0"/>
    </row>
    <row r="28">
      <c r="A28" s="34"/>
      <c r="B28" s="15"/>
      <c r="C28" s="15"/>
      <c r="D28" s="15"/>
      <c r="E28" s="15"/>
      <c r="F28" s="15"/>
      <c r="G28" s="36"/>
      <c r="H28" s="1"/>
      <c r="I28" s="1"/>
      <c r="J28" s="1"/>
      <c r="K28" s="26"/>
      <c r="L28" s="26"/>
      <c r="M28" s="37"/>
      <c r="N28" s="36"/>
      <c r="O28" s="36"/>
      <c r="P28" s="37"/>
      <c r="Q28" s="3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0"/>
    </row>
    <row r="29">
      <c r="A29" s="34"/>
      <c r="B29" s="15"/>
      <c r="C29" s="15"/>
      <c r="D29" s="15"/>
      <c r="E29" s="15"/>
      <c r="F29" s="15"/>
      <c r="G29" s="36"/>
      <c r="H29" s="1"/>
      <c r="I29" s="1"/>
      <c r="J29" s="1"/>
      <c r="K29" s="26"/>
      <c r="L29" s="26"/>
      <c r="M29" s="37"/>
      <c r="N29" s="36"/>
      <c r="O29" s="36"/>
      <c r="P29" s="37"/>
      <c r="Q29" s="3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0"/>
    </row>
    <row r="30">
      <c r="A30" s="34"/>
      <c r="B30" s="15"/>
      <c r="C30" s="15"/>
      <c r="D30" s="15"/>
      <c r="E30" s="15"/>
      <c r="F30" s="15"/>
      <c r="G30" s="36"/>
      <c r="H30" s="1"/>
      <c r="I30" s="1"/>
      <c r="J30" s="1"/>
      <c r="K30" s="26"/>
      <c r="L30" s="26"/>
      <c r="M30" s="37"/>
      <c r="N30" s="36"/>
      <c r="O30" s="36"/>
      <c r="P30" s="37"/>
      <c r="Q30" s="34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0"/>
    </row>
    <row r="31">
      <c r="A31" s="34"/>
      <c r="B31" s="15"/>
      <c r="C31" s="15"/>
      <c r="D31" s="15"/>
      <c r="E31" s="15"/>
      <c r="F31" s="15"/>
      <c r="G31" s="36"/>
      <c r="H31" s="1"/>
      <c r="I31" s="1"/>
      <c r="J31" s="1"/>
      <c r="K31" s="26"/>
      <c r="L31" s="26"/>
      <c r="M31" s="37"/>
      <c r="N31" s="36"/>
      <c r="O31" s="36"/>
      <c r="P31" s="37"/>
      <c r="Q31" s="34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0"/>
    </row>
    <row r="32">
      <c r="A32" s="34"/>
      <c r="B32" s="15"/>
      <c r="C32" s="15"/>
      <c r="D32" s="15"/>
      <c r="E32" s="15"/>
      <c r="F32" s="15"/>
      <c r="G32" s="36"/>
      <c r="H32" s="1"/>
      <c r="I32" s="1"/>
      <c r="J32" s="1"/>
      <c r="K32" s="26"/>
      <c r="L32" s="26"/>
      <c r="M32" s="37"/>
      <c r="N32" s="36"/>
      <c r="O32" s="36"/>
      <c r="P32" s="37"/>
      <c r="Q32" s="34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0"/>
    </row>
    <row r="33">
      <c r="A33" s="34"/>
      <c r="B33" s="15"/>
      <c r="C33" s="15"/>
      <c r="D33" s="15"/>
      <c r="E33" s="15"/>
      <c r="F33" s="15"/>
      <c r="G33" s="36"/>
      <c r="H33" s="1"/>
      <c r="I33" s="1"/>
      <c r="J33" s="1"/>
      <c r="K33" s="26"/>
      <c r="L33" s="26"/>
      <c r="M33" s="37"/>
      <c r="N33" s="36"/>
      <c r="O33" s="36"/>
      <c r="P33" s="37"/>
      <c r="Q33" s="34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0"/>
    </row>
    <row r="34">
      <c r="A34" s="34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7"/>
      <c r="N34" s="36"/>
      <c r="O34" s="36"/>
      <c r="P34" s="37"/>
      <c r="Q34" s="34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>
      <c r="A35" s="34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7"/>
      <c r="N35" s="36"/>
      <c r="O35" s="36"/>
      <c r="P35" s="37"/>
      <c r="Q35" s="34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>
      <c r="A36" s="34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7"/>
      <c r="N36" s="36"/>
      <c r="O36" s="36"/>
      <c r="P36" s="37"/>
      <c r="Q36" s="34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>
      <c r="A37" s="34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7"/>
      <c r="N37" s="36"/>
      <c r="O37" s="36"/>
      <c r="P37" s="37"/>
      <c r="Q37" s="34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>
      <c r="A38" s="34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7"/>
      <c r="N38" s="36"/>
      <c r="O38" s="36"/>
      <c r="P38" s="37"/>
      <c r="Q38" s="34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>
      <c r="A39" s="34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7"/>
      <c r="N39" s="36"/>
      <c r="O39" s="36"/>
      <c r="P39" s="37"/>
      <c r="Q39" s="34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>
      <c r="A40" s="34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7"/>
      <c r="N40" s="36"/>
      <c r="O40" s="36"/>
      <c r="P40" s="37"/>
      <c r="Q40" s="34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>
      <c r="A41" s="34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7"/>
      <c r="N41" s="36"/>
      <c r="O41" s="36"/>
      <c r="P41" s="37"/>
      <c r="Q41" s="34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>
      <c r="A42" s="34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7"/>
      <c r="N42" s="36"/>
      <c r="O42" s="36"/>
      <c r="P42" s="37"/>
      <c r="Q42" s="34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>
      <c r="A43" s="34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7"/>
      <c r="N43" s="36"/>
      <c r="O43" s="36"/>
      <c r="P43" s="37"/>
      <c r="Q43" s="34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>
      <c r="A44" s="34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7"/>
      <c r="N44" s="36"/>
      <c r="O44" s="36"/>
      <c r="P44" s="37"/>
      <c r="Q44" s="34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>
      <c r="A45" s="34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7"/>
      <c r="N45" s="36"/>
      <c r="O45" s="36"/>
      <c r="P45" s="37"/>
      <c r="Q45" s="34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>
      <c r="A46" s="34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7"/>
      <c r="N46" s="36"/>
      <c r="O46" s="36"/>
      <c r="P46" s="37"/>
      <c r="Q46" s="34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>
      <c r="A47" s="34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7"/>
      <c r="N47" s="36"/>
      <c r="O47" s="36"/>
      <c r="P47" s="37"/>
      <c r="Q47" s="34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>
      <c r="A48" s="34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7"/>
      <c r="N48" s="36"/>
      <c r="O48" s="36"/>
      <c r="P48" s="37"/>
      <c r="Q48" s="34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>
      <c r="A49" s="34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7"/>
      <c r="N49" s="36"/>
      <c r="O49" s="36"/>
      <c r="P49" s="37"/>
      <c r="Q49" s="34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>
      <c r="A50" s="34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7"/>
      <c r="N50" s="36"/>
      <c r="O50" s="36"/>
      <c r="P50" s="37"/>
      <c r="Q50" s="34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>
      <c r="A51" s="34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7"/>
      <c r="N51" s="36"/>
      <c r="O51" s="36"/>
      <c r="P51" s="37"/>
      <c r="Q51" s="34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>
      <c r="A52" s="34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7"/>
      <c r="N52" s="36"/>
      <c r="O52" s="36"/>
      <c r="P52" s="37"/>
      <c r="Q52" s="34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>
      <c r="A53" s="34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7"/>
      <c r="N53" s="36"/>
      <c r="O53" s="36"/>
      <c r="P53" s="37"/>
      <c r="Q53" s="34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>
      <c r="A54" s="34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7"/>
      <c r="N54" s="36"/>
      <c r="O54" s="36"/>
      <c r="P54" s="37"/>
      <c r="Q54" s="34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>
      <c r="A55" s="34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7"/>
      <c r="N55" s="36"/>
      <c r="O55" s="36"/>
      <c r="P55" s="37"/>
      <c r="Q55" s="34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>
      <c r="A56" s="34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7"/>
      <c r="N56" s="36"/>
      <c r="O56" s="36"/>
      <c r="P56" s="37"/>
      <c r="Q56" s="34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>
      <c r="A57" s="34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7"/>
      <c r="N57" s="36"/>
      <c r="O57" s="36"/>
      <c r="P57" s="37"/>
      <c r="Q57" s="34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>
      <c r="A58" s="34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7"/>
      <c r="N58" s="36"/>
      <c r="O58" s="36"/>
      <c r="P58" s="37"/>
      <c r="Q58" s="34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>
      <c r="A59" s="34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7"/>
      <c r="N59" s="36"/>
      <c r="O59" s="36"/>
      <c r="P59" s="37"/>
      <c r="Q59" s="34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>
      <c r="A60" s="34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7"/>
      <c r="N60" s="36"/>
      <c r="O60" s="36"/>
      <c r="P60" s="37"/>
      <c r="Q60" s="34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>
      <c r="A61" s="34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7"/>
      <c r="N61" s="36"/>
      <c r="O61" s="36"/>
      <c r="P61" s="37"/>
      <c r="Q61" s="34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>
      <c r="A62" s="34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7"/>
      <c r="N62" s="36"/>
      <c r="O62" s="36"/>
      <c r="P62" s="37"/>
      <c r="Q62" s="34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>
      <c r="A63" s="34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7"/>
      <c r="N63" s="36"/>
      <c r="O63" s="36"/>
      <c r="P63" s="37"/>
      <c r="Q63" s="34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>
      <c r="A64" s="34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7"/>
      <c r="N64" s="36"/>
      <c r="O64" s="36"/>
      <c r="P64" s="37"/>
      <c r="Q64" s="34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>
      <c r="A65" s="34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7"/>
      <c r="N65" s="36"/>
      <c r="O65" s="36"/>
      <c r="P65" s="37"/>
      <c r="Q65" s="34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>
      <c r="A66" s="34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7"/>
      <c r="N66" s="36"/>
      <c r="O66" s="36"/>
      <c r="P66" s="37"/>
      <c r="Q66" s="34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>
      <c r="A67" s="34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7"/>
      <c r="N67" s="36"/>
      <c r="O67" s="36"/>
      <c r="P67" s="37"/>
      <c r="Q67" s="34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>
      <c r="A68" s="34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7"/>
      <c r="N68" s="36"/>
      <c r="O68" s="36"/>
      <c r="P68" s="37"/>
      <c r="Q68" s="34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>
      <c r="A69" s="34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7"/>
      <c r="N69" s="36"/>
      <c r="O69" s="36"/>
      <c r="P69" s="37"/>
      <c r="Q69" s="34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>
      <c r="A70" s="34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7"/>
      <c r="N70" s="36"/>
      <c r="O70" s="36"/>
      <c r="P70" s="37"/>
      <c r="Q70" s="34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>
      <c r="A71" s="34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7"/>
      <c r="N71" s="36"/>
      <c r="O71" s="36"/>
      <c r="P71" s="37"/>
      <c r="Q71" s="34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>
      <c r="A72" s="34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7"/>
      <c r="N72" s="36"/>
      <c r="O72" s="36"/>
      <c r="P72" s="37"/>
      <c r="Q72" s="34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>
      <c r="A73" s="34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7"/>
      <c r="N73" s="36"/>
      <c r="O73" s="36"/>
      <c r="P73" s="37"/>
      <c r="Q73" s="34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>
      <c r="A74" s="34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7"/>
      <c r="N74" s="36"/>
      <c r="O74" s="36"/>
      <c r="P74" s="37"/>
      <c r="Q74" s="34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>
      <c r="A75" s="34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7"/>
      <c r="N75" s="36"/>
      <c r="O75" s="36"/>
      <c r="P75" s="37"/>
      <c r="Q75" s="34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>
      <c r="A76" s="34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7"/>
      <c r="N76" s="36"/>
      <c r="O76" s="36"/>
      <c r="P76" s="37"/>
      <c r="Q76" s="34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>
      <c r="A77" s="34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7"/>
      <c r="N77" s="36"/>
      <c r="O77" s="36"/>
      <c r="P77" s="37"/>
      <c r="Q77" s="34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>
      <c r="A78" s="34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7"/>
      <c r="N78" s="36"/>
      <c r="O78" s="36"/>
      <c r="P78" s="37"/>
      <c r="Q78" s="34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>
      <c r="A79" s="34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7"/>
      <c r="N79" s="36"/>
      <c r="O79" s="36"/>
      <c r="P79" s="37"/>
      <c r="Q79" s="34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>
      <c r="A80" s="34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7"/>
      <c r="N80" s="36"/>
      <c r="O80" s="36"/>
      <c r="P80" s="37"/>
      <c r="Q80" s="34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>
      <c r="A81" s="34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7"/>
      <c r="N81" s="36"/>
      <c r="O81" s="36"/>
      <c r="P81" s="37"/>
      <c r="Q81" s="34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>
      <c r="A82" s="34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7"/>
      <c r="N82" s="36"/>
      <c r="O82" s="36"/>
      <c r="P82" s="37"/>
      <c r="Q82" s="34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>
      <c r="A83" s="34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7"/>
      <c r="N83" s="36"/>
      <c r="O83" s="36"/>
      <c r="P83" s="37"/>
      <c r="Q83" s="34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>
      <c r="A84" s="34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7"/>
      <c r="N84" s="36"/>
      <c r="O84" s="36"/>
      <c r="P84" s="37"/>
      <c r="Q84" s="34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>
      <c r="A85" s="34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7"/>
      <c r="N85" s="36"/>
      <c r="O85" s="36"/>
      <c r="P85" s="37"/>
      <c r="Q85" s="34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>
      <c r="A86" s="34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7"/>
      <c r="N86" s="36"/>
      <c r="O86" s="36"/>
      <c r="P86" s="37"/>
      <c r="Q86" s="34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>
      <c r="A87" s="34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7"/>
      <c r="N87" s="36"/>
      <c r="O87" s="36"/>
      <c r="P87" s="37"/>
      <c r="Q87" s="34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>
      <c r="A88" s="34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7"/>
      <c r="N88" s="36"/>
      <c r="O88" s="36"/>
      <c r="P88" s="37"/>
      <c r="Q88" s="34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>
      <c r="A89" s="34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7"/>
      <c r="N89" s="36"/>
      <c r="O89" s="36"/>
      <c r="P89" s="37"/>
      <c r="Q89" s="34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>
      <c r="A90" s="34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7"/>
      <c r="N90" s="36"/>
      <c r="O90" s="36"/>
      <c r="P90" s="37"/>
      <c r="Q90" s="34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>
      <c r="A91" s="34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7"/>
      <c r="N91" s="36"/>
      <c r="O91" s="36"/>
      <c r="P91" s="37"/>
      <c r="Q91" s="34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>
      <c r="A92" s="34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7"/>
      <c r="N92" s="36"/>
      <c r="O92" s="36"/>
      <c r="P92" s="37"/>
      <c r="Q92" s="34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>
      <c r="A93" s="34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7"/>
      <c r="N93" s="36"/>
      <c r="O93" s="36"/>
      <c r="P93" s="37"/>
      <c r="Q93" s="34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>
      <c r="A94" s="34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7"/>
      <c r="N94" s="36"/>
      <c r="O94" s="36"/>
      <c r="P94" s="37"/>
      <c r="Q94" s="34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>
      <c r="A95" s="34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7"/>
      <c r="N95" s="36"/>
      <c r="O95" s="36"/>
      <c r="P95" s="37"/>
      <c r="Q95" s="34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>
      <c r="A96" s="34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7"/>
      <c r="N96" s="36"/>
      <c r="O96" s="36"/>
      <c r="P96" s="37"/>
      <c r="Q96" s="34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>
      <c r="A97" s="34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7"/>
      <c r="N97" s="36"/>
      <c r="O97" s="36"/>
      <c r="P97" s="37"/>
      <c r="Q97" s="34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>
      <c r="A98" s="34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7"/>
      <c r="N98" s="36"/>
      <c r="O98" s="36"/>
      <c r="P98" s="37"/>
      <c r="Q98" s="34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>
      <c r="A99" s="34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7"/>
      <c r="N99" s="36"/>
      <c r="O99" s="36"/>
      <c r="P99" s="37"/>
      <c r="Q99" s="34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>
      <c r="A100" s="34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7"/>
      <c r="N100" s="36"/>
      <c r="O100" s="36"/>
      <c r="P100" s="37"/>
      <c r="Q100" s="34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>
      <c r="A101" s="34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7"/>
      <c r="N101" s="36"/>
      <c r="O101" s="36"/>
      <c r="P101" s="37"/>
      <c r="Q101" s="34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>
      <c r="A102" s="34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7"/>
      <c r="N102" s="36"/>
      <c r="O102" s="36"/>
      <c r="P102" s="37"/>
      <c r="Q102" s="34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>
      <c r="A103" s="34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7"/>
      <c r="N103" s="36"/>
      <c r="O103" s="36"/>
      <c r="P103" s="37"/>
      <c r="Q103" s="34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>
      <c r="A104" s="34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7"/>
      <c r="N104" s="36"/>
      <c r="O104" s="36"/>
      <c r="P104" s="37"/>
      <c r="Q104" s="34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>
      <c r="A105" s="34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7"/>
      <c r="N105" s="36"/>
      <c r="O105" s="36"/>
      <c r="P105" s="37"/>
      <c r="Q105" s="34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>
      <c r="A106" s="34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7"/>
      <c r="N106" s="36"/>
      <c r="O106" s="36"/>
      <c r="P106" s="37"/>
      <c r="Q106" s="34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>
      <c r="A107" s="34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7"/>
      <c r="N107" s="36"/>
      <c r="O107" s="36"/>
      <c r="P107" s="37"/>
      <c r="Q107" s="34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>
      <c r="A108" s="34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7"/>
      <c r="N108" s="36"/>
      <c r="O108" s="36"/>
      <c r="P108" s="37"/>
      <c r="Q108" s="34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>
      <c r="A109" s="34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7"/>
      <c r="N109" s="36"/>
      <c r="O109" s="36"/>
      <c r="P109" s="37"/>
      <c r="Q109" s="34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>
      <c r="A110" s="34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7"/>
      <c r="N110" s="36"/>
      <c r="O110" s="36"/>
      <c r="P110" s="37"/>
      <c r="Q110" s="34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>
      <c r="A111" s="34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7"/>
      <c r="N111" s="36"/>
      <c r="O111" s="36"/>
      <c r="P111" s="37"/>
      <c r="Q111" s="34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>
      <c r="A112" s="34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7"/>
      <c r="N112" s="36"/>
      <c r="O112" s="36"/>
      <c r="P112" s="37"/>
      <c r="Q112" s="34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>
      <c r="A113" s="34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7"/>
      <c r="N113" s="36"/>
      <c r="O113" s="36"/>
      <c r="P113" s="37"/>
      <c r="Q113" s="34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>
      <c r="A114" s="34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7"/>
      <c r="N114" s="36"/>
      <c r="O114" s="36"/>
      <c r="P114" s="37"/>
      <c r="Q114" s="34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>
      <c r="A115" s="34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7"/>
      <c r="N115" s="36"/>
      <c r="O115" s="36"/>
      <c r="P115" s="37"/>
      <c r="Q115" s="34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>
      <c r="A116" s="34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7"/>
      <c r="N116" s="36"/>
      <c r="O116" s="36"/>
      <c r="P116" s="37"/>
      <c r="Q116" s="34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>
      <c r="A117" s="34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7"/>
      <c r="N117" s="36"/>
      <c r="O117" s="36"/>
      <c r="P117" s="37"/>
      <c r="Q117" s="34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>
      <c r="A118" s="34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7"/>
      <c r="N118" s="36"/>
      <c r="O118" s="36"/>
      <c r="P118" s="37"/>
      <c r="Q118" s="34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>
      <c r="A119" s="34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7"/>
      <c r="N119" s="36"/>
      <c r="O119" s="36"/>
      <c r="P119" s="37"/>
      <c r="Q119" s="34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>
      <c r="A120" s="34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7"/>
      <c r="N120" s="36"/>
      <c r="O120" s="36"/>
      <c r="P120" s="37"/>
      <c r="Q120" s="34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>
      <c r="A121" s="34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7"/>
      <c r="N121" s="36"/>
      <c r="O121" s="36"/>
      <c r="P121" s="37"/>
      <c r="Q121" s="34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>
      <c r="A122" s="34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7"/>
      <c r="N122" s="36"/>
      <c r="O122" s="36"/>
      <c r="P122" s="37"/>
      <c r="Q122" s="34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>
      <c r="A123" s="34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7"/>
      <c r="N123" s="36"/>
      <c r="O123" s="36"/>
      <c r="P123" s="37"/>
      <c r="Q123" s="34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>
      <c r="A124" s="34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7"/>
      <c r="N124" s="36"/>
      <c r="O124" s="36"/>
      <c r="P124" s="37"/>
      <c r="Q124" s="34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>
      <c r="A125" s="34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7"/>
      <c r="N125" s="36"/>
      <c r="O125" s="36"/>
      <c r="P125" s="37"/>
      <c r="Q125" s="34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>
      <c r="A126" s="34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7"/>
      <c r="N126" s="36"/>
      <c r="O126" s="36"/>
      <c r="P126" s="37"/>
      <c r="Q126" s="34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>
      <c r="A127" s="34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7"/>
      <c r="N127" s="36"/>
      <c r="O127" s="36"/>
      <c r="P127" s="37"/>
      <c r="Q127" s="34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>
      <c r="A128" s="34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7"/>
      <c r="N128" s="36"/>
      <c r="O128" s="36"/>
      <c r="P128" s="37"/>
      <c r="Q128" s="34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>
      <c r="A129" s="34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7"/>
      <c r="N129" s="36"/>
      <c r="O129" s="36"/>
      <c r="P129" s="37"/>
      <c r="Q129" s="34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>
      <c r="A130" s="34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7"/>
      <c r="N130" s="36"/>
      <c r="O130" s="36"/>
      <c r="P130" s="37"/>
      <c r="Q130" s="34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>
      <c r="A131" s="34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7"/>
      <c r="N131" s="36"/>
      <c r="O131" s="36"/>
      <c r="P131" s="37"/>
      <c r="Q131" s="34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>
      <c r="A132" s="34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7"/>
      <c r="N132" s="36"/>
      <c r="O132" s="36"/>
      <c r="P132" s="37"/>
      <c r="Q132" s="34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>
      <c r="A133" s="34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7"/>
      <c r="N133" s="36"/>
      <c r="O133" s="36"/>
      <c r="P133" s="37"/>
      <c r="Q133" s="34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>
      <c r="A134" s="34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7"/>
      <c r="N134" s="36"/>
      <c r="O134" s="36"/>
      <c r="P134" s="37"/>
      <c r="Q134" s="34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>
      <c r="A135" s="34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7"/>
      <c r="N135" s="36"/>
      <c r="O135" s="36"/>
      <c r="P135" s="37"/>
      <c r="Q135" s="34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>
      <c r="A136" s="34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7"/>
      <c r="N136" s="36"/>
      <c r="O136" s="36"/>
      <c r="P136" s="37"/>
      <c r="Q136" s="34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>
      <c r="A137" s="34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7"/>
      <c r="N137" s="36"/>
      <c r="O137" s="36"/>
      <c r="P137" s="37"/>
      <c r="Q137" s="34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>
      <c r="A138" s="34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7"/>
      <c r="N138" s="36"/>
      <c r="O138" s="36"/>
      <c r="P138" s="37"/>
      <c r="Q138" s="34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>
      <c r="A139" s="34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7"/>
      <c r="N139" s="36"/>
      <c r="O139" s="36"/>
      <c r="P139" s="37"/>
      <c r="Q139" s="34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>
      <c r="A140" s="34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7"/>
      <c r="N140" s="36"/>
      <c r="O140" s="36"/>
      <c r="P140" s="37"/>
      <c r="Q140" s="34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>
      <c r="A141" s="34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7"/>
      <c r="N141" s="36"/>
      <c r="O141" s="36"/>
      <c r="P141" s="37"/>
      <c r="Q141" s="34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>
      <c r="A142" s="34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7"/>
      <c r="N142" s="36"/>
      <c r="O142" s="36"/>
      <c r="P142" s="37"/>
      <c r="Q142" s="34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>
      <c r="A143" s="34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7"/>
      <c r="N143" s="36"/>
      <c r="O143" s="36"/>
      <c r="P143" s="37"/>
      <c r="Q143" s="34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>
      <c r="A144" s="34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7"/>
      <c r="N144" s="36"/>
      <c r="O144" s="36"/>
      <c r="P144" s="37"/>
      <c r="Q144" s="34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>
      <c r="A145" s="34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7"/>
      <c r="N145" s="36"/>
      <c r="O145" s="36"/>
      <c r="P145" s="37"/>
      <c r="Q145" s="34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>
      <c r="A146" s="34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7"/>
      <c r="N146" s="36"/>
      <c r="O146" s="36"/>
      <c r="P146" s="37"/>
      <c r="Q146" s="34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>
      <c r="A147" s="34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7"/>
      <c r="N147" s="36"/>
      <c r="O147" s="36"/>
      <c r="P147" s="37"/>
      <c r="Q147" s="34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>
      <c r="A148" s="34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7"/>
      <c r="N148" s="36"/>
      <c r="O148" s="36"/>
      <c r="P148" s="37"/>
      <c r="Q148" s="34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>
      <c r="A149" s="34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7"/>
      <c r="N149" s="36"/>
      <c r="O149" s="36"/>
      <c r="P149" s="37"/>
      <c r="Q149" s="34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>
      <c r="A150" s="34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7"/>
      <c r="N150" s="36"/>
      <c r="O150" s="36"/>
      <c r="P150" s="37"/>
      <c r="Q150" s="34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>
      <c r="A151" s="34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7"/>
      <c r="N151" s="36"/>
      <c r="O151" s="36"/>
      <c r="P151" s="37"/>
      <c r="Q151" s="34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>
      <c r="A152" s="34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7"/>
      <c r="N152" s="36"/>
      <c r="O152" s="36"/>
      <c r="P152" s="37"/>
      <c r="Q152" s="34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>
      <c r="A153" s="34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7"/>
      <c r="N153" s="36"/>
      <c r="O153" s="36"/>
      <c r="P153" s="37"/>
      <c r="Q153" s="34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>
      <c r="A154" s="34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7"/>
      <c r="N154" s="36"/>
      <c r="O154" s="36"/>
      <c r="P154" s="37"/>
      <c r="Q154" s="34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>
      <c r="A155" s="34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7"/>
      <c r="N155" s="36"/>
      <c r="O155" s="36"/>
      <c r="P155" s="37"/>
      <c r="Q155" s="34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>
      <c r="A156" s="34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7"/>
      <c r="N156" s="36"/>
      <c r="O156" s="36"/>
      <c r="P156" s="37"/>
      <c r="Q156" s="34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>
      <c r="A157" s="34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7"/>
      <c r="N157" s="36"/>
      <c r="O157" s="36"/>
      <c r="P157" s="37"/>
      <c r="Q157" s="34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>
      <c r="A158" s="34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7"/>
      <c r="N158" s="36"/>
      <c r="O158" s="36"/>
      <c r="P158" s="37"/>
      <c r="Q158" s="34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>
      <c r="A159" s="34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7"/>
      <c r="N159" s="36"/>
      <c r="O159" s="36"/>
      <c r="P159" s="37"/>
      <c r="Q159" s="34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>
      <c r="A160" s="34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7"/>
      <c r="N160" s="36"/>
      <c r="O160" s="36"/>
      <c r="P160" s="37"/>
      <c r="Q160" s="34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>
      <c r="A161" s="34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7"/>
      <c r="N161" s="36"/>
      <c r="O161" s="36"/>
      <c r="P161" s="37"/>
      <c r="Q161" s="34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>
      <c r="A162" s="34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7"/>
      <c r="N162" s="36"/>
      <c r="O162" s="36"/>
      <c r="P162" s="37"/>
      <c r="Q162" s="34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>
      <c r="A163" s="34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7"/>
      <c r="N163" s="36"/>
      <c r="O163" s="36"/>
      <c r="P163" s="37"/>
      <c r="Q163" s="34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>
      <c r="A164" s="34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7"/>
      <c r="N164" s="36"/>
      <c r="O164" s="36"/>
      <c r="P164" s="37"/>
      <c r="Q164" s="34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>
      <c r="A165" s="34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7"/>
      <c r="N165" s="36"/>
      <c r="O165" s="36"/>
      <c r="P165" s="37"/>
      <c r="Q165" s="34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>
      <c r="A166" s="34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7"/>
      <c r="N166" s="36"/>
      <c r="O166" s="36"/>
      <c r="P166" s="37"/>
      <c r="Q166" s="34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>
      <c r="A167" s="34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7"/>
      <c r="N167" s="36"/>
      <c r="O167" s="36"/>
      <c r="P167" s="37"/>
      <c r="Q167" s="34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>
      <c r="A168" s="34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7"/>
      <c r="N168" s="36"/>
      <c r="O168" s="36"/>
      <c r="P168" s="37"/>
      <c r="Q168" s="34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>
      <c r="A169" s="34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7"/>
      <c r="N169" s="36"/>
      <c r="O169" s="36"/>
      <c r="P169" s="37"/>
      <c r="Q169" s="34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>
      <c r="A170" s="34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7"/>
      <c r="N170" s="36"/>
      <c r="O170" s="36"/>
      <c r="P170" s="37"/>
      <c r="Q170" s="34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>
      <c r="A171" s="34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7"/>
      <c r="N171" s="36"/>
      <c r="O171" s="36"/>
      <c r="P171" s="37"/>
      <c r="Q171" s="34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>
      <c r="A172" s="34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7"/>
      <c r="N172" s="36"/>
      <c r="O172" s="36"/>
      <c r="P172" s="37"/>
      <c r="Q172" s="34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>
      <c r="A173" s="34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7"/>
      <c r="N173" s="36"/>
      <c r="O173" s="36"/>
      <c r="P173" s="37"/>
      <c r="Q173" s="34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>
      <c r="A174" s="34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7"/>
      <c r="N174" s="36"/>
      <c r="O174" s="36"/>
      <c r="P174" s="37"/>
      <c r="Q174" s="34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>
      <c r="A175" s="34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7"/>
      <c r="N175" s="36"/>
      <c r="O175" s="36"/>
      <c r="P175" s="37"/>
      <c r="Q175" s="34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>
      <c r="A176" s="34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7"/>
      <c r="N176" s="36"/>
      <c r="O176" s="36"/>
      <c r="P176" s="37"/>
      <c r="Q176" s="34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>
      <c r="A177" s="34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7"/>
      <c r="N177" s="36"/>
      <c r="O177" s="36"/>
      <c r="P177" s="37"/>
      <c r="Q177" s="34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>
      <c r="A178" s="34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7"/>
      <c r="N178" s="36"/>
      <c r="O178" s="36"/>
      <c r="P178" s="37"/>
      <c r="Q178" s="34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>
      <c r="A179" s="34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7"/>
      <c r="N179" s="36"/>
      <c r="O179" s="36"/>
      <c r="P179" s="37"/>
      <c r="Q179" s="34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>
      <c r="A180" s="34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7"/>
      <c r="N180" s="36"/>
      <c r="O180" s="36"/>
      <c r="P180" s="37"/>
      <c r="Q180" s="34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>
      <c r="A181" s="34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7"/>
      <c r="N181" s="36"/>
      <c r="O181" s="36"/>
      <c r="P181" s="37"/>
      <c r="Q181" s="34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>
      <c r="A182" s="34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7"/>
      <c r="N182" s="36"/>
      <c r="O182" s="36"/>
      <c r="P182" s="37"/>
      <c r="Q182" s="34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>
      <c r="A183" s="34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7"/>
      <c r="N183" s="36"/>
      <c r="O183" s="36"/>
      <c r="P183" s="37"/>
      <c r="Q183" s="34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>
      <c r="A184" s="34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7"/>
      <c r="N184" s="36"/>
      <c r="O184" s="36"/>
      <c r="P184" s="37"/>
      <c r="Q184" s="34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>
      <c r="A185" s="34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7"/>
      <c r="N185" s="36"/>
      <c r="O185" s="36"/>
      <c r="P185" s="37"/>
      <c r="Q185" s="34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>
      <c r="A186" s="34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7"/>
      <c r="N186" s="36"/>
      <c r="O186" s="36"/>
      <c r="P186" s="37"/>
      <c r="Q186" s="34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>
      <c r="A187" s="34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7"/>
      <c r="N187" s="36"/>
      <c r="O187" s="36"/>
      <c r="P187" s="37"/>
      <c r="Q187" s="34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>
      <c r="A188" s="34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7"/>
      <c r="N188" s="36"/>
      <c r="O188" s="36"/>
      <c r="P188" s="37"/>
      <c r="Q188" s="34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>
      <c r="A189" s="34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7"/>
      <c r="N189" s="36"/>
      <c r="O189" s="36"/>
      <c r="P189" s="37"/>
      <c r="Q189" s="34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>
      <c r="A190" s="34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7"/>
      <c r="N190" s="36"/>
      <c r="O190" s="36"/>
      <c r="P190" s="37"/>
      <c r="Q190" s="34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>
      <c r="A191" s="34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7"/>
      <c r="N191" s="36"/>
      <c r="O191" s="36"/>
      <c r="P191" s="37"/>
      <c r="Q191" s="34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>
      <c r="A192" s="34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7"/>
      <c r="N192" s="36"/>
      <c r="O192" s="36"/>
      <c r="P192" s="37"/>
      <c r="Q192" s="34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>
      <c r="A193" s="34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7"/>
      <c r="N193" s="36"/>
      <c r="O193" s="36"/>
      <c r="P193" s="37"/>
      <c r="Q193" s="34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>
      <c r="A194" s="34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7"/>
      <c r="N194" s="36"/>
      <c r="O194" s="36"/>
      <c r="P194" s="37"/>
      <c r="Q194" s="34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>
      <c r="A195" s="34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7"/>
      <c r="N195" s="36"/>
      <c r="O195" s="36"/>
      <c r="P195" s="37"/>
      <c r="Q195" s="34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>
      <c r="A196" s="34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7"/>
      <c r="N196" s="36"/>
      <c r="O196" s="36"/>
      <c r="P196" s="37"/>
      <c r="Q196" s="34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>
      <c r="A197" s="34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7"/>
      <c r="N197" s="36"/>
      <c r="O197" s="36"/>
      <c r="P197" s="37"/>
      <c r="Q197" s="34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>
      <c r="A198" s="34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7"/>
      <c r="N198" s="36"/>
      <c r="O198" s="36"/>
      <c r="P198" s="37"/>
      <c r="Q198" s="34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>
      <c r="A199" s="34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7"/>
      <c r="N199" s="36"/>
      <c r="O199" s="36"/>
      <c r="P199" s="37"/>
      <c r="Q199" s="34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>
      <c r="A200" s="34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7"/>
      <c r="N200" s="36"/>
      <c r="O200" s="36"/>
      <c r="P200" s="37"/>
      <c r="Q200" s="34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>
      <c r="A201" s="34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7"/>
      <c r="N201" s="36"/>
      <c r="O201" s="36"/>
      <c r="P201" s="37"/>
      <c r="Q201" s="34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>
      <c r="A202" s="34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7"/>
      <c r="N202" s="36"/>
      <c r="O202" s="36"/>
      <c r="P202" s="37"/>
      <c r="Q202" s="34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>
      <c r="A203" s="34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7"/>
      <c r="N203" s="36"/>
      <c r="O203" s="36"/>
      <c r="P203" s="37"/>
      <c r="Q203" s="34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>
      <c r="A204" s="34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7"/>
      <c r="N204" s="36"/>
      <c r="O204" s="36"/>
      <c r="P204" s="37"/>
      <c r="Q204" s="34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>
      <c r="A205" s="34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7"/>
      <c r="N205" s="36"/>
      <c r="O205" s="36"/>
      <c r="P205" s="37"/>
      <c r="Q205" s="34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>
      <c r="A206" s="34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7"/>
      <c r="N206" s="36"/>
      <c r="O206" s="36"/>
      <c r="P206" s="37"/>
      <c r="Q206" s="34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>
      <c r="A207" s="34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7"/>
      <c r="N207" s="36"/>
      <c r="O207" s="36"/>
      <c r="P207" s="37"/>
      <c r="Q207" s="34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>
      <c r="A208" s="34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7"/>
      <c r="N208" s="36"/>
      <c r="O208" s="36"/>
      <c r="P208" s="37"/>
      <c r="Q208" s="34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>
      <c r="A209" s="34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7"/>
      <c r="N209" s="36"/>
      <c r="O209" s="36"/>
      <c r="P209" s="37"/>
      <c r="Q209" s="34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>
      <c r="A210" s="34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7"/>
      <c r="N210" s="36"/>
      <c r="O210" s="36"/>
      <c r="P210" s="37"/>
      <c r="Q210" s="34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>
      <c r="A211" s="34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7"/>
      <c r="N211" s="36"/>
      <c r="O211" s="36"/>
      <c r="P211" s="37"/>
      <c r="Q211" s="34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>
      <c r="A212" s="34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7"/>
      <c r="N212" s="36"/>
      <c r="O212" s="36"/>
      <c r="P212" s="37"/>
      <c r="Q212" s="34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>
      <c r="A213" s="34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7"/>
      <c r="N213" s="36"/>
      <c r="O213" s="36"/>
      <c r="P213" s="37"/>
      <c r="Q213" s="34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>
      <c r="A214" s="34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7"/>
      <c r="N214" s="36"/>
      <c r="O214" s="36"/>
      <c r="P214" s="37"/>
      <c r="Q214" s="34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>
      <c r="A215" s="34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7"/>
      <c r="N215" s="36"/>
      <c r="O215" s="36"/>
      <c r="P215" s="37"/>
      <c r="Q215" s="34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>
      <c r="A216" s="34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7"/>
      <c r="N216" s="36"/>
      <c r="O216" s="36"/>
      <c r="P216" s="37"/>
      <c r="Q216" s="34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>
      <c r="A217" s="34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7"/>
      <c r="N217" s="36"/>
      <c r="O217" s="36"/>
      <c r="P217" s="37"/>
      <c r="Q217" s="34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>
      <c r="A218" s="34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7"/>
      <c r="N218" s="36"/>
      <c r="O218" s="36"/>
      <c r="P218" s="37"/>
      <c r="Q218" s="34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>
      <c r="A219" s="34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7"/>
      <c r="N219" s="36"/>
      <c r="O219" s="36"/>
      <c r="P219" s="37"/>
      <c r="Q219" s="34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8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8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8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8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8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8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8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8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8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8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8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8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8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8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8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8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8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8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8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8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8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8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8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8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8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8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8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8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8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8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8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8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8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8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8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8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8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8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8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8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8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8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8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8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8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8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8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8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8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8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8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8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8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8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8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8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8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8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8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8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8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8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8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8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8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8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8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8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8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8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8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8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8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8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8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8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8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8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8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8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8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8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8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8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8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8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8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8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8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8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8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8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8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8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8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8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8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8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8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8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8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8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8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8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8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8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8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8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8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8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8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8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8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8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8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8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8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8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8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8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8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8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8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8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8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8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8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8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8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8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8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8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8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8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8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8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8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8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8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8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8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8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8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8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8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8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8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8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8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8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8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8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8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8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8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8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8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8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8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8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8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8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8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8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8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8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8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8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8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8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8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8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8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8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8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8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8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8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8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8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8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8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8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8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8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8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8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8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8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8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8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8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8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8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8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8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8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8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8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8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8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8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8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8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8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8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8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8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8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8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8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8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8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8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8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8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8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8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8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8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8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8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8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8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8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8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8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8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8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8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8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8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8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8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8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8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8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8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8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8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8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8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8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8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8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8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8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8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8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8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8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8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8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8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8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8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8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8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8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8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8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8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8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8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8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8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8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8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8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8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8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8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8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8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8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8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8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8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8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8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8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8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8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8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8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8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8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8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8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8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8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8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8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8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8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8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8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8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8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8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8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8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8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8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8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8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8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8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8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8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8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8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8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8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8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8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8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8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8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8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8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8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8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8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8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8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8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8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8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8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8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8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8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8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8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8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8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8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8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8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8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8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8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8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8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8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8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8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8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8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8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8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8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8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8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8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8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8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8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8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8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8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8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8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8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8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8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8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8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8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8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8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8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8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8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8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8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8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8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8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8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8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8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8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8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8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8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8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8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8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8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8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8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8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8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8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8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8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8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8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8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8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8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8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8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8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8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8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8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8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8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8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8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8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8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8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8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8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8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8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8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8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8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8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8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8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8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8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8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8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8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8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8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8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8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8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8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8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8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8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8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8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8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8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8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8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8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8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8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8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8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8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8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8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8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8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8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8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8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8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8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8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8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8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8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8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8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8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8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8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8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8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8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8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8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8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8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8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8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8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8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8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8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8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8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8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8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8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8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8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8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8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8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8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8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8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8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8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8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8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8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8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8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8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8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8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8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8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8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8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8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8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8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8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8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8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8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8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8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8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8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8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8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8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8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8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8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8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8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8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8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8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8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8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8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8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8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8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8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8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8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8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8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8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8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8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8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8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8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8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8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8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8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8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8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8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8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8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8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8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8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8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8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8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8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8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8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8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8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8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8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8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8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8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8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8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8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8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8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8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8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8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8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8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8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8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8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8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8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8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8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8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8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8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8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8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8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8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8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8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8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8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8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8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8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8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8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8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8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8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8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8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8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8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8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8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8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8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8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8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8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8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8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8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8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8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8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8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8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8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8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8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8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8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8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8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8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8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8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8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8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8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8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8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8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8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8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8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8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8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8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8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8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8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8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8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8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8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8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8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8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8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8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8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8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8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8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8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8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8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8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8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8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8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8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8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8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8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8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8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8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8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8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8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8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8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8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8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8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8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8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8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8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8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8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8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8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8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8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8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8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8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8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8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8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8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8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8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8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8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8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8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8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8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8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8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8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8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8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8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8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8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8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8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8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8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8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8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8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8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8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8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8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8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8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8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8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8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8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8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8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8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8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8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8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8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8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8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8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8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8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8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8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8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8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8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8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8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8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8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8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8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8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8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8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8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8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8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8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8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8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8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8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8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8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8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8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8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8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8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1" t="s">
        <v>206</v>
      </c>
      <c r="I1" s="1" t="s">
        <v>207</v>
      </c>
      <c r="J1" s="1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4" t="s">
        <v>214</v>
      </c>
      <c r="Q1" s="34" t="s">
        <v>215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225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7">
        <v>1.0</v>
      </c>
      <c r="Q2" s="34" t="s">
        <v>228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4" t="s">
        <v>226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300000001</v>
      </c>
      <c r="N3" s="14">
        <f>IF($A3="", -1, ($B3*README!$B$2)+($C3*README!$B$3)+($D3*README!$B$4)+($E3*README!$B$5)+($F3*README!$B$6)-1)</f>
        <v>300000000</v>
      </c>
      <c r="O3" s="14">
        <f>IF($A3="", -1, ($B3*README!$B$2)+($C3*README!$B$3)+($D3*README!$B$4)+($E3*README!$B$5)+($F3*README!$B$6)+1)</f>
        <v>300000002</v>
      </c>
      <c r="P3" s="37">
        <v>1.0</v>
      </c>
      <c r="Q3" s="34" t="s">
        <v>229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0"/>
    </row>
    <row r="4">
      <c r="A4" s="34" t="s">
        <v>227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300000002</v>
      </c>
      <c r="N4" s="14">
        <f>IF($A4="", -1, ($B4*README!$B$2)+($C4*README!$B$3)+($D4*README!$B$4)+($E4*README!$B$5)+($F4*README!$B$6)-1)</f>
        <v>300000001</v>
      </c>
      <c r="O4" s="14">
        <f>IF($A4="", -1, ($B4*README!$B$2)+($C4*README!$B$3)+($D4*README!$B$4)+($E4*README!$B$5)+($F4*README!$B$6)+1)</f>
        <v>300000003</v>
      </c>
      <c r="P4" s="37">
        <v>1.0</v>
      </c>
      <c r="Q4" s="34" t="s">
        <v>230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4"/>
      <c r="B5" s="15"/>
      <c r="C5" s="15"/>
      <c r="D5" s="15"/>
      <c r="E5" s="15"/>
      <c r="F5" s="15"/>
      <c r="G5" s="36"/>
      <c r="H5" s="1"/>
      <c r="I5" s="1"/>
      <c r="J5" s="1"/>
      <c r="K5" s="26"/>
      <c r="L5" s="26"/>
      <c r="M5" s="37"/>
      <c r="N5" s="36"/>
      <c r="O5" s="36"/>
      <c r="P5" s="37"/>
      <c r="Q5" s="34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26"/>
      <c r="M6" s="37"/>
      <c r="N6" s="36"/>
      <c r="O6" s="36"/>
      <c r="P6" s="37"/>
      <c r="Q6" s="34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26"/>
      <c r="M7" s="37"/>
      <c r="N7" s="36"/>
      <c r="O7" s="36"/>
      <c r="P7" s="37"/>
      <c r="Q7" s="34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4"/>
      <c r="B8" s="15"/>
      <c r="C8" s="15"/>
      <c r="D8" s="15"/>
      <c r="E8" s="15"/>
      <c r="F8" s="15"/>
      <c r="G8" s="36"/>
      <c r="H8" s="1"/>
      <c r="I8" s="1"/>
      <c r="J8" s="1"/>
      <c r="K8" s="26"/>
      <c r="L8" s="26"/>
      <c r="M8" s="37"/>
      <c r="N8" s="36"/>
      <c r="O8" s="36"/>
      <c r="P8" s="37"/>
      <c r="Q8" s="34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26"/>
      <c r="M9" s="37"/>
      <c r="N9" s="36"/>
      <c r="O9" s="36"/>
      <c r="P9" s="37"/>
      <c r="Q9" s="34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26"/>
      <c r="M10" s="37"/>
      <c r="N10" s="36"/>
      <c r="O10" s="36"/>
      <c r="P10" s="37"/>
      <c r="Q10" s="34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0"/>
    </row>
    <row r="11">
      <c r="A11" s="34"/>
      <c r="B11" s="15"/>
      <c r="C11" s="15"/>
      <c r="D11" s="15"/>
      <c r="E11" s="15"/>
      <c r="F11" s="15"/>
      <c r="G11" s="36"/>
      <c r="H11" s="1"/>
      <c r="I11" s="1"/>
      <c r="J11" s="1"/>
      <c r="K11" s="26"/>
      <c r="L11" s="26"/>
      <c r="M11" s="37"/>
      <c r="N11" s="36"/>
      <c r="O11" s="36"/>
      <c r="P11" s="37"/>
      <c r="Q11" s="34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4"/>
      <c r="B12" s="15"/>
      <c r="C12" s="15"/>
      <c r="D12" s="15"/>
      <c r="E12" s="15"/>
      <c r="F12" s="15"/>
      <c r="G12" s="36"/>
      <c r="H12" s="1"/>
      <c r="I12" s="1"/>
      <c r="J12" s="1"/>
      <c r="K12" s="26"/>
      <c r="L12" s="26"/>
      <c r="M12" s="37"/>
      <c r="N12" s="36"/>
      <c r="O12" s="36"/>
      <c r="P12" s="37"/>
      <c r="Q12" s="34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4"/>
      <c r="B13" s="15"/>
      <c r="C13" s="15"/>
      <c r="D13" s="15"/>
      <c r="E13" s="15"/>
      <c r="F13" s="15"/>
      <c r="G13" s="36"/>
      <c r="H13" s="1"/>
      <c r="I13" s="1"/>
      <c r="J13" s="1"/>
      <c r="K13" s="26"/>
      <c r="L13" s="26"/>
      <c r="M13" s="37"/>
      <c r="N13" s="36"/>
      <c r="O13" s="36"/>
      <c r="P13" s="37"/>
      <c r="Q13" s="34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0"/>
    </row>
    <row r="14">
      <c r="A14" s="34"/>
      <c r="B14" s="15"/>
      <c r="C14" s="15"/>
      <c r="D14" s="15"/>
      <c r="E14" s="15"/>
      <c r="F14" s="15"/>
      <c r="G14" s="36"/>
      <c r="H14" s="1"/>
      <c r="I14" s="1"/>
      <c r="J14" s="1"/>
      <c r="K14" s="26"/>
      <c r="L14" s="26"/>
      <c r="M14" s="37"/>
      <c r="N14" s="36"/>
      <c r="O14" s="36"/>
      <c r="P14" s="37"/>
      <c r="Q14" s="34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4"/>
      <c r="B15" s="15"/>
      <c r="C15" s="15"/>
      <c r="D15" s="15"/>
      <c r="E15" s="15"/>
      <c r="F15" s="15"/>
      <c r="G15" s="36"/>
      <c r="H15" s="1"/>
      <c r="I15" s="1"/>
      <c r="J15" s="1"/>
      <c r="K15" s="26"/>
      <c r="L15" s="26"/>
      <c r="M15" s="37"/>
      <c r="N15" s="36"/>
      <c r="O15" s="36"/>
      <c r="P15" s="37"/>
      <c r="Q15" s="34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4"/>
      <c r="B16" s="15"/>
      <c r="C16" s="15"/>
      <c r="D16" s="15"/>
      <c r="E16" s="15"/>
      <c r="F16" s="15"/>
      <c r="G16" s="36"/>
      <c r="H16" s="1"/>
      <c r="I16" s="1"/>
      <c r="J16" s="1"/>
      <c r="K16" s="26"/>
      <c r="L16" s="26"/>
      <c r="M16" s="37"/>
      <c r="N16" s="36"/>
      <c r="O16" s="36"/>
      <c r="P16" s="37"/>
      <c r="Q16" s="34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A17" s="34"/>
      <c r="B17" s="15"/>
      <c r="C17" s="15"/>
      <c r="D17" s="15"/>
      <c r="E17" s="15"/>
      <c r="F17" s="15"/>
      <c r="G17" s="36"/>
      <c r="H17" s="1"/>
      <c r="I17" s="1"/>
      <c r="J17" s="1"/>
      <c r="K17" s="26"/>
      <c r="L17" s="26"/>
      <c r="M17" s="37"/>
      <c r="N17" s="36"/>
      <c r="O17" s="36"/>
      <c r="P17" s="37"/>
      <c r="Q17" s="34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0"/>
    </row>
    <row r="18">
      <c r="A18" s="34"/>
      <c r="B18" s="15"/>
      <c r="C18" s="15"/>
      <c r="D18" s="15"/>
      <c r="E18" s="15"/>
      <c r="F18" s="15"/>
      <c r="G18" s="36"/>
      <c r="H18" s="1"/>
      <c r="I18" s="1"/>
      <c r="J18" s="1"/>
      <c r="K18" s="26"/>
      <c r="L18" s="26"/>
      <c r="M18" s="37"/>
      <c r="N18" s="36"/>
      <c r="O18" s="36"/>
      <c r="P18" s="37"/>
      <c r="Q18" s="34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0"/>
    </row>
    <row r="19">
      <c r="A19" s="34"/>
      <c r="B19" s="15"/>
      <c r="C19" s="15"/>
      <c r="D19" s="15"/>
      <c r="E19" s="15"/>
      <c r="F19" s="15"/>
      <c r="G19" s="36"/>
      <c r="H19" s="1"/>
      <c r="I19" s="1"/>
      <c r="J19" s="1"/>
      <c r="K19" s="26"/>
      <c r="L19" s="26"/>
      <c r="M19" s="37"/>
      <c r="N19" s="36"/>
      <c r="O19" s="36"/>
      <c r="P19" s="37"/>
      <c r="Q19" s="34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0"/>
    </row>
    <row r="20">
      <c r="A20" s="34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7"/>
      <c r="N20" s="36"/>
      <c r="O20" s="36"/>
      <c r="P20" s="37"/>
      <c r="Q20" s="34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>
      <c r="A21" s="34"/>
      <c r="B21" s="15"/>
      <c r="C21" s="15"/>
      <c r="D21" s="15"/>
      <c r="E21" s="15"/>
      <c r="F21" s="15"/>
      <c r="G21" s="36"/>
      <c r="H21" s="1"/>
      <c r="I21" s="1"/>
      <c r="J21" s="1"/>
      <c r="K21" s="26"/>
      <c r="L21" s="26"/>
      <c r="M21" s="37"/>
      <c r="N21" s="36"/>
      <c r="O21" s="36"/>
      <c r="P21" s="37"/>
      <c r="Q21" s="34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0"/>
    </row>
    <row r="22">
      <c r="A22" s="34"/>
      <c r="B22" s="15"/>
      <c r="C22" s="15"/>
      <c r="D22" s="15"/>
      <c r="E22" s="15"/>
      <c r="F22" s="15"/>
      <c r="G22" s="36"/>
      <c r="H22" s="1"/>
      <c r="I22" s="1"/>
      <c r="J22" s="1"/>
      <c r="K22" s="26"/>
      <c r="L22" s="26"/>
      <c r="M22" s="37"/>
      <c r="N22" s="36"/>
      <c r="O22" s="36"/>
      <c r="P22" s="37"/>
      <c r="Q22" s="34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0"/>
    </row>
    <row r="23">
      <c r="A23" s="34"/>
      <c r="B23" s="15"/>
      <c r="C23" s="15"/>
      <c r="D23" s="15"/>
      <c r="E23" s="15"/>
      <c r="F23" s="15"/>
      <c r="G23" s="36"/>
      <c r="H23" s="1"/>
      <c r="I23" s="1"/>
      <c r="J23" s="1"/>
      <c r="K23" s="26"/>
      <c r="L23" s="26"/>
      <c r="M23" s="37"/>
      <c r="N23" s="36"/>
      <c r="O23" s="36"/>
      <c r="P23" s="37"/>
      <c r="Q23" s="34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0"/>
    </row>
    <row r="24">
      <c r="A24" s="34"/>
      <c r="B24" s="15"/>
      <c r="C24" s="15"/>
      <c r="D24" s="15"/>
      <c r="E24" s="15"/>
      <c r="F24" s="15"/>
      <c r="G24" s="36"/>
      <c r="H24" s="1"/>
      <c r="I24" s="1"/>
      <c r="J24" s="1"/>
      <c r="K24" s="26"/>
      <c r="L24" s="26"/>
      <c r="M24" s="37"/>
      <c r="N24" s="36"/>
      <c r="O24" s="36"/>
      <c r="P24" s="37"/>
      <c r="Q24" s="34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0"/>
    </row>
    <row r="25">
      <c r="A25" s="34"/>
      <c r="B25" s="15"/>
      <c r="C25" s="15"/>
      <c r="D25" s="15"/>
      <c r="E25" s="15"/>
      <c r="F25" s="15"/>
      <c r="G25" s="36"/>
      <c r="H25" s="1"/>
      <c r="I25" s="1"/>
      <c r="J25" s="1"/>
      <c r="K25" s="26"/>
      <c r="L25" s="26"/>
      <c r="M25" s="37"/>
      <c r="N25" s="36"/>
      <c r="O25" s="36"/>
      <c r="P25" s="37"/>
      <c r="Q25" s="3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0"/>
    </row>
    <row r="26">
      <c r="A26" s="34"/>
      <c r="B26" s="15"/>
      <c r="C26" s="15"/>
      <c r="D26" s="15"/>
      <c r="E26" s="15"/>
      <c r="F26" s="15"/>
      <c r="G26" s="36"/>
      <c r="H26" s="1"/>
      <c r="I26" s="1"/>
      <c r="J26" s="1"/>
      <c r="K26" s="26"/>
      <c r="L26" s="26"/>
      <c r="M26" s="37"/>
      <c r="N26" s="36"/>
      <c r="O26" s="36"/>
      <c r="P26" s="37"/>
      <c r="Q26" s="3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0"/>
    </row>
    <row r="27">
      <c r="A27" s="34"/>
      <c r="B27" s="15"/>
      <c r="C27" s="15"/>
      <c r="D27" s="15"/>
      <c r="E27" s="15"/>
      <c r="F27" s="15"/>
      <c r="G27" s="36"/>
      <c r="H27" s="1"/>
      <c r="I27" s="1"/>
      <c r="J27" s="1"/>
      <c r="K27" s="26"/>
      <c r="L27" s="26"/>
      <c r="M27" s="37"/>
      <c r="N27" s="36"/>
      <c r="O27" s="36"/>
      <c r="P27" s="37"/>
      <c r="Q27" s="3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0"/>
    </row>
    <row r="28">
      <c r="A28" s="34"/>
      <c r="B28" s="15"/>
      <c r="C28" s="15"/>
      <c r="D28" s="15"/>
      <c r="E28" s="15"/>
      <c r="F28" s="15"/>
      <c r="G28" s="36"/>
      <c r="H28" s="1"/>
      <c r="I28" s="1"/>
      <c r="J28" s="1"/>
      <c r="K28" s="26"/>
      <c r="L28" s="26"/>
      <c r="M28" s="37"/>
      <c r="N28" s="36"/>
      <c r="O28" s="36"/>
      <c r="P28" s="37"/>
      <c r="Q28" s="3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0"/>
    </row>
    <row r="29">
      <c r="A29" s="34"/>
      <c r="B29" s="15"/>
      <c r="C29" s="15"/>
      <c r="D29" s="15"/>
      <c r="E29" s="15"/>
      <c r="F29" s="15"/>
      <c r="G29" s="36"/>
      <c r="H29" s="1"/>
      <c r="I29" s="1"/>
      <c r="J29" s="1"/>
      <c r="K29" s="26"/>
      <c r="L29" s="26"/>
      <c r="M29" s="37"/>
      <c r="N29" s="36"/>
      <c r="O29" s="36"/>
      <c r="P29" s="37"/>
      <c r="Q29" s="3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0"/>
    </row>
    <row r="30">
      <c r="A30" s="34"/>
      <c r="B30" s="15"/>
      <c r="C30" s="15"/>
      <c r="D30" s="15"/>
      <c r="E30" s="15"/>
      <c r="F30" s="15"/>
      <c r="G30" s="36"/>
      <c r="H30" s="1"/>
      <c r="I30" s="1"/>
      <c r="J30" s="1"/>
      <c r="K30" s="26"/>
      <c r="L30" s="26"/>
      <c r="M30" s="37"/>
      <c r="N30" s="36"/>
      <c r="O30" s="36"/>
      <c r="P30" s="37"/>
      <c r="Q30" s="34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0"/>
    </row>
    <row r="31">
      <c r="A31" s="34"/>
      <c r="B31" s="15"/>
      <c r="C31" s="15"/>
      <c r="D31" s="15"/>
      <c r="E31" s="15"/>
      <c r="F31" s="15"/>
      <c r="G31" s="36"/>
      <c r="H31" s="1"/>
      <c r="I31" s="1"/>
      <c r="J31" s="1"/>
      <c r="K31" s="26"/>
      <c r="L31" s="26"/>
      <c r="M31" s="37"/>
      <c r="N31" s="36"/>
      <c r="O31" s="36"/>
      <c r="P31" s="37"/>
      <c r="Q31" s="34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0"/>
    </row>
    <row r="32">
      <c r="A32" s="34"/>
      <c r="B32" s="15"/>
      <c r="C32" s="15"/>
      <c r="D32" s="15"/>
      <c r="E32" s="15"/>
      <c r="F32" s="15"/>
      <c r="G32" s="36"/>
      <c r="H32" s="1"/>
      <c r="I32" s="1"/>
      <c r="J32" s="1"/>
      <c r="K32" s="26"/>
      <c r="L32" s="26"/>
      <c r="M32" s="37"/>
      <c r="N32" s="36"/>
      <c r="O32" s="36"/>
      <c r="P32" s="37"/>
      <c r="Q32" s="34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0"/>
    </row>
    <row r="33">
      <c r="A33" s="34"/>
      <c r="B33" s="15"/>
      <c r="C33" s="15"/>
      <c r="D33" s="15"/>
      <c r="E33" s="15"/>
      <c r="F33" s="15"/>
      <c r="G33" s="36"/>
      <c r="H33" s="1"/>
      <c r="I33" s="1"/>
      <c r="J33" s="1"/>
      <c r="K33" s="26"/>
      <c r="L33" s="26"/>
      <c r="M33" s="37"/>
      <c r="N33" s="36"/>
      <c r="O33" s="36"/>
      <c r="P33" s="37"/>
      <c r="Q33" s="34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0"/>
    </row>
    <row r="34">
      <c r="A34" s="34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7"/>
      <c r="N34" s="36"/>
      <c r="O34" s="36"/>
      <c r="P34" s="37"/>
      <c r="Q34" s="34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>
      <c r="A35" s="34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7"/>
      <c r="N35" s="36"/>
      <c r="O35" s="36"/>
      <c r="P35" s="37"/>
      <c r="Q35" s="34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>
      <c r="A36" s="34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7"/>
      <c r="N36" s="36"/>
      <c r="O36" s="36"/>
      <c r="P36" s="37"/>
      <c r="Q36" s="34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>
      <c r="A37" s="34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7"/>
      <c r="N37" s="36"/>
      <c r="O37" s="36"/>
      <c r="P37" s="37"/>
      <c r="Q37" s="34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>
      <c r="A38" s="34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7"/>
      <c r="N38" s="36"/>
      <c r="O38" s="36"/>
      <c r="P38" s="37"/>
      <c r="Q38" s="34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>
      <c r="A39" s="34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7"/>
      <c r="N39" s="36"/>
      <c r="O39" s="36"/>
      <c r="P39" s="37"/>
      <c r="Q39" s="34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>
      <c r="A40" s="34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7"/>
      <c r="N40" s="36"/>
      <c r="O40" s="36"/>
      <c r="P40" s="37"/>
      <c r="Q40" s="34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>
      <c r="A41" s="34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7"/>
      <c r="N41" s="36"/>
      <c r="O41" s="36"/>
      <c r="P41" s="37"/>
      <c r="Q41" s="34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>
      <c r="A42" s="34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7"/>
      <c r="N42" s="36"/>
      <c r="O42" s="36"/>
      <c r="P42" s="37"/>
      <c r="Q42" s="34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>
      <c r="A43" s="34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7"/>
      <c r="N43" s="36"/>
      <c r="O43" s="36"/>
      <c r="P43" s="37"/>
      <c r="Q43" s="34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>
      <c r="A44" s="34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7"/>
      <c r="N44" s="36"/>
      <c r="O44" s="36"/>
      <c r="P44" s="37"/>
      <c r="Q44" s="34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>
      <c r="A45" s="34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7"/>
      <c r="N45" s="36"/>
      <c r="O45" s="36"/>
      <c r="P45" s="37"/>
      <c r="Q45" s="34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>
      <c r="A46" s="34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7"/>
      <c r="N46" s="36"/>
      <c r="O46" s="36"/>
      <c r="P46" s="37"/>
      <c r="Q46" s="34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>
      <c r="A47" s="34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7"/>
      <c r="N47" s="36"/>
      <c r="O47" s="36"/>
      <c r="P47" s="37"/>
      <c r="Q47" s="34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>
      <c r="A48" s="34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7"/>
      <c r="N48" s="36"/>
      <c r="O48" s="36"/>
      <c r="P48" s="37"/>
      <c r="Q48" s="34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>
      <c r="A49" s="34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7"/>
      <c r="N49" s="36"/>
      <c r="O49" s="36"/>
      <c r="P49" s="37"/>
      <c r="Q49" s="34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>
      <c r="A50" s="34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7"/>
      <c r="N50" s="36"/>
      <c r="O50" s="36"/>
      <c r="P50" s="37"/>
      <c r="Q50" s="34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>
      <c r="A51" s="34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7"/>
      <c r="N51" s="36"/>
      <c r="O51" s="36"/>
      <c r="P51" s="37"/>
      <c r="Q51" s="34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>
      <c r="A52" s="34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7"/>
      <c r="N52" s="36"/>
      <c r="O52" s="36"/>
      <c r="P52" s="37"/>
      <c r="Q52" s="34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>
      <c r="A53" s="34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7"/>
      <c r="N53" s="36"/>
      <c r="O53" s="36"/>
      <c r="P53" s="37"/>
      <c r="Q53" s="34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>
      <c r="A54" s="34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7"/>
      <c r="N54" s="36"/>
      <c r="O54" s="36"/>
      <c r="P54" s="37"/>
      <c r="Q54" s="34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>
      <c r="A55" s="34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7"/>
      <c r="N55" s="36"/>
      <c r="O55" s="36"/>
      <c r="P55" s="37"/>
      <c r="Q55" s="34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>
      <c r="A56" s="34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7"/>
      <c r="N56" s="36"/>
      <c r="O56" s="36"/>
      <c r="P56" s="37"/>
      <c r="Q56" s="34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>
      <c r="A57" s="34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7"/>
      <c r="N57" s="36"/>
      <c r="O57" s="36"/>
      <c r="P57" s="37"/>
      <c r="Q57" s="34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>
      <c r="A58" s="34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7"/>
      <c r="N58" s="36"/>
      <c r="O58" s="36"/>
      <c r="P58" s="37"/>
      <c r="Q58" s="34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>
      <c r="A59" s="34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7"/>
      <c r="N59" s="36"/>
      <c r="O59" s="36"/>
      <c r="P59" s="37"/>
      <c r="Q59" s="34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>
      <c r="A60" s="34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7"/>
      <c r="N60" s="36"/>
      <c r="O60" s="36"/>
      <c r="P60" s="37"/>
      <c r="Q60" s="34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>
      <c r="A61" s="34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7"/>
      <c r="N61" s="36"/>
      <c r="O61" s="36"/>
      <c r="P61" s="37"/>
      <c r="Q61" s="34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>
      <c r="A62" s="34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7"/>
      <c r="N62" s="36"/>
      <c r="O62" s="36"/>
      <c r="P62" s="37"/>
      <c r="Q62" s="34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>
      <c r="A63" s="34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7"/>
      <c r="N63" s="36"/>
      <c r="O63" s="36"/>
      <c r="P63" s="37"/>
      <c r="Q63" s="34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>
      <c r="A64" s="34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7"/>
      <c r="N64" s="36"/>
      <c r="O64" s="36"/>
      <c r="P64" s="37"/>
      <c r="Q64" s="34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>
      <c r="A65" s="34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7"/>
      <c r="N65" s="36"/>
      <c r="O65" s="36"/>
      <c r="P65" s="37"/>
      <c r="Q65" s="34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>
      <c r="A66" s="34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7"/>
      <c r="N66" s="36"/>
      <c r="O66" s="36"/>
      <c r="P66" s="37"/>
      <c r="Q66" s="34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>
      <c r="A67" s="34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7"/>
      <c r="N67" s="36"/>
      <c r="O67" s="36"/>
      <c r="P67" s="37"/>
      <c r="Q67" s="34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>
      <c r="A68" s="34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7"/>
      <c r="N68" s="36"/>
      <c r="O68" s="36"/>
      <c r="P68" s="37"/>
      <c r="Q68" s="34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>
      <c r="A69" s="34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7"/>
      <c r="N69" s="36"/>
      <c r="O69" s="36"/>
      <c r="P69" s="37"/>
      <c r="Q69" s="34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>
      <c r="A70" s="34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7"/>
      <c r="N70" s="36"/>
      <c r="O70" s="36"/>
      <c r="P70" s="37"/>
      <c r="Q70" s="34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>
      <c r="A71" s="34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7"/>
      <c r="N71" s="36"/>
      <c r="O71" s="36"/>
      <c r="P71" s="37"/>
      <c r="Q71" s="34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>
      <c r="A72" s="34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7"/>
      <c r="N72" s="36"/>
      <c r="O72" s="36"/>
      <c r="P72" s="37"/>
      <c r="Q72" s="34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>
      <c r="A73" s="34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7"/>
      <c r="N73" s="36"/>
      <c r="O73" s="36"/>
      <c r="P73" s="37"/>
      <c r="Q73" s="34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>
      <c r="A74" s="34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7"/>
      <c r="N74" s="36"/>
      <c r="O74" s="36"/>
      <c r="P74" s="37"/>
      <c r="Q74" s="34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>
      <c r="A75" s="34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7"/>
      <c r="N75" s="36"/>
      <c r="O75" s="36"/>
      <c r="P75" s="37"/>
      <c r="Q75" s="34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>
      <c r="A76" s="34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7"/>
      <c r="N76" s="36"/>
      <c r="O76" s="36"/>
      <c r="P76" s="37"/>
      <c r="Q76" s="34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>
      <c r="A77" s="34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7"/>
      <c r="N77" s="36"/>
      <c r="O77" s="36"/>
      <c r="P77" s="37"/>
      <c r="Q77" s="34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>
      <c r="A78" s="34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7"/>
      <c r="N78" s="36"/>
      <c r="O78" s="36"/>
      <c r="P78" s="37"/>
      <c r="Q78" s="34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>
      <c r="A79" s="34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7"/>
      <c r="N79" s="36"/>
      <c r="O79" s="36"/>
      <c r="P79" s="37"/>
      <c r="Q79" s="34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>
      <c r="A80" s="34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7"/>
      <c r="N80" s="36"/>
      <c r="O80" s="36"/>
      <c r="P80" s="37"/>
      <c r="Q80" s="34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>
      <c r="A81" s="34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7"/>
      <c r="N81" s="36"/>
      <c r="O81" s="36"/>
      <c r="P81" s="37"/>
      <c r="Q81" s="34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>
      <c r="A82" s="34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7"/>
      <c r="N82" s="36"/>
      <c r="O82" s="36"/>
      <c r="P82" s="37"/>
      <c r="Q82" s="34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>
      <c r="A83" s="34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7"/>
      <c r="N83" s="36"/>
      <c r="O83" s="36"/>
      <c r="P83" s="37"/>
      <c r="Q83" s="34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>
      <c r="A84" s="34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7"/>
      <c r="N84" s="36"/>
      <c r="O84" s="36"/>
      <c r="P84" s="37"/>
      <c r="Q84" s="34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>
      <c r="A85" s="34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7"/>
      <c r="N85" s="36"/>
      <c r="O85" s="36"/>
      <c r="P85" s="37"/>
      <c r="Q85" s="34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>
      <c r="A86" s="34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7"/>
      <c r="N86" s="36"/>
      <c r="O86" s="36"/>
      <c r="P86" s="37"/>
      <c r="Q86" s="34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>
      <c r="A87" s="34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7"/>
      <c r="N87" s="36"/>
      <c r="O87" s="36"/>
      <c r="P87" s="37"/>
      <c r="Q87" s="34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>
      <c r="A88" s="34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7"/>
      <c r="N88" s="36"/>
      <c r="O88" s="36"/>
      <c r="P88" s="37"/>
      <c r="Q88" s="34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>
      <c r="A89" s="34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7"/>
      <c r="N89" s="36"/>
      <c r="O89" s="36"/>
      <c r="P89" s="37"/>
      <c r="Q89" s="34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>
      <c r="A90" s="34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7"/>
      <c r="N90" s="36"/>
      <c r="O90" s="36"/>
      <c r="P90" s="37"/>
      <c r="Q90" s="34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>
      <c r="A91" s="34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7"/>
      <c r="N91" s="36"/>
      <c r="O91" s="36"/>
      <c r="P91" s="37"/>
      <c r="Q91" s="34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>
      <c r="A92" s="34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7"/>
      <c r="N92" s="36"/>
      <c r="O92" s="36"/>
      <c r="P92" s="37"/>
      <c r="Q92" s="34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>
      <c r="A93" s="34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7"/>
      <c r="N93" s="36"/>
      <c r="O93" s="36"/>
      <c r="P93" s="37"/>
      <c r="Q93" s="34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>
      <c r="A94" s="34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7"/>
      <c r="N94" s="36"/>
      <c r="O94" s="36"/>
      <c r="P94" s="37"/>
      <c r="Q94" s="34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>
      <c r="A95" s="34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7"/>
      <c r="N95" s="36"/>
      <c r="O95" s="36"/>
      <c r="P95" s="37"/>
      <c r="Q95" s="34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>
      <c r="A96" s="34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7"/>
      <c r="N96" s="36"/>
      <c r="O96" s="36"/>
      <c r="P96" s="37"/>
      <c r="Q96" s="34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>
      <c r="A97" s="34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7"/>
      <c r="N97" s="36"/>
      <c r="O97" s="36"/>
      <c r="P97" s="37"/>
      <c r="Q97" s="34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>
      <c r="A98" s="34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7"/>
      <c r="N98" s="36"/>
      <c r="O98" s="36"/>
      <c r="P98" s="37"/>
      <c r="Q98" s="34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>
      <c r="A99" s="34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7"/>
      <c r="N99" s="36"/>
      <c r="O99" s="36"/>
      <c r="P99" s="37"/>
      <c r="Q99" s="34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>
      <c r="A100" s="34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7"/>
      <c r="N100" s="36"/>
      <c r="O100" s="36"/>
      <c r="P100" s="37"/>
      <c r="Q100" s="34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>
      <c r="A101" s="34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7"/>
      <c r="N101" s="36"/>
      <c r="O101" s="36"/>
      <c r="P101" s="37"/>
      <c r="Q101" s="34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>
      <c r="A102" s="34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7"/>
      <c r="N102" s="36"/>
      <c r="O102" s="36"/>
      <c r="P102" s="37"/>
      <c r="Q102" s="34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>
      <c r="A103" s="34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7"/>
      <c r="N103" s="36"/>
      <c r="O103" s="36"/>
      <c r="P103" s="37"/>
      <c r="Q103" s="34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>
      <c r="A104" s="34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7"/>
      <c r="N104" s="36"/>
      <c r="O104" s="36"/>
      <c r="P104" s="37"/>
      <c r="Q104" s="34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>
      <c r="A105" s="34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7"/>
      <c r="N105" s="36"/>
      <c r="O105" s="36"/>
      <c r="P105" s="37"/>
      <c r="Q105" s="34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>
      <c r="A106" s="34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7"/>
      <c r="N106" s="36"/>
      <c r="O106" s="36"/>
      <c r="P106" s="37"/>
      <c r="Q106" s="34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>
      <c r="A107" s="34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7"/>
      <c r="N107" s="36"/>
      <c r="O107" s="36"/>
      <c r="P107" s="37"/>
      <c r="Q107" s="34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>
      <c r="A108" s="34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7"/>
      <c r="N108" s="36"/>
      <c r="O108" s="36"/>
      <c r="P108" s="37"/>
      <c r="Q108" s="34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>
      <c r="A109" s="34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7"/>
      <c r="N109" s="36"/>
      <c r="O109" s="36"/>
      <c r="P109" s="37"/>
      <c r="Q109" s="34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>
      <c r="A110" s="34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7"/>
      <c r="N110" s="36"/>
      <c r="O110" s="36"/>
      <c r="P110" s="37"/>
      <c r="Q110" s="34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>
      <c r="A111" s="34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7"/>
      <c r="N111" s="36"/>
      <c r="O111" s="36"/>
      <c r="P111" s="37"/>
      <c r="Q111" s="34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>
      <c r="A112" s="34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7"/>
      <c r="N112" s="36"/>
      <c r="O112" s="36"/>
      <c r="P112" s="37"/>
      <c r="Q112" s="34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>
      <c r="A113" s="34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7"/>
      <c r="N113" s="36"/>
      <c r="O113" s="36"/>
      <c r="P113" s="37"/>
      <c r="Q113" s="34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>
      <c r="A114" s="34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7"/>
      <c r="N114" s="36"/>
      <c r="O114" s="36"/>
      <c r="P114" s="37"/>
      <c r="Q114" s="34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>
      <c r="A115" s="34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7"/>
      <c r="N115" s="36"/>
      <c r="O115" s="36"/>
      <c r="P115" s="37"/>
      <c r="Q115" s="34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>
      <c r="A116" s="34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7"/>
      <c r="N116" s="36"/>
      <c r="O116" s="36"/>
      <c r="P116" s="37"/>
      <c r="Q116" s="34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>
      <c r="A117" s="34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7"/>
      <c r="N117" s="36"/>
      <c r="O117" s="36"/>
      <c r="P117" s="37"/>
      <c r="Q117" s="34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>
      <c r="A118" s="34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7"/>
      <c r="N118" s="36"/>
      <c r="O118" s="36"/>
      <c r="P118" s="37"/>
      <c r="Q118" s="34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>
      <c r="A119" s="34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7"/>
      <c r="N119" s="36"/>
      <c r="O119" s="36"/>
      <c r="P119" s="37"/>
      <c r="Q119" s="34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>
      <c r="A120" s="34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7"/>
      <c r="N120" s="36"/>
      <c r="O120" s="36"/>
      <c r="P120" s="37"/>
      <c r="Q120" s="34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>
      <c r="A121" s="34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7"/>
      <c r="N121" s="36"/>
      <c r="O121" s="36"/>
      <c r="P121" s="37"/>
      <c r="Q121" s="34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>
      <c r="A122" s="34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7"/>
      <c r="N122" s="36"/>
      <c r="O122" s="36"/>
      <c r="P122" s="37"/>
      <c r="Q122" s="34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>
      <c r="A123" s="34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7"/>
      <c r="N123" s="36"/>
      <c r="O123" s="36"/>
      <c r="P123" s="37"/>
      <c r="Q123" s="34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>
      <c r="A124" s="34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7"/>
      <c r="N124" s="36"/>
      <c r="O124" s="36"/>
      <c r="P124" s="37"/>
      <c r="Q124" s="34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>
      <c r="A125" s="34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7"/>
      <c r="N125" s="36"/>
      <c r="O125" s="36"/>
      <c r="P125" s="37"/>
      <c r="Q125" s="34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>
      <c r="A126" s="34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7"/>
      <c r="N126" s="36"/>
      <c r="O126" s="36"/>
      <c r="P126" s="37"/>
      <c r="Q126" s="34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>
      <c r="A127" s="34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7"/>
      <c r="N127" s="36"/>
      <c r="O127" s="36"/>
      <c r="P127" s="37"/>
      <c r="Q127" s="34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>
      <c r="A128" s="34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7"/>
      <c r="N128" s="36"/>
      <c r="O128" s="36"/>
      <c r="P128" s="37"/>
      <c r="Q128" s="34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>
      <c r="A129" s="34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7"/>
      <c r="N129" s="36"/>
      <c r="O129" s="36"/>
      <c r="P129" s="37"/>
      <c r="Q129" s="34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>
      <c r="A130" s="34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7"/>
      <c r="N130" s="36"/>
      <c r="O130" s="36"/>
      <c r="P130" s="37"/>
      <c r="Q130" s="34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>
      <c r="A131" s="34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7"/>
      <c r="N131" s="36"/>
      <c r="O131" s="36"/>
      <c r="P131" s="37"/>
      <c r="Q131" s="34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>
      <c r="A132" s="34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7"/>
      <c r="N132" s="36"/>
      <c r="O132" s="36"/>
      <c r="P132" s="37"/>
      <c r="Q132" s="34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>
      <c r="A133" s="34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7"/>
      <c r="N133" s="36"/>
      <c r="O133" s="36"/>
      <c r="P133" s="37"/>
      <c r="Q133" s="34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>
      <c r="A134" s="34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7"/>
      <c r="N134" s="36"/>
      <c r="O134" s="36"/>
      <c r="P134" s="37"/>
      <c r="Q134" s="34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>
      <c r="A135" s="34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7"/>
      <c r="N135" s="36"/>
      <c r="O135" s="36"/>
      <c r="P135" s="37"/>
      <c r="Q135" s="34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>
      <c r="A136" s="34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7"/>
      <c r="N136" s="36"/>
      <c r="O136" s="36"/>
      <c r="P136" s="37"/>
      <c r="Q136" s="34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>
      <c r="A137" s="34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7"/>
      <c r="N137" s="36"/>
      <c r="O137" s="36"/>
      <c r="P137" s="37"/>
      <c r="Q137" s="34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>
      <c r="A138" s="34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7"/>
      <c r="N138" s="36"/>
      <c r="O138" s="36"/>
      <c r="P138" s="37"/>
      <c r="Q138" s="34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>
      <c r="A139" s="34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7"/>
      <c r="N139" s="36"/>
      <c r="O139" s="36"/>
      <c r="P139" s="37"/>
      <c r="Q139" s="34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>
      <c r="A140" s="34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7"/>
      <c r="N140" s="36"/>
      <c r="O140" s="36"/>
      <c r="P140" s="37"/>
      <c r="Q140" s="34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>
      <c r="A141" s="34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7"/>
      <c r="N141" s="36"/>
      <c r="O141" s="36"/>
      <c r="P141" s="37"/>
      <c r="Q141" s="34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>
      <c r="A142" s="34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7"/>
      <c r="N142" s="36"/>
      <c r="O142" s="36"/>
      <c r="P142" s="37"/>
      <c r="Q142" s="34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>
      <c r="A143" s="34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7"/>
      <c r="N143" s="36"/>
      <c r="O143" s="36"/>
      <c r="P143" s="37"/>
      <c r="Q143" s="34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>
      <c r="A144" s="34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7"/>
      <c r="N144" s="36"/>
      <c r="O144" s="36"/>
      <c r="P144" s="37"/>
      <c r="Q144" s="34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>
      <c r="A145" s="34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7"/>
      <c r="N145" s="36"/>
      <c r="O145" s="36"/>
      <c r="P145" s="37"/>
      <c r="Q145" s="34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>
      <c r="A146" s="34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7"/>
      <c r="N146" s="36"/>
      <c r="O146" s="36"/>
      <c r="P146" s="37"/>
      <c r="Q146" s="34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>
      <c r="A147" s="34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7"/>
      <c r="N147" s="36"/>
      <c r="O147" s="36"/>
      <c r="P147" s="37"/>
      <c r="Q147" s="34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>
      <c r="A148" s="34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7"/>
      <c r="N148" s="36"/>
      <c r="O148" s="36"/>
      <c r="P148" s="37"/>
      <c r="Q148" s="34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>
      <c r="A149" s="34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7"/>
      <c r="N149" s="36"/>
      <c r="O149" s="36"/>
      <c r="P149" s="37"/>
      <c r="Q149" s="34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>
      <c r="A150" s="34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7"/>
      <c r="N150" s="36"/>
      <c r="O150" s="36"/>
      <c r="P150" s="37"/>
      <c r="Q150" s="34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>
      <c r="A151" s="34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7"/>
      <c r="N151" s="36"/>
      <c r="O151" s="36"/>
      <c r="P151" s="37"/>
      <c r="Q151" s="34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>
      <c r="A152" s="34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7"/>
      <c r="N152" s="36"/>
      <c r="O152" s="36"/>
      <c r="P152" s="37"/>
      <c r="Q152" s="34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>
      <c r="A153" s="34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7"/>
      <c r="N153" s="36"/>
      <c r="O153" s="36"/>
      <c r="P153" s="37"/>
      <c r="Q153" s="34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>
      <c r="A154" s="34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7"/>
      <c r="N154" s="36"/>
      <c r="O154" s="36"/>
      <c r="P154" s="37"/>
      <c r="Q154" s="34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>
      <c r="A155" s="34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7"/>
      <c r="N155" s="36"/>
      <c r="O155" s="36"/>
      <c r="P155" s="37"/>
      <c r="Q155" s="34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>
      <c r="A156" s="34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7"/>
      <c r="N156" s="36"/>
      <c r="O156" s="36"/>
      <c r="P156" s="37"/>
      <c r="Q156" s="34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>
      <c r="A157" s="34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7"/>
      <c r="N157" s="36"/>
      <c r="O157" s="36"/>
      <c r="P157" s="37"/>
      <c r="Q157" s="34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>
      <c r="A158" s="34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7"/>
      <c r="N158" s="36"/>
      <c r="O158" s="36"/>
      <c r="P158" s="37"/>
      <c r="Q158" s="34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>
      <c r="A159" s="34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7"/>
      <c r="N159" s="36"/>
      <c r="O159" s="36"/>
      <c r="P159" s="37"/>
      <c r="Q159" s="34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>
      <c r="A160" s="34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7"/>
      <c r="N160" s="36"/>
      <c r="O160" s="36"/>
      <c r="P160" s="37"/>
      <c r="Q160" s="34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>
      <c r="A161" s="34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7"/>
      <c r="N161" s="36"/>
      <c r="O161" s="36"/>
      <c r="P161" s="37"/>
      <c r="Q161" s="34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>
      <c r="A162" s="34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7"/>
      <c r="N162" s="36"/>
      <c r="O162" s="36"/>
      <c r="P162" s="37"/>
      <c r="Q162" s="34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>
      <c r="A163" s="34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7"/>
      <c r="N163" s="36"/>
      <c r="O163" s="36"/>
      <c r="P163" s="37"/>
      <c r="Q163" s="34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>
      <c r="A164" s="34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7"/>
      <c r="N164" s="36"/>
      <c r="O164" s="36"/>
      <c r="P164" s="37"/>
      <c r="Q164" s="34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>
      <c r="A165" s="34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7"/>
      <c r="N165" s="36"/>
      <c r="O165" s="36"/>
      <c r="P165" s="37"/>
      <c r="Q165" s="34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>
      <c r="A166" s="34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7"/>
      <c r="N166" s="36"/>
      <c r="O166" s="36"/>
      <c r="P166" s="37"/>
      <c r="Q166" s="34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>
      <c r="A167" s="34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7"/>
      <c r="N167" s="36"/>
      <c r="O167" s="36"/>
      <c r="P167" s="37"/>
      <c r="Q167" s="34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>
      <c r="A168" s="34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7"/>
      <c r="N168" s="36"/>
      <c r="O168" s="36"/>
      <c r="P168" s="37"/>
      <c r="Q168" s="34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>
      <c r="A169" s="34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7"/>
      <c r="N169" s="36"/>
      <c r="O169" s="36"/>
      <c r="P169" s="37"/>
      <c r="Q169" s="34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>
      <c r="A170" s="34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7"/>
      <c r="N170" s="36"/>
      <c r="O170" s="36"/>
      <c r="P170" s="37"/>
      <c r="Q170" s="34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>
      <c r="A171" s="34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7"/>
      <c r="N171" s="36"/>
      <c r="O171" s="36"/>
      <c r="P171" s="37"/>
      <c r="Q171" s="34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>
      <c r="A172" s="34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7"/>
      <c r="N172" s="36"/>
      <c r="O172" s="36"/>
      <c r="P172" s="37"/>
      <c r="Q172" s="34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>
      <c r="A173" s="34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7"/>
      <c r="N173" s="36"/>
      <c r="O173" s="36"/>
      <c r="P173" s="37"/>
      <c r="Q173" s="34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>
      <c r="A174" s="34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7"/>
      <c r="N174" s="36"/>
      <c r="O174" s="36"/>
      <c r="P174" s="37"/>
      <c r="Q174" s="34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>
      <c r="A175" s="34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7"/>
      <c r="N175" s="36"/>
      <c r="O175" s="36"/>
      <c r="P175" s="37"/>
      <c r="Q175" s="34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>
      <c r="A176" s="34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7"/>
      <c r="N176" s="36"/>
      <c r="O176" s="36"/>
      <c r="P176" s="37"/>
      <c r="Q176" s="34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>
      <c r="A177" s="34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7"/>
      <c r="N177" s="36"/>
      <c r="O177" s="36"/>
      <c r="P177" s="37"/>
      <c r="Q177" s="34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>
      <c r="A178" s="34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7"/>
      <c r="N178" s="36"/>
      <c r="O178" s="36"/>
      <c r="P178" s="37"/>
      <c r="Q178" s="34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>
      <c r="A179" s="34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7"/>
      <c r="N179" s="36"/>
      <c r="O179" s="36"/>
      <c r="P179" s="37"/>
      <c r="Q179" s="34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>
      <c r="A180" s="34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7"/>
      <c r="N180" s="36"/>
      <c r="O180" s="36"/>
      <c r="P180" s="37"/>
      <c r="Q180" s="34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>
      <c r="A181" s="34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7"/>
      <c r="N181" s="36"/>
      <c r="O181" s="36"/>
      <c r="P181" s="37"/>
      <c r="Q181" s="34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>
      <c r="A182" s="34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7"/>
      <c r="N182" s="36"/>
      <c r="O182" s="36"/>
      <c r="P182" s="37"/>
      <c r="Q182" s="34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>
      <c r="A183" s="34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7"/>
      <c r="N183" s="36"/>
      <c r="O183" s="36"/>
      <c r="P183" s="37"/>
      <c r="Q183" s="34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>
      <c r="A184" s="34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7"/>
      <c r="N184" s="36"/>
      <c r="O184" s="36"/>
      <c r="P184" s="37"/>
      <c r="Q184" s="34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>
      <c r="A185" s="34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7"/>
      <c r="N185" s="36"/>
      <c r="O185" s="36"/>
      <c r="P185" s="37"/>
      <c r="Q185" s="34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>
      <c r="A186" s="34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7"/>
      <c r="N186" s="36"/>
      <c r="O186" s="36"/>
      <c r="P186" s="37"/>
      <c r="Q186" s="34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>
      <c r="A187" s="34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7"/>
      <c r="N187" s="36"/>
      <c r="O187" s="36"/>
      <c r="P187" s="37"/>
      <c r="Q187" s="34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>
      <c r="A188" s="34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7"/>
      <c r="N188" s="36"/>
      <c r="O188" s="36"/>
      <c r="P188" s="37"/>
      <c r="Q188" s="34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>
      <c r="A189" s="34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7"/>
      <c r="N189" s="36"/>
      <c r="O189" s="36"/>
      <c r="P189" s="37"/>
      <c r="Q189" s="34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>
      <c r="A190" s="34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7"/>
      <c r="N190" s="36"/>
      <c r="O190" s="36"/>
      <c r="P190" s="37"/>
      <c r="Q190" s="34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>
      <c r="A191" s="34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7"/>
      <c r="N191" s="36"/>
      <c r="O191" s="36"/>
      <c r="P191" s="37"/>
      <c r="Q191" s="34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>
      <c r="A192" s="34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7"/>
      <c r="N192" s="36"/>
      <c r="O192" s="36"/>
      <c r="P192" s="37"/>
      <c r="Q192" s="34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>
      <c r="A193" s="34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7"/>
      <c r="N193" s="36"/>
      <c r="O193" s="36"/>
      <c r="P193" s="37"/>
      <c r="Q193" s="34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>
      <c r="A194" s="34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7"/>
      <c r="N194" s="36"/>
      <c r="O194" s="36"/>
      <c r="P194" s="37"/>
      <c r="Q194" s="34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>
      <c r="A195" s="34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7"/>
      <c r="N195" s="36"/>
      <c r="O195" s="36"/>
      <c r="P195" s="37"/>
      <c r="Q195" s="34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>
      <c r="A196" s="34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7"/>
      <c r="N196" s="36"/>
      <c r="O196" s="36"/>
      <c r="P196" s="37"/>
      <c r="Q196" s="34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>
      <c r="A197" s="34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7"/>
      <c r="N197" s="36"/>
      <c r="O197" s="36"/>
      <c r="P197" s="37"/>
      <c r="Q197" s="34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>
      <c r="A198" s="34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7"/>
      <c r="N198" s="36"/>
      <c r="O198" s="36"/>
      <c r="P198" s="37"/>
      <c r="Q198" s="34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>
      <c r="A199" s="34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7"/>
      <c r="N199" s="36"/>
      <c r="O199" s="36"/>
      <c r="P199" s="37"/>
      <c r="Q199" s="34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>
      <c r="A200" s="34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7"/>
      <c r="N200" s="36"/>
      <c r="O200" s="36"/>
      <c r="P200" s="37"/>
      <c r="Q200" s="34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>
      <c r="A201" s="34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7"/>
      <c r="N201" s="36"/>
      <c r="O201" s="36"/>
      <c r="P201" s="37"/>
      <c r="Q201" s="34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>
      <c r="A202" s="34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7"/>
      <c r="N202" s="36"/>
      <c r="O202" s="36"/>
      <c r="P202" s="37"/>
      <c r="Q202" s="34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>
      <c r="A203" s="34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7"/>
      <c r="N203" s="36"/>
      <c r="O203" s="36"/>
      <c r="P203" s="37"/>
      <c r="Q203" s="34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>
      <c r="A204" s="34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7"/>
      <c r="N204" s="36"/>
      <c r="O204" s="36"/>
      <c r="P204" s="37"/>
      <c r="Q204" s="34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>
      <c r="A205" s="34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7"/>
      <c r="N205" s="36"/>
      <c r="O205" s="36"/>
      <c r="P205" s="37"/>
      <c r="Q205" s="34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>
      <c r="A206" s="34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7"/>
      <c r="N206" s="36"/>
      <c r="O206" s="36"/>
      <c r="P206" s="37"/>
      <c r="Q206" s="34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>
      <c r="A207" s="34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7"/>
      <c r="N207" s="36"/>
      <c r="O207" s="36"/>
      <c r="P207" s="37"/>
      <c r="Q207" s="34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>
      <c r="A208" s="34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7"/>
      <c r="N208" s="36"/>
      <c r="O208" s="36"/>
      <c r="P208" s="37"/>
      <c r="Q208" s="34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>
      <c r="A209" s="34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7"/>
      <c r="N209" s="36"/>
      <c r="O209" s="36"/>
      <c r="P209" s="37"/>
      <c r="Q209" s="34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>
      <c r="A210" s="34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7"/>
      <c r="N210" s="36"/>
      <c r="O210" s="36"/>
      <c r="P210" s="37"/>
      <c r="Q210" s="34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>
      <c r="A211" s="34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7"/>
      <c r="N211" s="36"/>
      <c r="O211" s="36"/>
      <c r="P211" s="37"/>
      <c r="Q211" s="34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>
      <c r="A212" s="34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7"/>
      <c r="N212" s="36"/>
      <c r="O212" s="36"/>
      <c r="P212" s="37"/>
      <c r="Q212" s="34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>
      <c r="A213" s="34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7"/>
      <c r="N213" s="36"/>
      <c r="O213" s="36"/>
      <c r="P213" s="37"/>
      <c r="Q213" s="34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>
      <c r="A214" s="34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7"/>
      <c r="N214" s="36"/>
      <c r="O214" s="36"/>
      <c r="P214" s="37"/>
      <c r="Q214" s="34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>
      <c r="A215" s="34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7"/>
      <c r="N215" s="36"/>
      <c r="O215" s="36"/>
      <c r="P215" s="37"/>
      <c r="Q215" s="34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>
      <c r="A216" s="34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7"/>
      <c r="N216" s="36"/>
      <c r="O216" s="36"/>
      <c r="P216" s="37"/>
      <c r="Q216" s="34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>
      <c r="A217" s="34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7"/>
      <c r="N217" s="36"/>
      <c r="O217" s="36"/>
      <c r="P217" s="37"/>
      <c r="Q217" s="34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>
      <c r="A218" s="34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7"/>
      <c r="N218" s="36"/>
      <c r="O218" s="36"/>
      <c r="P218" s="37"/>
      <c r="Q218" s="34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>
      <c r="A219" s="34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7"/>
      <c r="N219" s="36"/>
      <c r="O219" s="36"/>
      <c r="P219" s="37"/>
      <c r="Q219" s="34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8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8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8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8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8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8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8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8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8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8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8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8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8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8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8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8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8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8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8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8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8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8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8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8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8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8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8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8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8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8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8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8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8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8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8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8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8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8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8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8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8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8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8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8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8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8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8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8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8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8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8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8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8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8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8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8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8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8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8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8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8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8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8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8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8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8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8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8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8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8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8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8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8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8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8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8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8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8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8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8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8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8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8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8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8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8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8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8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8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8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8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8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8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8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8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8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8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8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8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8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8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8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8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8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8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8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8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8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8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8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8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8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8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8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8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8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8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8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8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8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8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8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8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8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8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8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8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8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8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8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8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8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8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8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8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8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8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8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8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8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8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8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8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8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8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8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8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8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8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8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8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8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8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8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8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8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8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8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8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8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8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8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8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8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8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8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8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8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8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8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8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8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8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8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8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8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8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8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8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8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8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8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8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8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8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8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8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8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8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8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8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8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8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8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8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8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8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8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8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8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8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8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8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8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8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8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8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8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8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8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8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8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8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8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8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8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8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8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8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8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8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8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8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8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8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8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8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8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8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8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8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8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8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8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8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8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8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8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8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8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8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8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8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8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8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8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8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8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8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8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8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8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8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8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8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8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8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8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8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8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8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8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8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8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8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8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8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8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8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8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8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8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8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8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8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8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8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8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8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8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8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8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8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8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8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8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8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8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8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8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8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8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8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8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8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8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8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8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8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8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8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8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8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8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8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8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8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8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8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8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8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8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8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8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8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8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8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8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8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8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8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8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8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8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8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8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8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8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8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8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8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8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8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8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8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8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8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8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8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8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8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8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8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8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8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8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8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8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8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8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8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8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8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8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8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8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8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8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8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8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8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8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8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8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8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8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8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8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8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8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8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8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8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8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8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8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8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8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8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8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8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8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8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8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8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8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8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8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8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8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8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8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8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8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8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8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8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8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8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8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8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8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8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8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8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8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8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8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8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8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8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8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8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8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8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8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8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8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8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8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8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8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8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8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8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8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8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8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8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8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8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8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8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8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8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8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8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8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8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8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8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8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8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8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8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8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8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8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8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8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8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8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8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8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8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8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8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8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8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8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8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8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8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8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8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8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8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8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8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8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8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8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8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8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8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8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8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8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8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8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8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8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8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8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8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8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8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8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8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8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8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8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8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8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8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8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8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8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8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8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8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8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8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8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8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8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8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8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8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8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8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8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8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8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8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8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8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8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8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8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8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8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8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8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8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8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8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8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8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8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8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8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8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8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8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8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8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8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8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8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8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8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8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8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8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8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8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8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8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8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8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8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8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8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8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8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8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8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8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8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8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8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8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8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8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8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8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8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8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8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8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8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8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8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8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8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8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8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8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8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8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8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8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8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8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8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8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8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8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8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8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8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8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8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8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8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8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8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8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8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8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8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8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8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8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8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8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8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8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8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8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8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8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8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8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8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8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8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8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8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8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8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8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8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8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8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8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8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8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8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8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8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8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8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8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8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8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8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8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8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8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8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8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8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8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8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8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8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8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8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8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8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8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8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8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8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8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8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8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8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8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8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8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8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8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8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8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8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8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8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8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8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8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8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8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8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8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8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8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8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8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8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8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8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8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8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8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8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8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8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8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8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8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8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8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8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8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8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8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8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8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8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8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8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8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8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8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8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8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8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8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8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8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8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8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8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8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8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8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8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8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8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8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8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8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8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8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8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8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8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8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8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8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8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8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8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8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8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8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8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8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8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8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8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8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8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8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8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8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8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8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8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8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8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8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8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8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8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8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8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8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8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8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8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8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8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8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8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8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8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8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8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8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8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8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8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8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8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8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8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1" t="s">
        <v>206</v>
      </c>
      <c r="I1" s="1" t="s">
        <v>207</v>
      </c>
      <c r="J1" s="1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4" t="s">
        <v>214</v>
      </c>
      <c r="Q1" s="34" t="s">
        <v>215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29"/>
    </row>
    <row r="2">
      <c r="A2" s="34" t="s">
        <v>231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7">
        <v>0.0</v>
      </c>
      <c r="Q2" s="34" t="str">
        <f>JOIN("/", README!$B$72, "G_Sample")</f>
        <v>Textures/Global/G_Sample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4"/>
      <c r="B3" s="15"/>
      <c r="C3" s="15"/>
      <c r="D3" s="15"/>
      <c r="E3" s="15"/>
      <c r="F3" s="15"/>
      <c r="G3" s="36"/>
      <c r="H3" s="14"/>
      <c r="I3" s="14"/>
      <c r="J3" s="14"/>
      <c r="K3" s="26"/>
      <c r="L3" s="26"/>
      <c r="M3" s="14"/>
      <c r="N3" s="14"/>
      <c r="O3" s="14"/>
      <c r="P3" s="37"/>
      <c r="Q3" s="34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0"/>
    </row>
    <row r="4">
      <c r="A4" s="34"/>
      <c r="B4" s="15"/>
      <c r="C4" s="15"/>
      <c r="D4" s="15"/>
      <c r="E4" s="15"/>
      <c r="F4" s="15"/>
      <c r="G4" s="36"/>
      <c r="H4" s="14"/>
      <c r="I4" s="14"/>
      <c r="J4" s="14"/>
      <c r="K4" s="26"/>
      <c r="L4" s="26"/>
      <c r="M4" s="14"/>
      <c r="N4" s="14"/>
      <c r="O4" s="14"/>
      <c r="P4" s="37"/>
      <c r="Q4" s="34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4"/>
      <c r="B5" s="15"/>
      <c r="C5" s="15"/>
      <c r="D5" s="15"/>
      <c r="E5" s="15"/>
      <c r="F5" s="15"/>
      <c r="G5" s="36"/>
      <c r="H5" s="1"/>
      <c r="I5" s="1"/>
      <c r="J5" s="1"/>
      <c r="K5" s="26"/>
      <c r="L5" s="26"/>
      <c r="M5" s="14"/>
      <c r="N5" s="14"/>
      <c r="O5" s="14"/>
      <c r="P5" s="37"/>
      <c r="Q5" s="34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26"/>
      <c r="M6" s="37"/>
      <c r="N6" s="36"/>
      <c r="O6" s="36"/>
      <c r="P6" s="37"/>
      <c r="Q6" s="34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26"/>
      <c r="M7" s="37"/>
      <c r="N7" s="36"/>
      <c r="O7" s="36"/>
      <c r="P7" s="37"/>
      <c r="Q7" s="34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4"/>
      <c r="B8" s="15"/>
      <c r="C8" s="15"/>
      <c r="D8" s="15"/>
      <c r="E8" s="15"/>
      <c r="F8" s="15"/>
      <c r="G8" s="36"/>
      <c r="H8" s="1"/>
      <c r="I8" s="1"/>
      <c r="J8" s="1"/>
      <c r="K8" s="26"/>
      <c r="L8" s="26"/>
      <c r="M8" s="37"/>
      <c r="N8" s="36"/>
      <c r="O8" s="36"/>
      <c r="P8" s="37"/>
      <c r="Q8" s="34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26"/>
      <c r="M9" s="37"/>
      <c r="N9" s="36"/>
      <c r="O9" s="36"/>
      <c r="P9" s="37"/>
      <c r="Q9" s="34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26"/>
      <c r="M10" s="37"/>
      <c r="N10" s="36"/>
      <c r="O10" s="36"/>
      <c r="P10" s="37"/>
      <c r="Q10" s="34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0"/>
    </row>
    <row r="11">
      <c r="A11" s="34"/>
      <c r="B11" s="15"/>
      <c r="C11" s="15"/>
      <c r="D11" s="15"/>
      <c r="E11" s="15"/>
      <c r="F11" s="15"/>
      <c r="G11" s="36"/>
      <c r="H11" s="1"/>
      <c r="I11" s="1"/>
      <c r="J11" s="1"/>
      <c r="K11" s="26"/>
      <c r="L11" s="26"/>
      <c r="M11" s="37"/>
      <c r="N11" s="36"/>
      <c r="O11" s="36"/>
      <c r="P11" s="37"/>
      <c r="Q11" s="34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4"/>
      <c r="B12" s="15"/>
      <c r="C12" s="15"/>
      <c r="D12" s="15"/>
      <c r="E12" s="15"/>
      <c r="F12" s="15"/>
      <c r="G12" s="36"/>
      <c r="H12" s="1"/>
      <c r="I12" s="1"/>
      <c r="J12" s="1"/>
      <c r="K12" s="26"/>
      <c r="L12" s="26"/>
      <c r="M12" s="37"/>
      <c r="N12" s="36"/>
      <c r="O12" s="36"/>
      <c r="P12" s="37"/>
      <c r="Q12" s="34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4"/>
      <c r="B13" s="15"/>
      <c r="C13" s="15"/>
      <c r="D13" s="15"/>
      <c r="E13" s="15"/>
      <c r="F13" s="15"/>
      <c r="G13" s="36"/>
      <c r="H13" s="1"/>
      <c r="I13" s="1"/>
      <c r="J13" s="1"/>
      <c r="K13" s="26"/>
      <c r="L13" s="26"/>
      <c r="M13" s="37"/>
      <c r="N13" s="36"/>
      <c r="O13" s="36"/>
      <c r="P13" s="37"/>
      <c r="Q13" s="34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0"/>
    </row>
    <row r="14">
      <c r="A14" s="34"/>
      <c r="B14" s="15"/>
      <c r="C14" s="15"/>
      <c r="D14" s="15"/>
      <c r="E14" s="15"/>
      <c r="F14" s="15"/>
      <c r="G14" s="36"/>
      <c r="H14" s="1"/>
      <c r="I14" s="1"/>
      <c r="J14" s="1"/>
      <c r="K14" s="26"/>
      <c r="L14" s="26"/>
      <c r="M14" s="37"/>
      <c r="N14" s="36"/>
      <c r="O14" s="36"/>
      <c r="P14" s="37"/>
      <c r="Q14" s="34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4"/>
      <c r="B15" s="15"/>
      <c r="C15" s="15"/>
      <c r="D15" s="15"/>
      <c r="E15" s="15"/>
      <c r="F15" s="15"/>
      <c r="G15" s="36"/>
      <c r="H15" s="1"/>
      <c r="I15" s="1"/>
      <c r="J15" s="1"/>
      <c r="K15" s="26"/>
      <c r="L15" s="26"/>
      <c r="M15" s="37"/>
      <c r="N15" s="36"/>
      <c r="O15" s="36"/>
      <c r="P15" s="37"/>
      <c r="Q15" s="34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4"/>
      <c r="B16" s="15"/>
      <c r="C16" s="15"/>
      <c r="D16" s="15"/>
      <c r="E16" s="15"/>
      <c r="F16" s="15"/>
      <c r="G16" s="36"/>
      <c r="H16" s="1"/>
      <c r="I16" s="1"/>
      <c r="J16" s="1"/>
      <c r="K16" s="26"/>
      <c r="L16" s="26"/>
      <c r="M16" s="37"/>
      <c r="N16" s="36"/>
      <c r="O16" s="36"/>
      <c r="P16" s="37"/>
      <c r="Q16" s="34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A17" s="34"/>
      <c r="B17" s="15"/>
      <c r="C17" s="15"/>
      <c r="D17" s="15"/>
      <c r="E17" s="15"/>
      <c r="F17" s="15"/>
      <c r="G17" s="36"/>
      <c r="H17" s="1"/>
      <c r="I17" s="1"/>
      <c r="J17" s="1"/>
      <c r="K17" s="26"/>
      <c r="L17" s="26"/>
      <c r="M17" s="37"/>
      <c r="N17" s="36"/>
      <c r="O17" s="36"/>
      <c r="P17" s="37"/>
      <c r="Q17" s="34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0"/>
    </row>
    <row r="18">
      <c r="A18" s="34"/>
      <c r="B18" s="15"/>
      <c r="C18" s="15"/>
      <c r="D18" s="15"/>
      <c r="E18" s="15"/>
      <c r="F18" s="15"/>
      <c r="G18" s="36"/>
      <c r="H18" s="1"/>
      <c r="I18" s="1"/>
      <c r="J18" s="1"/>
      <c r="K18" s="26"/>
      <c r="L18" s="26"/>
      <c r="M18" s="37"/>
      <c r="N18" s="36"/>
      <c r="O18" s="36"/>
      <c r="P18" s="37"/>
      <c r="Q18" s="34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0"/>
    </row>
    <row r="19">
      <c r="A19" s="34"/>
      <c r="B19" s="15"/>
      <c r="C19" s="15"/>
      <c r="D19" s="15"/>
      <c r="E19" s="15"/>
      <c r="F19" s="15"/>
      <c r="G19" s="36"/>
      <c r="H19" s="1"/>
      <c r="I19" s="1"/>
      <c r="J19" s="1"/>
      <c r="K19" s="26"/>
      <c r="L19" s="26"/>
      <c r="M19" s="37"/>
      <c r="N19" s="36"/>
      <c r="O19" s="36"/>
      <c r="P19" s="37"/>
      <c r="Q19" s="34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0"/>
    </row>
    <row r="20">
      <c r="A20" s="34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7"/>
      <c r="N20" s="36"/>
      <c r="O20" s="36"/>
      <c r="P20" s="37"/>
      <c r="Q20" s="34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>
      <c r="A21" s="34"/>
      <c r="B21" s="15"/>
      <c r="C21" s="15"/>
      <c r="D21" s="15"/>
      <c r="E21" s="15"/>
      <c r="F21" s="15"/>
      <c r="G21" s="36"/>
      <c r="H21" s="1"/>
      <c r="I21" s="1"/>
      <c r="J21" s="1"/>
      <c r="K21" s="26"/>
      <c r="L21" s="26"/>
      <c r="M21" s="37"/>
      <c r="N21" s="36"/>
      <c r="O21" s="36"/>
      <c r="P21" s="37"/>
      <c r="Q21" s="34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0"/>
    </row>
    <row r="22">
      <c r="A22" s="34"/>
      <c r="B22" s="15"/>
      <c r="C22" s="15"/>
      <c r="D22" s="15"/>
      <c r="E22" s="15"/>
      <c r="F22" s="15"/>
      <c r="G22" s="36"/>
      <c r="H22" s="1"/>
      <c r="I22" s="1"/>
      <c r="J22" s="1"/>
      <c r="K22" s="26"/>
      <c r="L22" s="26"/>
      <c r="M22" s="37"/>
      <c r="N22" s="36"/>
      <c r="O22" s="36"/>
      <c r="P22" s="37"/>
      <c r="Q22" s="34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0"/>
    </row>
    <row r="23">
      <c r="A23" s="34"/>
      <c r="B23" s="15"/>
      <c r="C23" s="15"/>
      <c r="D23" s="15"/>
      <c r="E23" s="15"/>
      <c r="F23" s="15"/>
      <c r="G23" s="36"/>
      <c r="H23" s="1"/>
      <c r="I23" s="1"/>
      <c r="J23" s="1"/>
      <c r="K23" s="26"/>
      <c r="L23" s="26"/>
      <c r="M23" s="37"/>
      <c r="N23" s="36"/>
      <c r="O23" s="36"/>
      <c r="P23" s="37"/>
      <c r="Q23" s="34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0"/>
    </row>
    <row r="24">
      <c r="A24" s="34"/>
      <c r="B24" s="15"/>
      <c r="C24" s="15"/>
      <c r="D24" s="15"/>
      <c r="E24" s="15"/>
      <c r="F24" s="15"/>
      <c r="G24" s="36"/>
      <c r="H24" s="1"/>
      <c r="I24" s="1"/>
      <c r="J24" s="1"/>
      <c r="K24" s="26"/>
      <c r="L24" s="26"/>
      <c r="M24" s="37"/>
      <c r="N24" s="36"/>
      <c r="O24" s="36"/>
      <c r="P24" s="37"/>
      <c r="Q24" s="34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0"/>
    </row>
    <row r="25">
      <c r="A25" s="34"/>
      <c r="B25" s="15"/>
      <c r="C25" s="15"/>
      <c r="D25" s="15"/>
      <c r="E25" s="15"/>
      <c r="F25" s="15"/>
      <c r="G25" s="36"/>
      <c r="H25" s="1"/>
      <c r="I25" s="1"/>
      <c r="J25" s="1"/>
      <c r="K25" s="26"/>
      <c r="L25" s="26"/>
      <c r="M25" s="37"/>
      <c r="N25" s="36"/>
      <c r="O25" s="36"/>
      <c r="P25" s="37"/>
      <c r="Q25" s="34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0"/>
    </row>
    <row r="26">
      <c r="A26" s="34"/>
      <c r="B26" s="15"/>
      <c r="C26" s="15"/>
      <c r="D26" s="15"/>
      <c r="E26" s="15"/>
      <c r="F26" s="15"/>
      <c r="G26" s="36"/>
      <c r="H26" s="1"/>
      <c r="I26" s="1"/>
      <c r="J26" s="1"/>
      <c r="K26" s="26"/>
      <c r="L26" s="26"/>
      <c r="M26" s="37"/>
      <c r="N26" s="36"/>
      <c r="O26" s="36"/>
      <c r="P26" s="37"/>
      <c r="Q26" s="34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0"/>
    </row>
    <row r="27">
      <c r="A27" s="34"/>
      <c r="B27" s="15"/>
      <c r="C27" s="15"/>
      <c r="D27" s="15"/>
      <c r="E27" s="15"/>
      <c r="F27" s="15"/>
      <c r="G27" s="36"/>
      <c r="H27" s="1"/>
      <c r="I27" s="1"/>
      <c r="J27" s="1"/>
      <c r="K27" s="26"/>
      <c r="L27" s="26"/>
      <c r="M27" s="37"/>
      <c r="N27" s="36"/>
      <c r="O27" s="36"/>
      <c r="P27" s="37"/>
      <c r="Q27" s="34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0"/>
    </row>
    <row r="28">
      <c r="A28" s="34"/>
      <c r="B28" s="15"/>
      <c r="C28" s="15"/>
      <c r="D28" s="15"/>
      <c r="E28" s="15"/>
      <c r="F28" s="15"/>
      <c r="G28" s="36"/>
      <c r="H28" s="1"/>
      <c r="I28" s="1"/>
      <c r="J28" s="1"/>
      <c r="K28" s="26"/>
      <c r="L28" s="26"/>
      <c r="M28" s="37"/>
      <c r="N28" s="36"/>
      <c r="O28" s="36"/>
      <c r="P28" s="37"/>
      <c r="Q28" s="34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0"/>
    </row>
    <row r="29">
      <c r="A29" s="34"/>
      <c r="B29" s="15"/>
      <c r="C29" s="15"/>
      <c r="D29" s="15"/>
      <c r="E29" s="15"/>
      <c r="F29" s="15"/>
      <c r="G29" s="36"/>
      <c r="H29" s="1"/>
      <c r="I29" s="1"/>
      <c r="J29" s="1"/>
      <c r="K29" s="26"/>
      <c r="L29" s="26"/>
      <c r="M29" s="37"/>
      <c r="N29" s="36"/>
      <c r="O29" s="36"/>
      <c r="P29" s="37"/>
      <c r="Q29" s="34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0"/>
    </row>
    <row r="30">
      <c r="A30" s="34"/>
      <c r="B30" s="15"/>
      <c r="C30" s="15"/>
      <c r="D30" s="15"/>
      <c r="E30" s="15"/>
      <c r="F30" s="15"/>
      <c r="G30" s="36"/>
      <c r="H30" s="1"/>
      <c r="I30" s="1"/>
      <c r="J30" s="1"/>
      <c r="K30" s="26"/>
      <c r="L30" s="26"/>
      <c r="M30" s="37"/>
      <c r="N30" s="36"/>
      <c r="O30" s="36"/>
      <c r="P30" s="37"/>
      <c r="Q30" s="34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0"/>
    </row>
    <row r="31">
      <c r="A31" s="34"/>
      <c r="B31" s="15"/>
      <c r="C31" s="15"/>
      <c r="D31" s="15"/>
      <c r="E31" s="15"/>
      <c r="F31" s="15"/>
      <c r="G31" s="36"/>
      <c r="H31" s="1"/>
      <c r="I31" s="1"/>
      <c r="J31" s="1"/>
      <c r="K31" s="26"/>
      <c r="L31" s="26"/>
      <c r="M31" s="37"/>
      <c r="N31" s="36"/>
      <c r="O31" s="36"/>
      <c r="P31" s="37"/>
      <c r="Q31" s="34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0"/>
    </row>
    <row r="32">
      <c r="A32" s="34"/>
      <c r="B32" s="15"/>
      <c r="C32" s="15"/>
      <c r="D32" s="15"/>
      <c r="E32" s="15"/>
      <c r="F32" s="15"/>
      <c r="G32" s="36"/>
      <c r="H32" s="1"/>
      <c r="I32" s="1"/>
      <c r="J32" s="1"/>
      <c r="K32" s="26"/>
      <c r="L32" s="26"/>
      <c r="M32" s="37"/>
      <c r="N32" s="36"/>
      <c r="O32" s="36"/>
      <c r="P32" s="37"/>
      <c r="Q32" s="34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0"/>
    </row>
    <row r="33">
      <c r="A33" s="34"/>
      <c r="B33" s="15"/>
      <c r="C33" s="15"/>
      <c r="D33" s="15"/>
      <c r="E33" s="15"/>
      <c r="F33" s="15"/>
      <c r="G33" s="36"/>
      <c r="H33" s="1"/>
      <c r="I33" s="1"/>
      <c r="J33" s="1"/>
      <c r="K33" s="26"/>
      <c r="L33" s="26"/>
      <c r="M33" s="37"/>
      <c r="N33" s="36"/>
      <c r="O33" s="36"/>
      <c r="P33" s="37"/>
      <c r="Q33" s="34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0"/>
    </row>
    <row r="34">
      <c r="A34" s="34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7"/>
      <c r="N34" s="36"/>
      <c r="O34" s="36"/>
      <c r="P34" s="37"/>
      <c r="Q34" s="34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>
      <c r="A35" s="34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7"/>
      <c r="N35" s="36"/>
      <c r="O35" s="36"/>
      <c r="P35" s="37"/>
      <c r="Q35" s="34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>
      <c r="A36" s="34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7"/>
      <c r="N36" s="36"/>
      <c r="O36" s="36"/>
      <c r="P36" s="37"/>
      <c r="Q36" s="34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>
      <c r="A37" s="34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7"/>
      <c r="N37" s="36"/>
      <c r="O37" s="36"/>
      <c r="P37" s="37"/>
      <c r="Q37" s="34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>
      <c r="A38" s="34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7"/>
      <c r="N38" s="36"/>
      <c r="O38" s="36"/>
      <c r="P38" s="37"/>
      <c r="Q38" s="34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>
      <c r="A39" s="34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7"/>
      <c r="N39" s="36"/>
      <c r="O39" s="36"/>
      <c r="P39" s="37"/>
      <c r="Q39" s="34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>
      <c r="A40" s="34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7"/>
      <c r="N40" s="36"/>
      <c r="O40" s="36"/>
      <c r="P40" s="37"/>
      <c r="Q40" s="34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>
      <c r="A41" s="34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7"/>
      <c r="N41" s="36"/>
      <c r="O41" s="36"/>
      <c r="P41" s="37"/>
      <c r="Q41" s="34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>
      <c r="A42" s="34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7"/>
      <c r="N42" s="36"/>
      <c r="O42" s="36"/>
      <c r="P42" s="37"/>
      <c r="Q42" s="34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>
      <c r="A43" s="34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7"/>
      <c r="N43" s="36"/>
      <c r="O43" s="36"/>
      <c r="P43" s="37"/>
      <c r="Q43" s="34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>
      <c r="A44" s="34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7"/>
      <c r="N44" s="36"/>
      <c r="O44" s="36"/>
      <c r="P44" s="37"/>
      <c r="Q44" s="34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>
      <c r="A45" s="34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7"/>
      <c r="N45" s="36"/>
      <c r="O45" s="36"/>
      <c r="P45" s="37"/>
      <c r="Q45" s="34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>
      <c r="A46" s="34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7"/>
      <c r="N46" s="36"/>
      <c r="O46" s="36"/>
      <c r="P46" s="37"/>
      <c r="Q46" s="34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>
      <c r="A47" s="34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7"/>
      <c r="N47" s="36"/>
      <c r="O47" s="36"/>
      <c r="P47" s="37"/>
      <c r="Q47" s="34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>
      <c r="A48" s="34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7"/>
      <c r="N48" s="36"/>
      <c r="O48" s="36"/>
      <c r="P48" s="37"/>
      <c r="Q48" s="34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>
      <c r="A49" s="34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7"/>
      <c r="N49" s="36"/>
      <c r="O49" s="36"/>
      <c r="P49" s="37"/>
      <c r="Q49" s="34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>
      <c r="A50" s="34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7"/>
      <c r="N50" s="36"/>
      <c r="O50" s="36"/>
      <c r="P50" s="37"/>
      <c r="Q50" s="34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>
      <c r="A51" s="34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7"/>
      <c r="N51" s="36"/>
      <c r="O51" s="36"/>
      <c r="P51" s="37"/>
      <c r="Q51" s="34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>
      <c r="A52" s="34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7"/>
      <c r="N52" s="36"/>
      <c r="O52" s="36"/>
      <c r="P52" s="37"/>
      <c r="Q52" s="34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>
      <c r="A53" s="34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7"/>
      <c r="N53" s="36"/>
      <c r="O53" s="36"/>
      <c r="P53" s="37"/>
      <c r="Q53" s="34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>
      <c r="A54" s="34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7"/>
      <c r="N54" s="36"/>
      <c r="O54" s="36"/>
      <c r="P54" s="37"/>
      <c r="Q54" s="34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>
      <c r="A55" s="34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7"/>
      <c r="N55" s="36"/>
      <c r="O55" s="36"/>
      <c r="P55" s="37"/>
      <c r="Q55" s="34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>
      <c r="A56" s="34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7"/>
      <c r="N56" s="36"/>
      <c r="O56" s="36"/>
      <c r="P56" s="37"/>
      <c r="Q56" s="34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>
      <c r="A57" s="34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7"/>
      <c r="N57" s="36"/>
      <c r="O57" s="36"/>
      <c r="P57" s="37"/>
      <c r="Q57" s="34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>
      <c r="A58" s="34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7"/>
      <c r="N58" s="36"/>
      <c r="O58" s="36"/>
      <c r="P58" s="37"/>
      <c r="Q58" s="34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>
      <c r="A59" s="34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7"/>
      <c r="N59" s="36"/>
      <c r="O59" s="36"/>
      <c r="P59" s="37"/>
      <c r="Q59" s="34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>
      <c r="A60" s="34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7"/>
      <c r="N60" s="36"/>
      <c r="O60" s="36"/>
      <c r="P60" s="37"/>
      <c r="Q60" s="34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>
      <c r="A61" s="34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7"/>
      <c r="N61" s="36"/>
      <c r="O61" s="36"/>
      <c r="P61" s="37"/>
      <c r="Q61" s="34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>
      <c r="A62" s="34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7"/>
      <c r="N62" s="36"/>
      <c r="O62" s="36"/>
      <c r="P62" s="37"/>
      <c r="Q62" s="34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>
      <c r="A63" s="34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7"/>
      <c r="N63" s="36"/>
      <c r="O63" s="36"/>
      <c r="P63" s="37"/>
      <c r="Q63" s="34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>
      <c r="A64" s="34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7"/>
      <c r="N64" s="36"/>
      <c r="O64" s="36"/>
      <c r="P64" s="37"/>
      <c r="Q64" s="34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>
      <c r="A65" s="34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7"/>
      <c r="N65" s="36"/>
      <c r="O65" s="36"/>
      <c r="P65" s="37"/>
      <c r="Q65" s="34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>
      <c r="A66" s="34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7"/>
      <c r="N66" s="36"/>
      <c r="O66" s="36"/>
      <c r="P66" s="37"/>
      <c r="Q66" s="34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>
      <c r="A67" s="34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7"/>
      <c r="N67" s="36"/>
      <c r="O67" s="36"/>
      <c r="P67" s="37"/>
      <c r="Q67" s="34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>
      <c r="A68" s="34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7"/>
      <c r="N68" s="36"/>
      <c r="O68" s="36"/>
      <c r="P68" s="37"/>
      <c r="Q68" s="34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>
      <c r="A69" s="34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7"/>
      <c r="N69" s="36"/>
      <c r="O69" s="36"/>
      <c r="P69" s="37"/>
      <c r="Q69" s="34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>
      <c r="A70" s="34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7"/>
      <c r="N70" s="36"/>
      <c r="O70" s="36"/>
      <c r="P70" s="37"/>
      <c r="Q70" s="34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>
      <c r="A71" s="34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7"/>
      <c r="N71" s="36"/>
      <c r="O71" s="36"/>
      <c r="P71" s="37"/>
      <c r="Q71" s="34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>
      <c r="A72" s="34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7"/>
      <c r="N72" s="36"/>
      <c r="O72" s="36"/>
      <c r="P72" s="37"/>
      <c r="Q72" s="34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>
      <c r="A73" s="34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7"/>
      <c r="N73" s="36"/>
      <c r="O73" s="36"/>
      <c r="P73" s="37"/>
      <c r="Q73" s="34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>
      <c r="A74" s="34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7"/>
      <c r="N74" s="36"/>
      <c r="O74" s="36"/>
      <c r="P74" s="37"/>
      <c r="Q74" s="34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>
      <c r="A75" s="34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7"/>
      <c r="N75" s="36"/>
      <c r="O75" s="36"/>
      <c r="P75" s="37"/>
      <c r="Q75" s="34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>
      <c r="A76" s="34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7"/>
      <c r="N76" s="36"/>
      <c r="O76" s="36"/>
      <c r="P76" s="37"/>
      <c r="Q76" s="34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>
      <c r="A77" s="34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7"/>
      <c r="N77" s="36"/>
      <c r="O77" s="36"/>
      <c r="P77" s="37"/>
      <c r="Q77" s="34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>
      <c r="A78" s="34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7"/>
      <c r="N78" s="36"/>
      <c r="O78" s="36"/>
      <c r="P78" s="37"/>
      <c r="Q78" s="34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>
      <c r="A79" s="34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7"/>
      <c r="N79" s="36"/>
      <c r="O79" s="36"/>
      <c r="P79" s="37"/>
      <c r="Q79" s="34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>
      <c r="A80" s="34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7"/>
      <c r="N80" s="36"/>
      <c r="O80" s="36"/>
      <c r="P80" s="37"/>
      <c r="Q80" s="34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>
      <c r="A81" s="34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7"/>
      <c r="N81" s="36"/>
      <c r="O81" s="36"/>
      <c r="P81" s="37"/>
      <c r="Q81" s="34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>
      <c r="A82" s="34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7"/>
      <c r="N82" s="36"/>
      <c r="O82" s="36"/>
      <c r="P82" s="37"/>
      <c r="Q82" s="34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>
      <c r="A83" s="34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7"/>
      <c r="N83" s="36"/>
      <c r="O83" s="36"/>
      <c r="P83" s="37"/>
      <c r="Q83" s="34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>
      <c r="A84" s="34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7"/>
      <c r="N84" s="36"/>
      <c r="O84" s="36"/>
      <c r="P84" s="37"/>
      <c r="Q84" s="34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>
      <c r="A85" s="34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7"/>
      <c r="N85" s="36"/>
      <c r="O85" s="36"/>
      <c r="P85" s="37"/>
      <c r="Q85" s="34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>
      <c r="A86" s="34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7"/>
      <c r="N86" s="36"/>
      <c r="O86" s="36"/>
      <c r="P86" s="37"/>
      <c r="Q86" s="34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>
      <c r="A87" s="34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7"/>
      <c r="N87" s="36"/>
      <c r="O87" s="36"/>
      <c r="P87" s="37"/>
      <c r="Q87" s="34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>
      <c r="A88" s="34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7"/>
      <c r="N88" s="36"/>
      <c r="O88" s="36"/>
      <c r="P88" s="37"/>
      <c r="Q88" s="34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>
      <c r="A89" s="34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7"/>
      <c r="N89" s="36"/>
      <c r="O89" s="36"/>
      <c r="P89" s="37"/>
      <c r="Q89" s="34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>
      <c r="A90" s="34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7"/>
      <c r="N90" s="36"/>
      <c r="O90" s="36"/>
      <c r="P90" s="37"/>
      <c r="Q90" s="34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>
      <c r="A91" s="34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7"/>
      <c r="N91" s="36"/>
      <c r="O91" s="36"/>
      <c r="P91" s="37"/>
      <c r="Q91" s="34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>
      <c r="A92" s="34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7"/>
      <c r="N92" s="36"/>
      <c r="O92" s="36"/>
      <c r="P92" s="37"/>
      <c r="Q92" s="34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>
      <c r="A93" s="34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7"/>
      <c r="N93" s="36"/>
      <c r="O93" s="36"/>
      <c r="P93" s="37"/>
      <c r="Q93" s="34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>
      <c r="A94" s="34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7"/>
      <c r="N94" s="36"/>
      <c r="O94" s="36"/>
      <c r="P94" s="37"/>
      <c r="Q94" s="34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>
      <c r="A95" s="34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7"/>
      <c r="N95" s="36"/>
      <c r="O95" s="36"/>
      <c r="P95" s="37"/>
      <c r="Q95" s="34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>
      <c r="A96" s="34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7"/>
      <c r="N96" s="36"/>
      <c r="O96" s="36"/>
      <c r="P96" s="37"/>
      <c r="Q96" s="34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>
      <c r="A97" s="34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7"/>
      <c r="N97" s="36"/>
      <c r="O97" s="36"/>
      <c r="P97" s="37"/>
      <c r="Q97" s="34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>
      <c r="A98" s="34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7"/>
      <c r="N98" s="36"/>
      <c r="O98" s="36"/>
      <c r="P98" s="37"/>
      <c r="Q98" s="34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>
      <c r="A99" s="34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7"/>
      <c r="N99" s="36"/>
      <c r="O99" s="36"/>
      <c r="P99" s="37"/>
      <c r="Q99" s="34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>
      <c r="A100" s="34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7"/>
      <c r="N100" s="36"/>
      <c r="O100" s="36"/>
      <c r="P100" s="37"/>
      <c r="Q100" s="34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>
      <c r="A101" s="34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7"/>
      <c r="N101" s="36"/>
      <c r="O101" s="36"/>
      <c r="P101" s="37"/>
      <c r="Q101" s="34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>
      <c r="A102" s="34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7"/>
      <c r="N102" s="36"/>
      <c r="O102" s="36"/>
      <c r="P102" s="37"/>
      <c r="Q102" s="34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>
      <c r="A103" s="34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7"/>
      <c r="N103" s="36"/>
      <c r="O103" s="36"/>
      <c r="P103" s="37"/>
      <c r="Q103" s="34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>
      <c r="A104" s="34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7"/>
      <c r="N104" s="36"/>
      <c r="O104" s="36"/>
      <c r="P104" s="37"/>
      <c r="Q104" s="34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>
      <c r="A105" s="34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7"/>
      <c r="N105" s="36"/>
      <c r="O105" s="36"/>
      <c r="P105" s="37"/>
      <c r="Q105" s="34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>
      <c r="A106" s="34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7"/>
      <c r="N106" s="36"/>
      <c r="O106" s="36"/>
      <c r="P106" s="37"/>
      <c r="Q106" s="34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>
      <c r="A107" s="34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7"/>
      <c r="N107" s="36"/>
      <c r="O107" s="36"/>
      <c r="P107" s="37"/>
      <c r="Q107" s="34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>
      <c r="A108" s="34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7"/>
      <c r="N108" s="36"/>
      <c r="O108" s="36"/>
      <c r="P108" s="37"/>
      <c r="Q108" s="34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>
      <c r="A109" s="34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7"/>
      <c r="N109" s="36"/>
      <c r="O109" s="36"/>
      <c r="P109" s="37"/>
      <c r="Q109" s="34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>
      <c r="A110" s="34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7"/>
      <c r="N110" s="36"/>
      <c r="O110" s="36"/>
      <c r="P110" s="37"/>
      <c r="Q110" s="34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>
      <c r="A111" s="34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7"/>
      <c r="N111" s="36"/>
      <c r="O111" s="36"/>
      <c r="P111" s="37"/>
      <c r="Q111" s="34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>
      <c r="A112" s="34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7"/>
      <c r="N112" s="36"/>
      <c r="O112" s="36"/>
      <c r="P112" s="37"/>
      <c r="Q112" s="34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>
      <c r="A113" s="34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7"/>
      <c r="N113" s="36"/>
      <c r="O113" s="36"/>
      <c r="P113" s="37"/>
      <c r="Q113" s="34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>
      <c r="A114" s="34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7"/>
      <c r="N114" s="36"/>
      <c r="O114" s="36"/>
      <c r="P114" s="37"/>
      <c r="Q114" s="34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>
      <c r="A115" s="34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7"/>
      <c r="N115" s="36"/>
      <c r="O115" s="36"/>
      <c r="P115" s="37"/>
      <c r="Q115" s="34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>
      <c r="A116" s="34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7"/>
      <c r="N116" s="36"/>
      <c r="O116" s="36"/>
      <c r="P116" s="37"/>
      <c r="Q116" s="34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>
      <c r="A117" s="34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7"/>
      <c r="N117" s="36"/>
      <c r="O117" s="36"/>
      <c r="P117" s="37"/>
      <c r="Q117" s="34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>
      <c r="A118" s="34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7"/>
      <c r="N118" s="36"/>
      <c r="O118" s="36"/>
      <c r="P118" s="37"/>
      <c r="Q118" s="34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>
      <c r="A119" s="34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7"/>
      <c r="N119" s="36"/>
      <c r="O119" s="36"/>
      <c r="P119" s="37"/>
      <c r="Q119" s="34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>
      <c r="A120" s="34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7"/>
      <c r="N120" s="36"/>
      <c r="O120" s="36"/>
      <c r="P120" s="37"/>
      <c r="Q120" s="34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>
      <c r="A121" s="34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7"/>
      <c r="N121" s="36"/>
      <c r="O121" s="36"/>
      <c r="P121" s="37"/>
      <c r="Q121" s="34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>
      <c r="A122" s="34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7"/>
      <c r="N122" s="36"/>
      <c r="O122" s="36"/>
      <c r="P122" s="37"/>
      <c r="Q122" s="34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>
      <c r="A123" s="34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7"/>
      <c r="N123" s="36"/>
      <c r="O123" s="36"/>
      <c r="P123" s="37"/>
      <c r="Q123" s="34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>
      <c r="A124" s="34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7"/>
      <c r="N124" s="36"/>
      <c r="O124" s="36"/>
      <c r="P124" s="37"/>
      <c r="Q124" s="34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>
      <c r="A125" s="34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7"/>
      <c r="N125" s="36"/>
      <c r="O125" s="36"/>
      <c r="P125" s="37"/>
      <c r="Q125" s="34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>
      <c r="A126" s="34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7"/>
      <c r="N126" s="36"/>
      <c r="O126" s="36"/>
      <c r="P126" s="37"/>
      <c r="Q126" s="34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>
      <c r="A127" s="34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7"/>
      <c r="N127" s="36"/>
      <c r="O127" s="36"/>
      <c r="P127" s="37"/>
      <c r="Q127" s="34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>
      <c r="A128" s="34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7"/>
      <c r="N128" s="36"/>
      <c r="O128" s="36"/>
      <c r="P128" s="37"/>
      <c r="Q128" s="34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>
      <c r="A129" s="34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7"/>
      <c r="N129" s="36"/>
      <c r="O129" s="36"/>
      <c r="P129" s="37"/>
      <c r="Q129" s="34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>
      <c r="A130" s="34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7"/>
      <c r="N130" s="36"/>
      <c r="O130" s="36"/>
      <c r="P130" s="37"/>
      <c r="Q130" s="34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>
      <c r="A131" s="34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7"/>
      <c r="N131" s="36"/>
      <c r="O131" s="36"/>
      <c r="P131" s="37"/>
      <c r="Q131" s="34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>
      <c r="A132" s="34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7"/>
      <c r="N132" s="36"/>
      <c r="O132" s="36"/>
      <c r="P132" s="37"/>
      <c r="Q132" s="34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>
      <c r="A133" s="34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7"/>
      <c r="N133" s="36"/>
      <c r="O133" s="36"/>
      <c r="P133" s="37"/>
      <c r="Q133" s="34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>
      <c r="A134" s="34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7"/>
      <c r="N134" s="36"/>
      <c r="O134" s="36"/>
      <c r="P134" s="37"/>
      <c r="Q134" s="34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>
      <c r="A135" s="34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7"/>
      <c r="N135" s="36"/>
      <c r="O135" s="36"/>
      <c r="P135" s="37"/>
      <c r="Q135" s="34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>
      <c r="A136" s="34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7"/>
      <c r="N136" s="36"/>
      <c r="O136" s="36"/>
      <c r="P136" s="37"/>
      <c r="Q136" s="34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>
      <c r="A137" s="34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7"/>
      <c r="N137" s="36"/>
      <c r="O137" s="36"/>
      <c r="P137" s="37"/>
      <c r="Q137" s="34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>
      <c r="A138" s="34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7"/>
      <c r="N138" s="36"/>
      <c r="O138" s="36"/>
      <c r="P138" s="37"/>
      <c r="Q138" s="34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>
      <c r="A139" s="34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7"/>
      <c r="N139" s="36"/>
      <c r="O139" s="36"/>
      <c r="P139" s="37"/>
      <c r="Q139" s="34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>
      <c r="A140" s="34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7"/>
      <c r="N140" s="36"/>
      <c r="O140" s="36"/>
      <c r="P140" s="37"/>
      <c r="Q140" s="34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>
      <c r="A141" s="34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7"/>
      <c r="N141" s="36"/>
      <c r="O141" s="36"/>
      <c r="P141" s="37"/>
      <c r="Q141" s="34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>
      <c r="A142" s="34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7"/>
      <c r="N142" s="36"/>
      <c r="O142" s="36"/>
      <c r="P142" s="37"/>
      <c r="Q142" s="34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>
      <c r="A143" s="34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7"/>
      <c r="N143" s="36"/>
      <c r="O143" s="36"/>
      <c r="P143" s="37"/>
      <c r="Q143" s="34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>
      <c r="A144" s="34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7"/>
      <c r="N144" s="36"/>
      <c r="O144" s="36"/>
      <c r="P144" s="37"/>
      <c r="Q144" s="34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>
      <c r="A145" s="34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7"/>
      <c r="N145" s="36"/>
      <c r="O145" s="36"/>
      <c r="P145" s="37"/>
      <c r="Q145" s="34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>
      <c r="A146" s="34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7"/>
      <c r="N146" s="36"/>
      <c r="O146" s="36"/>
      <c r="P146" s="37"/>
      <c r="Q146" s="34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>
      <c r="A147" s="34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7"/>
      <c r="N147" s="36"/>
      <c r="O147" s="36"/>
      <c r="P147" s="37"/>
      <c r="Q147" s="34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>
      <c r="A148" s="34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7"/>
      <c r="N148" s="36"/>
      <c r="O148" s="36"/>
      <c r="P148" s="37"/>
      <c r="Q148" s="34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>
      <c r="A149" s="34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7"/>
      <c r="N149" s="36"/>
      <c r="O149" s="36"/>
      <c r="P149" s="37"/>
      <c r="Q149" s="34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>
      <c r="A150" s="34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7"/>
      <c r="N150" s="36"/>
      <c r="O150" s="36"/>
      <c r="P150" s="37"/>
      <c r="Q150" s="34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>
      <c r="A151" s="34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7"/>
      <c r="N151" s="36"/>
      <c r="O151" s="36"/>
      <c r="P151" s="37"/>
      <c r="Q151" s="34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>
      <c r="A152" s="34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7"/>
      <c r="N152" s="36"/>
      <c r="O152" s="36"/>
      <c r="P152" s="37"/>
      <c r="Q152" s="34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>
      <c r="A153" s="34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7"/>
      <c r="N153" s="36"/>
      <c r="O153" s="36"/>
      <c r="P153" s="37"/>
      <c r="Q153" s="34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>
      <c r="A154" s="34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7"/>
      <c r="N154" s="36"/>
      <c r="O154" s="36"/>
      <c r="P154" s="37"/>
      <c r="Q154" s="34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>
      <c r="A155" s="34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7"/>
      <c r="N155" s="36"/>
      <c r="O155" s="36"/>
      <c r="P155" s="37"/>
      <c r="Q155" s="34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>
      <c r="A156" s="34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7"/>
      <c r="N156" s="36"/>
      <c r="O156" s="36"/>
      <c r="P156" s="37"/>
      <c r="Q156" s="34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>
      <c r="A157" s="34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7"/>
      <c r="N157" s="36"/>
      <c r="O157" s="36"/>
      <c r="P157" s="37"/>
      <c r="Q157" s="34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>
      <c r="A158" s="34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7"/>
      <c r="N158" s="36"/>
      <c r="O158" s="36"/>
      <c r="P158" s="37"/>
      <c r="Q158" s="34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>
      <c r="A159" s="34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7"/>
      <c r="N159" s="36"/>
      <c r="O159" s="36"/>
      <c r="P159" s="37"/>
      <c r="Q159" s="34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>
      <c r="A160" s="34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7"/>
      <c r="N160" s="36"/>
      <c r="O160" s="36"/>
      <c r="P160" s="37"/>
      <c r="Q160" s="34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>
      <c r="A161" s="34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7"/>
      <c r="N161" s="36"/>
      <c r="O161" s="36"/>
      <c r="P161" s="37"/>
      <c r="Q161" s="34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>
      <c r="A162" s="34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7"/>
      <c r="N162" s="36"/>
      <c r="O162" s="36"/>
      <c r="P162" s="37"/>
      <c r="Q162" s="34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>
      <c r="A163" s="34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7"/>
      <c r="N163" s="36"/>
      <c r="O163" s="36"/>
      <c r="P163" s="37"/>
      <c r="Q163" s="34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>
      <c r="A164" s="34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7"/>
      <c r="N164" s="36"/>
      <c r="O164" s="36"/>
      <c r="P164" s="37"/>
      <c r="Q164" s="34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>
      <c r="A165" s="34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7"/>
      <c r="N165" s="36"/>
      <c r="O165" s="36"/>
      <c r="P165" s="37"/>
      <c r="Q165" s="34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>
      <c r="A166" s="34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7"/>
      <c r="N166" s="36"/>
      <c r="O166" s="36"/>
      <c r="P166" s="37"/>
      <c r="Q166" s="34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>
      <c r="A167" s="34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7"/>
      <c r="N167" s="36"/>
      <c r="O167" s="36"/>
      <c r="P167" s="37"/>
      <c r="Q167" s="34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>
      <c r="A168" s="34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7"/>
      <c r="N168" s="36"/>
      <c r="O168" s="36"/>
      <c r="P168" s="37"/>
      <c r="Q168" s="34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>
      <c r="A169" s="34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7"/>
      <c r="N169" s="36"/>
      <c r="O169" s="36"/>
      <c r="P169" s="37"/>
      <c r="Q169" s="34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>
      <c r="A170" s="34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7"/>
      <c r="N170" s="36"/>
      <c r="O170" s="36"/>
      <c r="P170" s="37"/>
      <c r="Q170" s="34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>
      <c r="A171" s="34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7"/>
      <c r="N171" s="36"/>
      <c r="O171" s="36"/>
      <c r="P171" s="37"/>
      <c r="Q171" s="34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>
      <c r="A172" s="34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7"/>
      <c r="N172" s="36"/>
      <c r="O172" s="36"/>
      <c r="P172" s="37"/>
      <c r="Q172" s="34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>
      <c r="A173" s="34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7"/>
      <c r="N173" s="36"/>
      <c r="O173" s="36"/>
      <c r="P173" s="37"/>
      <c r="Q173" s="34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>
      <c r="A174" s="34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7"/>
      <c r="N174" s="36"/>
      <c r="O174" s="36"/>
      <c r="P174" s="37"/>
      <c r="Q174" s="34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>
      <c r="A175" s="34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7"/>
      <c r="N175" s="36"/>
      <c r="O175" s="36"/>
      <c r="P175" s="37"/>
      <c r="Q175" s="34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>
      <c r="A176" s="34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7"/>
      <c r="N176" s="36"/>
      <c r="O176" s="36"/>
      <c r="P176" s="37"/>
      <c r="Q176" s="34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>
      <c r="A177" s="34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7"/>
      <c r="N177" s="36"/>
      <c r="O177" s="36"/>
      <c r="P177" s="37"/>
      <c r="Q177" s="34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>
      <c r="A178" s="34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7"/>
      <c r="N178" s="36"/>
      <c r="O178" s="36"/>
      <c r="P178" s="37"/>
      <c r="Q178" s="34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>
      <c r="A179" s="34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7"/>
      <c r="N179" s="36"/>
      <c r="O179" s="36"/>
      <c r="P179" s="37"/>
      <c r="Q179" s="34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>
      <c r="A180" s="34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7"/>
      <c r="N180" s="36"/>
      <c r="O180" s="36"/>
      <c r="P180" s="37"/>
      <c r="Q180" s="34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>
      <c r="A181" s="34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7"/>
      <c r="N181" s="36"/>
      <c r="O181" s="36"/>
      <c r="P181" s="37"/>
      <c r="Q181" s="34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>
      <c r="A182" s="34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7"/>
      <c r="N182" s="36"/>
      <c r="O182" s="36"/>
      <c r="P182" s="37"/>
      <c r="Q182" s="34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>
      <c r="A183" s="34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7"/>
      <c r="N183" s="36"/>
      <c r="O183" s="36"/>
      <c r="P183" s="37"/>
      <c r="Q183" s="34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>
      <c r="A184" s="34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7"/>
      <c r="N184" s="36"/>
      <c r="O184" s="36"/>
      <c r="P184" s="37"/>
      <c r="Q184" s="34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>
      <c r="A185" s="34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7"/>
      <c r="N185" s="36"/>
      <c r="O185" s="36"/>
      <c r="P185" s="37"/>
      <c r="Q185" s="34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>
      <c r="A186" s="34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7"/>
      <c r="N186" s="36"/>
      <c r="O186" s="36"/>
      <c r="P186" s="37"/>
      <c r="Q186" s="34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>
      <c r="A187" s="34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7"/>
      <c r="N187" s="36"/>
      <c r="O187" s="36"/>
      <c r="P187" s="37"/>
      <c r="Q187" s="34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>
      <c r="A188" s="34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7"/>
      <c r="N188" s="36"/>
      <c r="O188" s="36"/>
      <c r="P188" s="37"/>
      <c r="Q188" s="34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>
      <c r="A189" s="34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7"/>
      <c r="N189" s="36"/>
      <c r="O189" s="36"/>
      <c r="P189" s="37"/>
      <c r="Q189" s="34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>
      <c r="A190" s="34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7"/>
      <c r="N190" s="36"/>
      <c r="O190" s="36"/>
      <c r="P190" s="37"/>
      <c r="Q190" s="34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>
      <c r="A191" s="34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7"/>
      <c r="N191" s="36"/>
      <c r="O191" s="36"/>
      <c r="P191" s="37"/>
      <c r="Q191" s="34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>
      <c r="A192" s="34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7"/>
      <c r="N192" s="36"/>
      <c r="O192" s="36"/>
      <c r="P192" s="37"/>
      <c r="Q192" s="34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>
      <c r="A193" s="34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7"/>
      <c r="N193" s="36"/>
      <c r="O193" s="36"/>
      <c r="P193" s="37"/>
      <c r="Q193" s="34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>
      <c r="A194" s="34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7"/>
      <c r="N194" s="36"/>
      <c r="O194" s="36"/>
      <c r="P194" s="37"/>
      <c r="Q194" s="34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>
      <c r="A195" s="34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7"/>
      <c r="N195" s="36"/>
      <c r="O195" s="36"/>
      <c r="P195" s="37"/>
      <c r="Q195" s="34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>
      <c r="A196" s="34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7"/>
      <c r="N196" s="36"/>
      <c r="O196" s="36"/>
      <c r="P196" s="37"/>
      <c r="Q196" s="34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>
      <c r="A197" s="34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7"/>
      <c r="N197" s="36"/>
      <c r="O197" s="36"/>
      <c r="P197" s="37"/>
      <c r="Q197" s="34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>
      <c r="A198" s="34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7"/>
      <c r="N198" s="36"/>
      <c r="O198" s="36"/>
      <c r="P198" s="37"/>
      <c r="Q198" s="34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>
      <c r="A199" s="34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7"/>
      <c r="N199" s="36"/>
      <c r="O199" s="36"/>
      <c r="P199" s="37"/>
      <c r="Q199" s="34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>
      <c r="A200" s="34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7"/>
      <c r="N200" s="36"/>
      <c r="O200" s="36"/>
      <c r="P200" s="37"/>
      <c r="Q200" s="34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>
      <c r="A201" s="34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7"/>
      <c r="N201" s="36"/>
      <c r="O201" s="36"/>
      <c r="P201" s="37"/>
      <c r="Q201" s="34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>
      <c r="A202" s="34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7"/>
      <c r="N202" s="36"/>
      <c r="O202" s="36"/>
      <c r="P202" s="37"/>
      <c r="Q202" s="34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>
      <c r="A203" s="34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7"/>
      <c r="N203" s="36"/>
      <c r="O203" s="36"/>
      <c r="P203" s="37"/>
      <c r="Q203" s="34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>
      <c r="A204" s="34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7"/>
      <c r="N204" s="36"/>
      <c r="O204" s="36"/>
      <c r="P204" s="37"/>
      <c r="Q204" s="34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>
      <c r="A205" s="34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7"/>
      <c r="N205" s="36"/>
      <c r="O205" s="36"/>
      <c r="P205" s="37"/>
      <c r="Q205" s="34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>
      <c r="A206" s="34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7"/>
      <c r="N206" s="36"/>
      <c r="O206" s="36"/>
      <c r="P206" s="37"/>
      <c r="Q206" s="34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>
      <c r="A207" s="34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7"/>
      <c r="N207" s="36"/>
      <c r="O207" s="36"/>
      <c r="P207" s="37"/>
      <c r="Q207" s="34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>
      <c r="A208" s="34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7"/>
      <c r="N208" s="36"/>
      <c r="O208" s="36"/>
      <c r="P208" s="37"/>
      <c r="Q208" s="34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>
      <c r="A209" s="34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7"/>
      <c r="N209" s="36"/>
      <c r="O209" s="36"/>
      <c r="P209" s="37"/>
      <c r="Q209" s="34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>
      <c r="A210" s="34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7"/>
      <c r="N210" s="36"/>
      <c r="O210" s="36"/>
      <c r="P210" s="37"/>
      <c r="Q210" s="34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>
      <c r="A211" s="34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7"/>
      <c r="N211" s="36"/>
      <c r="O211" s="36"/>
      <c r="P211" s="37"/>
      <c r="Q211" s="34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>
      <c r="A212" s="34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7"/>
      <c r="N212" s="36"/>
      <c r="O212" s="36"/>
      <c r="P212" s="37"/>
      <c r="Q212" s="34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>
      <c r="A213" s="34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7"/>
      <c r="N213" s="36"/>
      <c r="O213" s="36"/>
      <c r="P213" s="37"/>
      <c r="Q213" s="34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>
      <c r="A214" s="34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7"/>
      <c r="N214" s="36"/>
      <c r="O214" s="36"/>
      <c r="P214" s="37"/>
      <c r="Q214" s="34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>
      <c r="A215" s="34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7"/>
      <c r="N215" s="36"/>
      <c r="O215" s="36"/>
      <c r="P215" s="37"/>
      <c r="Q215" s="34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>
      <c r="A216" s="34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7"/>
      <c r="N216" s="36"/>
      <c r="O216" s="36"/>
      <c r="P216" s="37"/>
      <c r="Q216" s="34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>
      <c r="A217" s="34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7"/>
      <c r="N217" s="36"/>
      <c r="O217" s="36"/>
      <c r="P217" s="37"/>
      <c r="Q217" s="34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>
      <c r="A218" s="34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7"/>
      <c r="N218" s="36"/>
      <c r="O218" s="36"/>
      <c r="P218" s="37"/>
      <c r="Q218" s="34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>
      <c r="A219" s="34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7"/>
      <c r="N219" s="36"/>
      <c r="O219" s="36"/>
      <c r="P219" s="37"/>
      <c r="Q219" s="34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>
      <c r="A220" s="34"/>
      <c r="B220" s="15"/>
      <c r="C220" s="15"/>
      <c r="D220" s="15"/>
      <c r="E220" s="15"/>
      <c r="F220" s="15"/>
      <c r="G220" s="36"/>
      <c r="H220" s="1"/>
      <c r="I220" s="1"/>
      <c r="J220" s="1"/>
      <c r="K220" s="26"/>
      <c r="L220" s="26"/>
      <c r="M220" s="37"/>
      <c r="N220" s="36"/>
      <c r="O220" s="36"/>
      <c r="P220" s="37"/>
      <c r="Q220" s="34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0"/>
    </row>
    <row r="221">
      <c r="A221" s="27"/>
      <c r="B221" s="28"/>
      <c r="C221" s="28"/>
      <c r="D221" s="28"/>
      <c r="E221" s="28"/>
      <c r="F221" s="28"/>
      <c r="G221" s="28"/>
      <c r="H221" s="38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8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8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8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8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8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8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8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8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8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8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8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8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8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8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8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8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8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8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8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8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8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8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8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8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8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8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8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8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8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8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8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8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8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8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8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8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8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8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8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8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8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8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8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8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8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8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8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8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8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8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8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8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8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8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8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8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8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8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8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8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8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8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8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8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8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8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8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8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8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8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8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8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8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8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8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8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8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8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8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8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8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8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8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8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8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8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8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8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8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8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8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8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8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8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8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8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8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8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8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8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8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8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8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8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8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8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8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8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8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8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8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8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8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8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8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8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8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8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8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8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8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8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8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8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8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8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8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8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8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8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8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8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8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8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8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8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8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8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8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8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8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8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8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8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8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8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8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8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8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8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8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8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8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8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8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8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8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8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8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8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8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8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8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8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8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8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8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8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8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8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8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8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8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8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8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8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8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8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8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8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8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8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8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8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8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8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8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8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8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8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8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8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8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8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8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8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8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8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8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8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8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8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8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8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8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8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8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8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8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8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8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8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8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8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8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8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8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8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8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8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8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8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8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8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8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8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8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8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8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8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8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8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8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8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8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8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8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8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8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8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8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8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8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8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8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8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8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8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8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8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8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8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8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8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8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8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8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8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8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8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8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8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8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8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8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8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8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8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8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8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8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8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8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8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8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8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8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8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8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8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8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8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8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8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8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8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8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8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8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8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8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8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8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8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8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8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8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8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8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8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8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8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8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8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8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8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8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8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8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8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8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8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8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8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8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8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8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8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8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8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8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8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8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8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8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8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8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8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8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8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8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8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8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8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8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8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8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8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8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8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8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8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8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8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8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8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8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8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8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8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8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8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8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8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8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8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8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8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8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8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8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8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8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8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8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8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8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8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8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8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8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8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8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8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8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8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8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8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8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8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8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8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8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8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8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8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8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8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8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8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8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8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8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8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8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8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8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8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8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8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8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8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8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8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8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8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8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8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8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8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8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8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8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8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8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8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8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8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8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8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8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8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8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8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8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8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8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8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8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8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8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8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8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8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8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8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8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8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8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8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8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8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8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8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8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8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8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8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8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8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8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8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8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8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8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8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8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8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8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8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8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8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8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8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8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8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8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8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8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8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8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8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8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8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8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8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8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8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8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8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8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8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8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8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8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8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8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8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8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8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8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8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8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8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8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8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8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8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8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8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8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8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8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8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8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8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8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8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8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8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8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8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8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8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8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8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8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8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8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8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8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8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8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8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8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8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8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8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8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8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8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8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8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8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8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8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8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8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8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8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8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8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8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8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8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8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8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8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8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8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8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8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8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8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8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8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8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8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8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8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8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8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8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8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8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8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8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8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8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8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8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8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8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8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8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8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8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8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8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8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8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8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8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8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8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8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8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8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8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8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8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8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8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8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8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8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8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8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8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8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8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8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8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8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8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8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8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8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8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8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8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8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8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8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8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8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8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8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8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8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8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8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8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8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8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8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8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8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8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8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8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8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8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8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8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8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8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8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8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8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8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8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8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8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8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8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8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8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8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8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8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8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8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8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8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8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8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8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8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8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8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8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8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8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8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8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8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8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8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8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8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8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8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8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8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8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8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8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8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8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8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8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8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8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8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8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8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8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8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8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8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8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8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8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8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8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8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8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8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8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8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8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8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8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8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8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8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8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8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8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8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8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8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8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8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8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8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8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8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8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8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8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8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8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8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8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8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8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8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8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8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8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8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8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8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8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8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8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8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8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8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8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8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8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8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8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8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8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8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8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8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8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8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8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8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8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8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8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8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8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8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8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8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8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8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8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8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8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8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8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8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8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8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8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8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8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8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8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8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