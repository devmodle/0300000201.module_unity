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<sst xmlns="http://schemas.openxmlformats.org/spreadsheetml/2006/main" count="720" uniqueCount="594">
  <si>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</si>
  <si>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</si>
  <si>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</si>
  <si>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</si>
  <si>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</si>
  <si>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</si>
  <si>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</si>
  <si>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</si>
  <si>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</si>
  <si>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</si>
  <si>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</si>
  <si>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</si>
  <si>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</si>
  <si>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</si>
  <si>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</si>
  <si>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</si>
  <si>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</si>
  <si>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</si>
  <si>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</si>
  <si>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</si>
  <si>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</si>
  <si>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</si>
  <si>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</si>
  <si>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</si>
  <si>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</si>
  <si>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</si>
  <si>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</si>
  <si>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</si>
  <si>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</si>
  <si>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</si>
  <si>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</si>
  <si>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</si>
  <si>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</si>
  <si>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</si>
  <si>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</si>
  <si>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</si>
  <si>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</si>
  <si>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</si>
  <si>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</si>
  <si>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</si>
  <si>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</si>
  <si>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</si>
  <si>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</si>
  <si>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</si>
  <si>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</si>
  <si>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</si>
  <si>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</si>
  <si>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</si>
  <si>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</si>
  <si>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</si>
  <si>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</si>
  <si>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</si>
  <si>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</si>
  <si>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</si>
  <si>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</si>
  <si>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</si>
  <si>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</si>
  <si>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</si>
  <si>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</si>
  <si>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</si>
  <si>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</si>
  <si>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</si>
  <si>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</si>
  <si>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</si>
  <si>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</si>
  <si>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</si>
  <si>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</si>
  <si>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</si>
  <si>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</si>
  <si>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</si>
  <si>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</si>
  <si>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</si>
  <si>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</si>
  <si>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</si>
  <si>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</si>
  <si>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</si>
  <si>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</si>
  <si>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에피소드 식별자 범위</t>
  </si>
  <si>
    <t>기력 감소 - 1</t>
  </si>
  <si>
    <t>0 ~ 9998</t>
  </si>
  <si>
    <t>스테이지</t>
  </si>
  <si>
    <t>0 ~ 998</t>
  </si>
  <si>
    <t>회복 - 1</t>
  </si>
  <si>
    <t>챕터</t>
  </si>
  <si>
    <t>0 ~ 98</t>
  </si>
  <si>
    <t>회복 - 2</t>
  </si>
  <si>
    <t>회복 증가 - 1</t>
  </si>
  <si>
    <t>에피소드 종류</t>
  </si>
  <si>
    <t>회복 감소 - 1</t>
  </si>
  <si>
    <t>일반 레벨</t>
  </si>
  <si>
    <t>체력 회복 - 1</t>
  </si>
  <si>
    <t>보스 레벨</t>
  </si>
  <si>
    <t>체력 회복 - 2</t>
  </si>
  <si>
    <t>튜토리얼 레벨</t>
  </si>
  <si>
    <t>체력 회복 증가 - 1</t>
  </si>
  <si>
    <t>튜토리얼 보스 레벨</t>
  </si>
  <si>
    <t>체력 회복 감소 - 1</t>
  </si>
  <si>
    <t>일반 스테이지</t>
  </si>
  <si>
    <t>마력 회복 - 1</t>
  </si>
  <si>
    <t>튜토리얼 스테이지</t>
  </si>
  <si>
    <t>마력 회복 - 2</t>
  </si>
  <si>
    <t>마력 회복 증가 - 1</t>
  </si>
  <si>
    <t>일반 챕터</t>
  </si>
  <si>
    <t>마력 회복 감소 - 1</t>
  </si>
  <si>
    <t>튜토리얼 챕터</t>
  </si>
  <si>
    <t>기력 회복 - 1</t>
  </si>
  <si>
    <t>난이도 종류</t>
  </si>
  <si>
    <t>기력 회복 - 2</t>
  </si>
  <si>
    <t>기력 회복 증가 - 1</t>
  </si>
  <si>
    <t>Easy</t>
  </si>
  <si>
    <t>기력 회복 감소 - 1</t>
  </si>
  <si>
    <t>Norm</t>
  </si>
  <si>
    <t>Hard</t>
  </si>
  <si>
    <t>공격력 - 1</t>
  </si>
  <si>
    <t>Very Hard</t>
  </si>
  <si>
    <t>공격력 - 2</t>
  </si>
  <si>
    <t>Super Hard</t>
  </si>
  <si>
    <t>공격력 증가 - 1</t>
  </si>
  <si>
    <t>Ultra Hard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</si>
  <si>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</si>
  <si>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</si>
  <si>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</si>
  <si>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</si>
  <si>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</si>
  <si>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</si>
  <si>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</si>
  <si>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</si>
  <si>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</si>
  <si>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</si>
  <si>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</si>
  <si>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</si>
  <si>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</si>
  <si>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</si>
  <si>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</si>
  <si>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</si>
  <si>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</si>
  <si>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</si>
  <si>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</si>
  <si>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</si>
  <si>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</si>
  <si>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</si>
  <si>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</si>
  <si>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</si>
  <si>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</si>
  <si>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</si>
  <si>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</si>
  <si>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</si>
  <si>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</si>
  <si>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</si>
  <si>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</si>
  <si>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</si>
  <si>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</si>
  <si>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</si>
  <si>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</si>
  <si>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</si>
  <si>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</si>
  <si>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</si>
  <si>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</si>
  <si>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</si>
  <si>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</si>
  <si>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</si>
  <si>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</si>
  <si>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</si>
  <si>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</si>
  <si>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</si>
  <si>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</si>
  <si>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</si>
  <si>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</si>
  <si>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</si>
  <si>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</si>
  <si>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</si>
  <si>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</si>
  <si>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</si>
  <si>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</si>
  <si>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</si>
  <si>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</si>
  <si>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</si>
  <si>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</si>
  <si>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</si>
  <si>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</si>
  <si>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</si>
  <si>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</si>
  <si>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</si>
  <si>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</si>
  <si>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</si>
  <si>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</si>
  <si>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</si>
  <si>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</si>
  <si>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</si>
  <si>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</si>
  <si>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</si>
  <si>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</si>
  <si>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</si>
  <si>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</si>
  <si>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</si>
  <si>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</si>
  <si>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</si>
  <si>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</si>
  <si>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</si>
  <si>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</si>
  <si>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</si>
  <si>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</si>
  <si>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</si>
  <si>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</si>
  <si>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</si>
  <si>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</si>
  <si>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</si>
  <si>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</si>
  <si>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</si>
  <si>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</si>
  <si>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</si>
  <si>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</si>
  <si>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</si>
  <si>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</si>
  <si>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</si>
  <si>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</si>
  <si>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</si>
  <si>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</si>
  <si>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</si>
  <si>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</si>
  <si>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</si>
  <si>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</si>
  <si>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</si>
  <si>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</si>
  <si>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</si>
  <si>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</si>
  <si>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</si>
  <si>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</si>
  <si>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</si>
  <si>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</si>
  <si>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</si>
  <si>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</si>
  <si>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</si>
  <si>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</si>
  <si>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</si>
  <si>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</si>
  <si>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</si>
  <si>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</si>
  <si>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</si>
  <si>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</si>
  <si>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</si>
  <si>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</si>
  <si>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</si>
  <si>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</si>
  <si>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</si>
  <si>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</si>
  <si>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</si>
  <si>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</si>
  <si>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</si>
  <si>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</si>
  <si>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</si>
  <si>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</si>
  <si>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</si>
  <si>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</si>
  <si>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</si>
  <si>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</si>
  <si>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</si>
  <si>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</si>
  <si>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</si>
  <si>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</si>
  <si>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</si>
  <si>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</si>
  <si>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</si>
  <si>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</si>
  <si>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</si>
  <si>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</si>
  <si>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</si>
  <si>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</si>
  <si>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</si>
  <si>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</si>
  <si>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</si>
  <si>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</si>
  <si>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</si>
  <si>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</si>
  <si>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</si>
  <si>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</si>
  <si>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</si>
  <si>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</si>
  <si>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</si>
  <si>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</si>
  <si>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</si>
  <si>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</si>
  <si>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</si>
  <si>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</si>
  <si>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</si>
  <si>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</si>
  <si>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</si>
  <si>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</si>
  <si>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</si>
  <si>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</si>
  <si>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</si>
  <si>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</si>
  <si>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</si>
  <si>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</si>
  <si>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</si>
  <si>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</si>
  <si>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</si>
  <si>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</si>
  <si>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</si>
  <si>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</si>
  <si>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</si>
  <si>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</si>
  <si>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</si>
  <si>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</si>
  <si>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</si>
  <si>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</si>
  <si>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</si>
  <si>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</si>
  <si>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</si>
  <si>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</si>
  <si>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</si>
  <si>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</si>
  <si>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</si>
  <si>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</si>
  <si>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</si>
  <si>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</si>
  <si>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</si>
  <si>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</si>
  <si>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</si>
  <si>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</si>
  <si>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</si>
  <si>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</si>
  <si>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</si>
  <si>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</si>
  <si>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</si>
  <si>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</si>
  <si>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</si>
  <si>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</si>
  <si>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</si>
  <si>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</si>
  <si>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</si>
  <si>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</si>
  <si>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</si>
  <si>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</si>
  <si>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</si>
  <si>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</si>
  <si>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</si>
  <si>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</si>
  <si>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</si>
  <si>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</si>
  <si>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</si>
  <si>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</si>
  <si>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</si>
  <si>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</si>
  <si>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</si>
  <si>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</si>
  <si>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</si>
  <si>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</si>
  <si>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</si>
  <si>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</si>
  <si>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</si>
  <si>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</si>
  <si>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</si>
  <si>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</si>
  <si>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</si>
  <si>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</si>
  <si>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</si>
  <si>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</si>
  <si>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</si>
  <si>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</si>
  <si>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</si>
  <si>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</si>
  <si>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</si>
  <si>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</si>
  <si>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</si>
  <si>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</si>
  <si>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</si>
  <si>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</si>
  <si>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</si>
  <si>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</si>
  <si>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</si>
  <si>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</si>
  <si>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</si>
  <si>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</si>
  <si>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</si>
  <si>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</si>
  <si>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</si>
  <si>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</si>
  <si>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</si>
  <si>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</si>
  <si>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</si>
  <si>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</si>
  <si>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</si>
  <si>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</si>
  <si>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</si>
  <si>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</si>
  <si>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</si>
  <si>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</si>
  <si>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</si>
  <si>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</si>
  <si>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</si>
  <si>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</si>
  <si>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</si>
  <si>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</si>
  <si>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</si>
  <si>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</si>
  <si>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</si>
  <si>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</si>
  <si>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</si>
  <si>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</si>
  <si>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</si>
  <si>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</si>
  <si>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</si>
  <si>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</si>
  <si>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</si>
  <si>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</si>
  <si>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</si>
  <si>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</si>
  <si>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</si>
  <si>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</si>
  <si>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</si>
  <si>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</si>
  <si>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</si>
  <si>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</si>
  <si>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</si>
  <si>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</si>
  <si>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</si>
  <si>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</si>
  <si>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</si>
  <si>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</si>
  <si>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</si>
  <si>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</si>
  <si>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</si>
  <si>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</si>
  <si>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</si>
  <si>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</si>
  <si>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</si>
  <si>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</si>
  <si>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</si>
  <si>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</si>
  <si>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</si>
  <si>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</si>
  <si>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</si>
  <si>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</si>
  <si>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</si>
  <si>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</si>
  <si>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</si>
  <si>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</si>
  <si>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</si>
  <si>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</si>
  <si>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</si>
  <si>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</si>
  <si>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</si>
  <si>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</si>
  <si>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</si>
  <si>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</si>
  <si>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</si>
  <si>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</si>
  <si>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</si>
  <si>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</si>
  <si>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</si>
  <si>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</si>
  <si>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</si>
  <si>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</si>
  <si>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</si>
  <si>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</si>
  <si>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</si>
  <si>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</si>
  <si>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</si>
  <si>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</si>
  <si>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</si>
  <si>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</si>
  <si>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</si>
  <si>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</si>
  <si>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</si>
  <si>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</si>
  <si>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</si>
  <si>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</si>
  <si>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</si>
  <si>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</si>
  <si>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</si>
  <si>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</si>
  <si>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</si>
  <si>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</si>
  <si>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</si>
  <si>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</si>
  <si>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</si>
  <si>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</si>
  <si>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</si>
  <si>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</si>
  <si>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</si>
  <si>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</si>
  <si>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</si>
  <si>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</si>
  <si>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</si>
  <si>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</si>
  <si>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</si>
  <si>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</si>
  <si>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</si>
  <si>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</si>
  <si>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</si>
  <si>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</si>
  <si>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</si>
  <si>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</si>
  <si>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</si>
  <si>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</si>
  <si>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</si>
  <si>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</si>
  <si>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</si>
  <si>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</si>
  <si>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</si>
  <si>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</si>
  <si>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</si>
  <si>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</si>
  <si>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</si>
  <si>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</si>
  <si>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</si>
  <si>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</si>
  <si>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</si>
  <si>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</si>
  <si>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</si>
  <si>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</si>
  <si>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</si>
  <si>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</si>
  <si>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</si>
  <si>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</si>
  <si>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</si>
  <si>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</si>
  <si>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</si>
  <si>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</si>
  <si>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</si>
  <si>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</si>
  <si>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</si>
  <si>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</si>
  <si>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</si>
  <si>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</si>
  <si>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</si>
  <si>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</si>
  <si>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</si>
  <si>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</si>
  <si>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</si>
  <si>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</si>
  <si>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</si>
  <si>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</si>
  <si>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</si>
  <si>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</si>
  <si>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</si>
  <si>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</si>
  <si>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</si>
  <si>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</si>
  <si>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</si>
  <si>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</si>
  <si>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</si>
  <si>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</si>
  <si>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</si>
  <si>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</si>
  <si>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</si>
  <si>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True_01</t>
  </si>
  <si>
    <t>True_02</t>
  </si>
  <si>
    <t>True_03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</si>
  <si>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</si>
  <si>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</si>
  <si>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</si>
  <si>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</si>
  <si>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</si>
  <si>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</si>
  <si>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</si>
  <si>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</si>
  <si>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</si>
  <si>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</si>
  <si>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</si>
  <si>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</si>
  <si>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</si>
  <si>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</si>
  <si>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</si>
  <si>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</si>
  <si>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</si>
  <si>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</si>
  <si>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</si>
  <si>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</si>
  <si>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</si>
  <si>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</si>
  <si>
    <t>ID_01</t>
  </si>
  <si>
    <t>PrevID_01</t>
  </si>
  <si>
    <t>NextID_01</t>
  </si>
  <si>
    <t>ID_02</t>
  </si>
  <si>
    <t>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</si>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</sst>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1.001002E8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48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49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50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51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52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53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54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55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56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57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64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65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49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66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67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68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69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70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71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75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76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2" t="s">
        <v>77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78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2" t="s">
        <v>17</v>
      </c>
      <c r="B33" s="12" t="s">
        <v>79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88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" t="s">
        <v>97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105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A50" s="1" t="s">
        <v>106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108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114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115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116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117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118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119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120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121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122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123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124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125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126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127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128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129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130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131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132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133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134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135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136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137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138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139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140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141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142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143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144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145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146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147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148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149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150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151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152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153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154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155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156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157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158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159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160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161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162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163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164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165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166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167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168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169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170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171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172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173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174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175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176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177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178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179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180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181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182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183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184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185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186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187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188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189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190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191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 ht="15.75" customHeight="1">
      <c r="U345" s="27"/>
      <c r="V345" s="27"/>
    </row>
    <row r="346" ht="15.75" customHeight="1">
      <c r="U346" s="27"/>
      <c r="V346" s="27"/>
    </row>
    <row r="347" ht="15.75" customHeight="1">
      <c r="U347" s="27"/>
      <c r="V347" s="27"/>
    </row>
    <row r="348" ht="15.75" customHeight="1">
      <c r="U348" s="27"/>
      <c r="V348" s="27"/>
    </row>
    <row r="349" ht="15.75" customHeight="1">
      <c r="U349" s="27"/>
      <c r="V349" s="27"/>
    </row>
    <row r="350" ht="15.75" customHeight="1">
      <c r="U350" s="27"/>
      <c r="V350" s="27"/>
    </row>
    <row r="351" ht="15.75" customHeight="1">
      <c r="U351" s="27"/>
      <c r="V351" s="27"/>
    </row>
    <row r="352" ht="15.75" customHeight="1">
      <c r="U352" s="27"/>
      <c r="V352" s="27"/>
    </row>
    <row r="353" ht="15.75" customHeight="1">
      <c r="U353" s="27"/>
      <c r="V353" s="27"/>
    </row>
    <row r="354" ht="15.75" customHeight="1">
      <c r="U354" s="27"/>
      <c r="V354" s="27"/>
    </row>
    <row r="355" ht="15.75" customHeight="1">
      <c r="U355" s="27"/>
      <c r="V355" s="27"/>
    </row>
    <row r="356" ht="15.75" customHeight="1">
      <c r="U356" s="27"/>
      <c r="V356" s="27"/>
    </row>
    <row r="357" ht="15.75" customHeight="1">
      <c r="U357" s="27"/>
      <c r="V357" s="27"/>
    </row>
    <row r="358" ht="15.75" customHeight="1">
      <c r="U358" s="27"/>
      <c r="V358" s="27"/>
    </row>
    <row r="359" ht="15.75" customHeight="1">
      <c r="U359" s="27"/>
      <c r="V359" s="27"/>
    </row>
    <row r="360" ht="15.75" customHeight="1">
      <c r="U360" s="27"/>
      <c r="V360" s="27"/>
    </row>
    <row r="361" ht="15.75" customHeight="1">
      <c r="U361" s="27"/>
      <c r="V361" s="27"/>
    </row>
    <row r="362" ht="15.75" customHeight="1">
      <c r="U362" s="27"/>
      <c r="V362" s="27"/>
    </row>
    <row r="363" ht="15.75" customHeight="1">
      <c r="U363" s="27"/>
      <c r="V363" s="27"/>
    </row>
    <row r="364" ht="15.75" customHeight="1">
      <c r="U364" s="27"/>
      <c r="V364" s="27"/>
    </row>
    <row r="365" ht="15.75" customHeight="1">
      <c r="U365" s="27"/>
      <c r="V365" s="27"/>
    </row>
    <row r="366" ht="15.75" customHeight="1">
      <c r="U366" s="27"/>
      <c r="V366" s="27"/>
    </row>
    <row r="367" ht="15.75" customHeight="1">
      <c r="U367" s="27"/>
      <c r="V367" s="27"/>
    </row>
    <row r="368" ht="15.75" customHeight="1">
      <c r="U368" s="27"/>
      <c r="V368" s="27"/>
    </row>
    <row r="369" ht="15.75" customHeight="1">
      <c r="U369" s="27"/>
      <c r="V369" s="27"/>
    </row>
    <row r="370" ht="15.75" customHeight="1">
      <c r="U370" s="27"/>
      <c r="V370" s="27"/>
    </row>
    <row r="371" ht="15.75" customHeight="1">
      <c r="U371" s="27"/>
      <c r="V371" s="27"/>
    </row>
    <row r="372" ht="15.75" customHeight="1">
      <c r="U372" s="27"/>
      <c r="V372" s="27"/>
    </row>
    <row r="373" ht="15.75" customHeight="1">
      <c r="U373" s="27"/>
      <c r="V373" s="27"/>
    </row>
    <row r="374" ht="15.75" customHeight="1">
      <c r="U374" s="27"/>
      <c r="V374" s="27"/>
    </row>
    <row r="375" ht="15.75" customHeight="1">
      <c r="U375" s="27"/>
      <c r="V375" s="27"/>
    </row>
    <row r="376" ht="15.75" customHeight="1">
      <c r="U376" s="27"/>
      <c r="V376" s="27"/>
    </row>
    <row r="377" ht="15.75" customHeight="1">
      <c r="U377" s="27"/>
      <c r="V377" s="27"/>
    </row>
    <row r="378" ht="15.75" customHeight="1">
      <c r="U378" s="27"/>
      <c r="V378" s="27"/>
    </row>
    <row r="379" ht="15.75" customHeight="1">
      <c r="U379" s="27"/>
      <c r="V379" s="27"/>
    </row>
    <row r="380" ht="15.75" customHeight="1">
      <c r="U380" s="27"/>
      <c r="V380" s="27"/>
    </row>
    <row r="381" ht="15.75" customHeight="1">
      <c r="U381" s="27"/>
      <c r="V381" s="27"/>
    </row>
    <row r="382" ht="15.75" customHeight="1">
      <c r="U382" s="27"/>
      <c r="V382" s="27"/>
    </row>
    <row r="383" ht="15.75" customHeight="1">
      <c r="U383" s="27"/>
      <c r="V383" s="27"/>
    </row>
    <row r="384" ht="15.75" customHeight="1">
      <c r="U384" s="27"/>
      <c r="V384" s="27"/>
    </row>
    <row r="385" ht="15.75" customHeight="1">
      <c r="U385" s="27"/>
      <c r="V385" s="27"/>
    </row>
    <row r="386" ht="15.75" customHeight="1">
      <c r="U386" s="27"/>
      <c r="V386" s="27"/>
    </row>
    <row r="387" ht="15.75" customHeight="1">
      <c r="U387" s="27"/>
      <c r="V387" s="27"/>
    </row>
    <row r="388" ht="15.75" customHeight="1">
      <c r="U388" s="27"/>
      <c r="V388" s="27"/>
    </row>
    <row r="389" ht="15.75" customHeight="1">
      <c r="U389" s="27"/>
      <c r="V389" s="27"/>
    </row>
    <row r="390" ht="15.75" customHeight="1">
      <c r="U390" s="27"/>
      <c r="V390" s="27"/>
    </row>
    <row r="391" ht="15.75" customHeight="1">
      <c r="U391" s="27"/>
      <c r="V391" s="27"/>
    </row>
    <row r="392" ht="15.75" customHeight="1">
      <c r="U392" s="27"/>
      <c r="V392" s="27"/>
    </row>
    <row r="393" ht="15.75" customHeight="1">
      <c r="U393" s="27"/>
      <c r="V393" s="27"/>
    </row>
    <row r="394" ht="15.75" customHeight="1">
      <c r="U394" s="27"/>
      <c r="V394" s="27"/>
    </row>
    <row r="395" ht="15.75" customHeight="1">
      <c r="U395" s="27"/>
      <c r="V395" s="27"/>
    </row>
    <row r="396" ht="15.75" customHeight="1">
      <c r="U396" s="27"/>
      <c r="V396" s="27"/>
    </row>
    <row r="397" ht="15.75" customHeight="1">
      <c r="U397" s="27"/>
      <c r="V397" s="27"/>
    </row>
    <row r="398" ht="15.75" customHeight="1">
      <c r="U398" s="27"/>
      <c r="V398" s="27"/>
    </row>
    <row r="399" ht="15.75" customHeight="1">
      <c r="U399" s="27"/>
      <c r="V399" s="27"/>
    </row>
    <row r="400" ht="15.75" customHeight="1">
      <c r="U400" s="27"/>
      <c r="V400" s="27"/>
    </row>
    <row r="401" ht="15.75" customHeight="1">
      <c r="U401" s="27"/>
      <c r="V401" s="27"/>
    </row>
    <row r="402" ht="15.75" customHeight="1">
      <c r="U402" s="27"/>
      <c r="V402" s="27"/>
    </row>
    <row r="403" ht="15.75" customHeight="1">
      <c r="U403" s="27"/>
      <c r="V403" s="27"/>
    </row>
    <row r="404" ht="15.75" customHeight="1">
      <c r="U404" s="27"/>
      <c r="V404" s="27"/>
    </row>
    <row r="405" ht="15.75" customHeight="1">
      <c r="U405" s="27"/>
      <c r="V405" s="27"/>
    </row>
    <row r="406" ht="15.75" customHeight="1">
      <c r="U406" s="27"/>
      <c r="V406" s="27"/>
    </row>
    <row r="407" ht="15.75" customHeight="1">
      <c r="U407" s="27"/>
      <c r="V407" s="27"/>
    </row>
    <row r="408" ht="15.75" customHeight="1">
      <c r="U408" s="27"/>
      <c r="V408" s="27"/>
    </row>
    <row r="409" ht="15.75" customHeight="1">
      <c r="U409" s="27"/>
      <c r="V409" s="27"/>
    </row>
    <row r="410" ht="15.75" customHeight="1">
      <c r="U410" s="27"/>
      <c r="V410" s="27"/>
    </row>
    <row r="411" ht="15.75" customHeight="1">
      <c r="U411" s="27"/>
      <c r="V411" s="27"/>
    </row>
    <row r="412" ht="15.75" customHeight="1">
      <c r="U412" s="27"/>
      <c r="V412" s="27"/>
    </row>
    <row r="413" ht="15.75" customHeight="1">
      <c r="U413" s="27"/>
      <c r="V413" s="27"/>
    </row>
    <row r="414" ht="15.75" customHeight="1">
      <c r="U414" s="27"/>
      <c r="V414" s="27"/>
    </row>
    <row r="415" ht="15.75" customHeight="1">
      <c r="U415" s="27"/>
      <c r="V415" s="27"/>
    </row>
    <row r="416" ht="15.75" customHeight="1">
      <c r="U416" s="27"/>
      <c r="V416" s="27"/>
    </row>
    <row r="417" ht="15.75" customHeight="1">
      <c r="U417" s="27"/>
      <c r="V417" s="27"/>
    </row>
    <row r="418" ht="15.75" customHeight="1">
      <c r="U418" s="27"/>
      <c r="V418" s="27"/>
    </row>
    <row r="419" ht="15.75" customHeight="1">
      <c r="U419" s="27"/>
      <c r="V419" s="27"/>
    </row>
    <row r="420" ht="15.75" customHeight="1">
      <c r="U420" s="27"/>
      <c r="V420" s="27"/>
    </row>
    <row r="421" ht="15.75" customHeight="1">
      <c r="U421" s="27"/>
      <c r="V421" s="27"/>
    </row>
    <row r="422" ht="15.75" customHeight="1">
      <c r="U422" s="27"/>
      <c r="V422" s="27"/>
    </row>
    <row r="423" ht="15.75" customHeight="1">
      <c r="U423" s="27"/>
      <c r="V423" s="27"/>
    </row>
    <row r="424" ht="15.75" customHeight="1">
      <c r="U424" s="27"/>
      <c r="V424" s="27"/>
    </row>
    <row r="425" ht="15.75" customHeight="1">
      <c r="U425" s="27"/>
      <c r="V425" s="27"/>
    </row>
    <row r="426" ht="15.75" customHeight="1">
      <c r="U426" s="27"/>
      <c r="V426" s="27"/>
    </row>
    <row r="427" ht="15.75" customHeight="1">
      <c r="U427" s="27"/>
      <c r="V427" s="27"/>
    </row>
    <row r="428" ht="15.75" customHeight="1">
      <c r="U428" s="27"/>
      <c r="V428" s="27"/>
    </row>
    <row r="429" ht="15.75" customHeight="1">
      <c r="U429" s="27"/>
      <c r="V429" s="27"/>
    </row>
    <row r="430" ht="15.75" customHeight="1">
      <c r="U430" s="27"/>
      <c r="V430" s="27"/>
    </row>
    <row r="431" ht="15.75" customHeight="1">
      <c r="U431" s="27"/>
      <c r="V431" s="27"/>
    </row>
    <row r="432" ht="15.75" customHeight="1">
      <c r="U432" s="27"/>
      <c r="V432" s="27"/>
    </row>
    <row r="433" ht="15.75" customHeight="1">
      <c r="U433" s="27"/>
      <c r="V433" s="27"/>
    </row>
    <row r="434" ht="15.75" customHeight="1">
      <c r="U434" s="27"/>
      <c r="V434" s="27"/>
    </row>
    <row r="435" ht="15.75" customHeight="1">
      <c r="U435" s="27"/>
      <c r="V435" s="27"/>
    </row>
    <row r="436" ht="15.75" customHeight="1">
      <c r="U436" s="27"/>
      <c r="V436" s="27"/>
    </row>
    <row r="437" ht="15.75" customHeight="1">
      <c r="U437" s="27"/>
      <c r="V437" s="27"/>
    </row>
    <row r="438" ht="15.75" customHeight="1">
      <c r="U438" s="27"/>
      <c r="V438" s="27"/>
    </row>
    <row r="439" ht="15.75" customHeight="1">
      <c r="U439" s="27"/>
      <c r="V439" s="27"/>
    </row>
    <row r="440" ht="15.75" customHeight="1">
      <c r="U440" s="27"/>
      <c r="V440" s="27"/>
    </row>
    <row r="441" ht="15.75" customHeight="1">
      <c r="U441" s="27"/>
      <c r="V441" s="27"/>
    </row>
    <row r="442" ht="15.75" customHeight="1">
      <c r="U442" s="27"/>
      <c r="V442" s="27"/>
    </row>
    <row r="443" ht="15.75" customHeight="1">
      <c r="U443" s="27"/>
      <c r="V443" s="27"/>
    </row>
    <row r="444" ht="15.75" customHeight="1">
      <c r="U444" s="27"/>
      <c r="V444" s="27"/>
    </row>
    <row r="445" ht="15.75" customHeight="1">
      <c r="U445" s="27"/>
      <c r="V445" s="27"/>
    </row>
    <row r="446" ht="15.75" customHeight="1">
      <c r="U446" s="27"/>
      <c r="V446" s="27"/>
    </row>
    <row r="447" ht="15.75" customHeight="1">
      <c r="U447" s="27"/>
      <c r="V447" s="27"/>
    </row>
    <row r="448" ht="15.75" customHeight="1">
      <c r="U448" s="27"/>
      <c r="V448" s="27"/>
    </row>
    <row r="449" ht="15.75" customHeight="1">
      <c r="U449" s="27"/>
      <c r="V449" s="27"/>
    </row>
    <row r="450" ht="15.75" customHeight="1">
      <c r="U450" s="27"/>
      <c r="V450" s="27"/>
    </row>
    <row r="451" ht="15.75" customHeight="1">
      <c r="U451" s="27"/>
      <c r="V451" s="27"/>
    </row>
    <row r="452" ht="15.75" customHeight="1">
      <c r="U452" s="27"/>
      <c r="V452" s="27"/>
    </row>
    <row r="453" ht="15.75" customHeight="1">
      <c r="U453" s="27"/>
      <c r="V453" s="27"/>
    </row>
    <row r="454" ht="15.75" customHeight="1">
      <c r="U454" s="27"/>
      <c r="V454" s="27"/>
    </row>
    <row r="455" ht="15.75" customHeight="1">
      <c r="U455" s="27"/>
      <c r="V455" s="27"/>
    </row>
    <row r="456" ht="15.75" customHeight="1">
      <c r="U456" s="27"/>
      <c r="V456" s="27"/>
    </row>
    <row r="457" ht="15.75" customHeight="1">
      <c r="U457" s="27"/>
      <c r="V457" s="27"/>
    </row>
    <row r="458" ht="15.75" customHeight="1">
      <c r="U458" s="27"/>
      <c r="V458" s="27"/>
    </row>
    <row r="459" ht="15.75" customHeight="1">
      <c r="U459" s="27"/>
      <c r="V459" s="27"/>
    </row>
    <row r="460" ht="15.75" customHeight="1">
      <c r="U460" s="27"/>
      <c r="V460" s="27"/>
    </row>
    <row r="461" ht="15.75" customHeight="1">
      <c r="U461" s="27"/>
      <c r="V461" s="27"/>
    </row>
    <row r="462" ht="15.75" customHeight="1">
      <c r="U462" s="27"/>
      <c r="V462" s="27"/>
    </row>
    <row r="463" ht="15.75" customHeight="1">
      <c r="U463" s="27"/>
      <c r="V463" s="27"/>
    </row>
    <row r="464" ht="15.75" customHeight="1">
      <c r="U464" s="27"/>
      <c r="V464" s="27"/>
    </row>
    <row r="465" ht="15.75" customHeight="1">
      <c r="U465" s="27"/>
      <c r="V465" s="27"/>
    </row>
    <row r="466" ht="15.75" customHeight="1">
      <c r="U466" s="27"/>
      <c r="V466" s="27"/>
    </row>
    <row r="467" ht="15.75" customHeight="1">
      <c r="U467" s="27"/>
      <c r="V467" s="27"/>
    </row>
    <row r="468" ht="15.75" customHeight="1">
      <c r="U468" s="27"/>
      <c r="V468" s="27"/>
    </row>
    <row r="469" ht="15.75" customHeight="1">
      <c r="U469" s="27"/>
      <c r="V469" s="27"/>
    </row>
    <row r="470" ht="15.75" customHeight="1">
      <c r="U470" s="27"/>
      <c r="V470" s="27"/>
    </row>
    <row r="471" ht="15.75" customHeight="1">
      <c r="U471" s="27"/>
      <c r="V471" s="27"/>
    </row>
    <row r="472" ht="15.75" customHeight="1">
      <c r="U472" s="27"/>
      <c r="V472" s="27"/>
    </row>
    <row r="473" ht="15.75" customHeight="1">
      <c r="U473" s="27"/>
      <c r="V473" s="27"/>
    </row>
    <row r="474" ht="15.75" customHeight="1">
      <c r="U474" s="27"/>
      <c r="V474" s="27"/>
    </row>
    <row r="475" ht="15.75" customHeight="1">
      <c r="U475" s="27"/>
      <c r="V475" s="27"/>
    </row>
    <row r="476" ht="15.75" customHeight="1">
      <c r="U476" s="27"/>
      <c r="V476" s="27"/>
    </row>
    <row r="477" ht="15.75" customHeight="1">
      <c r="U477" s="27"/>
      <c r="V477" s="27"/>
    </row>
    <row r="478" ht="15.75" customHeight="1">
      <c r="U478" s="27"/>
      <c r="V478" s="27"/>
    </row>
    <row r="479" ht="15.75" customHeight="1">
      <c r="U479" s="27"/>
      <c r="V479" s="27"/>
    </row>
    <row r="480" ht="15.75" customHeight="1">
      <c r="U480" s="27"/>
      <c r="V480" s="27"/>
    </row>
    <row r="481" ht="15.75" customHeight="1">
      <c r="U481" s="27"/>
      <c r="V481" s="27"/>
    </row>
    <row r="482" ht="15.75" customHeight="1">
      <c r="U482" s="27"/>
      <c r="V482" s="27"/>
    </row>
    <row r="483" ht="15.75" customHeight="1">
      <c r="U483" s="27"/>
      <c r="V483" s="27"/>
    </row>
    <row r="484" ht="15.75" customHeight="1">
      <c r="U484" s="27"/>
      <c r="V484" s="27"/>
    </row>
    <row r="485" ht="15.75" customHeight="1">
      <c r="U485" s="27"/>
      <c r="V485" s="27"/>
    </row>
    <row r="486" ht="15.75" customHeight="1">
      <c r="U486" s="27"/>
      <c r="V486" s="27"/>
    </row>
    <row r="487" ht="15.75" customHeight="1">
      <c r="U487" s="27"/>
      <c r="V487" s="27"/>
    </row>
    <row r="488" ht="15.75" customHeight="1">
      <c r="U488" s="27"/>
      <c r="V488" s="27"/>
    </row>
    <row r="489" ht="15.75" customHeight="1">
      <c r="U489" s="27"/>
      <c r="V489" s="27"/>
    </row>
    <row r="490" ht="15.75" customHeight="1">
      <c r="U490" s="27"/>
      <c r="V490" s="27"/>
    </row>
    <row r="491" ht="15.75" customHeight="1">
      <c r="U491" s="27"/>
      <c r="V491" s="27"/>
    </row>
    <row r="492" ht="15.75" customHeight="1">
      <c r="U492" s="27"/>
      <c r="V492" s="27"/>
    </row>
    <row r="493" ht="15.75" customHeight="1">
      <c r="U493" s="27"/>
      <c r="V493" s="27"/>
    </row>
    <row r="494" ht="15.75" customHeight="1">
      <c r="U494" s="27"/>
      <c r="V494" s="27"/>
    </row>
    <row r="495" ht="15.75" customHeight="1">
      <c r="U495" s="27"/>
      <c r="V495" s="27"/>
    </row>
    <row r="496" ht="15.75" customHeight="1">
      <c r="U496" s="27"/>
      <c r="V496" s="27"/>
    </row>
    <row r="497" ht="15.75" customHeight="1">
      <c r="U497" s="27"/>
      <c r="V497" s="27"/>
    </row>
    <row r="498" ht="15.75" customHeight="1">
      <c r="U498" s="27"/>
      <c r="V498" s="27"/>
    </row>
    <row r="499" ht="15.75" customHeight="1">
      <c r="U499" s="27"/>
      <c r="V499" s="27"/>
    </row>
    <row r="500" ht="15.75" customHeight="1">
      <c r="U500" s="27"/>
      <c r="V500" s="27"/>
    </row>
    <row r="501" ht="15.75" customHeight="1">
      <c r="U501" s="27"/>
      <c r="V501" s="27"/>
    </row>
    <row r="502" ht="15.75" customHeight="1">
      <c r="U502" s="27"/>
      <c r="V502" s="27"/>
    </row>
    <row r="503" ht="15.75" customHeight="1">
      <c r="U503" s="27"/>
      <c r="V503" s="27"/>
    </row>
    <row r="504" ht="15.75" customHeight="1">
      <c r="U504" s="27"/>
      <c r="V504" s="27"/>
    </row>
    <row r="505" ht="15.75" customHeight="1">
      <c r="U505" s="27"/>
      <c r="V505" s="27"/>
    </row>
    <row r="506" ht="15.75" customHeight="1">
      <c r="U506" s="27"/>
      <c r="V506" s="27"/>
    </row>
    <row r="507" ht="15.75" customHeight="1">
      <c r="U507" s="27"/>
      <c r="V507" s="27"/>
    </row>
    <row r="508" ht="15.75" customHeight="1">
      <c r="U508" s="27"/>
      <c r="V508" s="27"/>
    </row>
    <row r="509" ht="15.75" customHeight="1">
      <c r="U509" s="27"/>
      <c r="V509" s="27"/>
    </row>
    <row r="510" ht="15.75" customHeight="1">
      <c r="U510" s="27"/>
      <c r="V510" s="27"/>
    </row>
    <row r="511" ht="15.75" customHeight="1">
      <c r="U511" s="27"/>
      <c r="V511" s="27"/>
    </row>
    <row r="512" ht="15.75" customHeight="1">
      <c r="U512" s="27"/>
      <c r="V512" s="27"/>
    </row>
    <row r="513" ht="15.75" customHeight="1">
      <c r="U513" s="27"/>
      <c r="V513" s="27"/>
    </row>
    <row r="514" ht="15.75" customHeight="1">
      <c r="U514" s="27"/>
      <c r="V514" s="27"/>
    </row>
    <row r="515" ht="15.75" customHeight="1">
      <c r="U515" s="27"/>
      <c r="V515" s="27"/>
    </row>
    <row r="516" ht="15.75" customHeight="1">
      <c r="U516" s="27"/>
      <c r="V516" s="27"/>
    </row>
    <row r="517" ht="15.75" customHeight="1">
      <c r="U517" s="27"/>
      <c r="V517" s="27"/>
    </row>
    <row r="518" ht="15.75" customHeight="1">
      <c r="U518" s="27"/>
      <c r="V518" s="27"/>
    </row>
    <row r="519" ht="15.75" customHeight="1">
      <c r="U519" s="27"/>
      <c r="V519" s="27"/>
    </row>
    <row r="520" ht="15.75" customHeight="1">
      <c r="U520" s="27"/>
      <c r="V520" s="27"/>
    </row>
    <row r="521" ht="15.75" customHeight="1">
      <c r="U521" s="27"/>
      <c r="V521" s="27"/>
    </row>
    <row r="522" ht="15.75" customHeight="1">
      <c r="U522" s="27"/>
      <c r="V522" s="27"/>
    </row>
    <row r="523" ht="15.75" customHeight="1">
      <c r="U523" s="27"/>
      <c r="V523" s="27"/>
    </row>
    <row r="524" ht="15.75" customHeight="1">
      <c r="U524" s="27"/>
      <c r="V524" s="27"/>
    </row>
    <row r="525" ht="15.75" customHeight="1">
      <c r="U525" s="27"/>
      <c r="V525" s="27"/>
    </row>
    <row r="526" ht="15.75" customHeight="1">
      <c r="U526" s="27"/>
      <c r="V526" s="27"/>
    </row>
    <row r="527" ht="15.75" customHeight="1">
      <c r="U527" s="27"/>
      <c r="V527" s="27"/>
    </row>
    <row r="528" ht="15.75" customHeight="1">
      <c r="U528" s="27"/>
      <c r="V528" s="27"/>
    </row>
    <row r="529" ht="15.75" customHeight="1">
      <c r="U529" s="27"/>
      <c r="V529" s="27"/>
    </row>
    <row r="530" ht="15.75" customHeight="1">
      <c r="U530" s="27"/>
      <c r="V530" s="27"/>
    </row>
    <row r="531" ht="15.75" customHeight="1">
      <c r="U531" s="27"/>
      <c r="V531" s="27"/>
    </row>
    <row r="532" ht="15.75" customHeight="1">
      <c r="U532" s="27"/>
      <c r="V532" s="27"/>
    </row>
    <row r="533" ht="15.75" customHeight="1">
      <c r="U533" s="27"/>
      <c r="V533" s="27"/>
    </row>
    <row r="534" ht="15.75" customHeight="1">
      <c r="U534" s="27"/>
      <c r="V534" s="27"/>
    </row>
    <row r="535" ht="15.75" customHeight="1">
      <c r="U535" s="27"/>
      <c r="V535" s="27"/>
    </row>
    <row r="536" ht="15.75" customHeight="1">
      <c r="U536" s="27"/>
      <c r="V536" s="27"/>
    </row>
    <row r="537" ht="15.75" customHeight="1">
      <c r="U537" s="27"/>
      <c r="V537" s="27"/>
    </row>
    <row r="538" ht="15.75" customHeight="1">
      <c r="U538" s="27"/>
      <c r="V538" s="27"/>
    </row>
    <row r="539" ht="15.75" customHeight="1">
      <c r="U539" s="27"/>
      <c r="V539" s="27"/>
    </row>
    <row r="540" ht="15.75" customHeight="1">
      <c r="U540" s="27"/>
      <c r="V540" s="27"/>
    </row>
    <row r="541" ht="15.75" customHeight="1">
      <c r="U541" s="27"/>
      <c r="V541" s="27"/>
    </row>
    <row r="542" ht="15.75" customHeight="1">
      <c r="U542" s="27"/>
      <c r="V542" s="27"/>
    </row>
    <row r="543" ht="15.75" customHeight="1">
      <c r="U543" s="27"/>
      <c r="V543" s="27"/>
    </row>
    <row r="544" ht="15.75" customHeight="1">
      <c r="U544" s="27"/>
      <c r="V544" s="27"/>
    </row>
    <row r="545" ht="15.75" customHeight="1">
      <c r="U545" s="27"/>
      <c r="V545" s="27"/>
    </row>
    <row r="546" ht="15.75" customHeight="1">
      <c r="U546" s="27"/>
      <c r="V546" s="27"/>
    </row>
    <row r="547" ht="15.75" customHeight="1">
      <c r="U547" s="27"/>
      <c r="V547" s="27"/>
    </row>
    <row r="548" ht="15.75" customHeight="1">
      <c r="U548" s="27"/>
      <c r="V548" s="27"/>
    </row>
    <row r="549" ht="15.75" customHeight="1">
      <c r="U549" s="27"/>
      <c r="V549" s="27"/>
    </row>
    <row r="550" ht="15.75" customHeight="1">
      <c r="U550" s="27"/>
      <c r="V550" s="27"/>
    </row>
    <row r="551" ht="15.75" customHeight="1">
      <c r="U551" s="27"/>
      <c r="V551" s="27"/>
    </row>
    <row r="552" ht="15.75" customHeight="1">
      <c r="U552" s="27"/>
      <c r="V552" s="27"/>
    </row>
    <row r="553" ht="15.75" customHeight="1">
      <c r="U553" s="27"/>
      <c r="V553" s="27"/>
    </row>
    <row r="554" ht="15.75" customHeight="1">
      <c r="U554" s="27"/>
      <c r="V554" s="27"/>
    </row>
    <row r="555" ht="15.75" customHeight="1">
      <c r="U555" s="27"/>
      <c r="V555" s="27"/>
    </row>
    <row r="556" ht="15.75" customHeight="1">
      <c r="U556" s="27"/>
      <c r="V556" s="27"/>
    </row>
    <row r="557" ht="15.75" customHeight="1">
      <c r="U557" s="27"/>
      <c r="V557" s="27"/>
    </row>
    <row r="558" ht="15.75" customHeight="1">
      <c r="U558" s="27"/>
      <c r="V558" s="27"/>
    </row>
    <row r="559" ht="15.75" customHeight="1">
      <c r="U559" s="27"/>
      <c r="V559" s="27"/>
    </row>
    <row r="560" ht="15.75" customHeight="1">
      <c r="U560" s="27"/>
      <c r="V560" s="27"/>
    </row>
    <row r="561" ht="15.75" customHeight="1">
      <c r="U561" s="27"/>
      <c r="V561" s="27"/>
    </row>
    <row r="562" ht="15.75" customHeight="1">
      <c r="U562" s="27"/>
      <c r="V562" s="27"/>
    </row>
    <row r="563" ht="15.75" customHeight="1">
      <c r="U563" s="27"/>
      <c r="V563" s="27"/>
    </row>
    <row r="564" ht="15.75" customHeight="1">
      <c r="U564" s="27"/>
      <c r="V564" s="27"/>
    </row>
    <row r="565" ht="15.75" customHeight="1">
      <c r="U565" s="27"/>
      <c r="V565" s="27"/>
    </row>
    <row r="566" ht="15.75" customHeight="1">
      <c r="U566" s="27"/>
      <c r="V566" s="27"/>
    </row>
    <row r="567" ht="15.75" customHeight="1">
      <c r="U567" s="27"/>
      <c r="V567" s="27"/>
    </row>
    <row r="568" ht="15.75" customHeight="1">
      <c r="U568" s="27"/>
      <c r="V568" s="27"/>
    </row>
    <row r="569" ht="15.75" customHeight="1">
      <c r="U569" s="27"/>
      <c r="V569" s="27"/>
    </row>
    <row r="570" ht="15.75" customHeight="1">
      <c r="U570" s="27"/>
      <c r="V570" s="27"/>
    </row>
    <row r="571" ht="15.75" customHeight="1">
      <c r="U571" s="27"/>
      <c r="V571" s="27"/>
    </row>
    <row r="572" ht="15.75" customHeight="1">
      <c r="U572" s="27"/>
      <c r="V572" s="27"/>
    </row>
    <row r="573" ht="15.75" customHeight="1">
      <c r="U573" s="27"/>
      <c r="V573" s="27"/>
    </row>
    <row r="574" ht="15.75" customHeight="1">
      <c r="U574" s="27"/>
      <c r="V574" s="27"/>
    </row>
    <row r="575" ht="15.75" customHeight="1">
      <c r="U575" s="27"/>
      <c r="V575" s="27"/>
    </row>
    <row r="576" ht="15.75" customHeight="1">
      <c r="U576" s="27"/>
      <c r="V576" s="27"/>
    </row>
    <row r="577" ht="15.75" customHeight="1">
      <c r="U577" s="27"/>
      <c r="V577" s="27"/>
    </row>
    <row r="578" ht="15.75" customHeight="1">
      <c r="U578" s="27"/>
      <c r="V578" s="27"/>
    </row>
    <row r="579" ht="15.75" customHeight="1">
      <c r="U579" s="27"/>
      <c r="V579" s="27"/>
    </row>
    <row r="580" ht="15.75" customHeight="1">
      <c r="U580" s="27"/>
      <c r="V580" s="27"/>
    </row>
    <row r="581" ht="15.75" customHeight="1">
      <c r="U581" s="27"/>
      <c r="V581" s="27"/>
    </row>
    <row r="582" ht="15.75" customHeight="1">
      <c r="U582" s="27"/>
      <c r="V582" s="27"/>
    </row>
    <row r="583" ht="15.75" customHeight="1">
      <c r="U583" s="27"/>
      <c r="V583" s="27"/>
    </row>
    <row r="584" ht="15.75" customHeight="1">
      <c r="U584" s="27"/>
      <c r="V584" s="27"/>
    </row>
    <row r="585" ht="15.75" customHeight="1">
      <c r="U585" s="27"/>
      <c r="V585" s="27"/>
    </row>
    <row r="586" ht="15.75" customHeight="1">
      <c r="U586" s="27"/>
      <c r="V586" s="27"/>
    </row>
    <row r="587" ht="15.75" customHeight="1">
      <c r="U587" s="27"/>
      <c r="V587" s="27"/>
    </row>
    <row r="588" ht="15.75" customHeight="1">
      <c r="U588" s="27"/>
      <c r="V588" s="27"/>
    </row>
    <row r="589" ht="15.75" customHeight="1">
      <c r="U589" s="27"/>
      <c r="V589" s="27"/>
    </row>
    <row r="590" ht="15.75" customHeight="1">
      <c r="U590" s="27"/>
      <c r="V590" s="27"/>
    </row>
    <row r="591" ht="15.75" customHeight="1">
      <c r="U591" s="27"/>
      <c r="V591" s="27"/>
    </row>
    <row r="592" ht="15.75" customHeight="1">
      <c r="U592" s="27"/>
      <c r="V592" s="27"/>
    </row>
    <row r="593" ht="15.75" customHeight="1">
      <c r="U593" s="27"/>
      <c r="V593" s="27"/>
    </row>
    <row r="594" ht="15.75" customHeight="1">
      <c r="U594" s="27"/>
      <c r="V594" s="27"/>
    </row>
    <row r="595" ht="15.75" customHeight="1">
      <c r="U595" s="27"/>
      <c r="V595" s="27"/>
    </row>
    <row r="596" ht="15.75" customHeight="1">
      <c r="U596" s="27"/>
      <c r="V596" s="27"/>
    </row>
    <row r="597" ht="15.75" customHeight="1">
      <c r="U597" s="27"/>
      <c r="V597" s="27"/>
    </row>
    <row r="598" ht="15.75" customHeight="1">
      <c r="U598" s="27"/>
      <c r="V598" s="27"/>
    </row>
    <row r="599" ht="15.75" customHeight="1">
      <c r="U599" s="27"/>
      <c r="V599" s="27"/>
    </row>
    <row r="600" ht="15.75" customHeight="1">
      <c r="U600" s="27"/>
      <c r="V600" s="27"/>
    </row>
    <row r="601" ht="15.75" customHeight="1">
      <c r="U601" s="27"/>
      <c r="V601" s="27"/>
    </row>
    <row r="602" ht="15.75" customHeight="1">
      <c r="U602" s="27"/>
      <c r="V602" s="27"/>
    </row>
    <row r="603" ht="15.75" customHeight="1">
      <c r="U603" s="27"/>
      <c r="V603" s="27"/>
    </row>
    <row r="604" ht="15.75" customHeight="1">
      <c r="U604" s="27"/>
      <c r="V604" s="27"/>
    </row>
    <row r="605" ht="15.75" customHeight="1">
      <c r="U605" s="27"/>
      <c r="V605" s="27"/>
    </row>
    <row r="606" ht="15.75" customHeight="1">
      <c r="U606" s="27"/>
      <c r="V606" s="27"/>
    </row>
    <row r="607" ht="15.75" customHeight="1">
      <c r="U607" s="27"/>
      <c r="V607" s="27"/>
    </row>
    <row r="608" ht="15.75" customHeight="1">
      <c r="U608" s="27"/>
      <c r="V608" s="27"/>
    </row>
    <row r="609" ht="15.75" customHeight="1">
      <c r="U609" s="27"/>
      <c r="V609" s="27"/>
    </row>
    <row r="610" ht="15.75" customHeight="1">
      <c r="U610" s="27"/>
      <c r="V610" s="27"/>
    </row>
    <row r="611" ht="15.75" customHeight="1">
      <c r="U611" s="27"/>
      <c r="V611" s="27"/>
    </row>
    <row r="612" ht="15.75" customHeight="1">
      <c r="U612" s="27"/>
      <c r="V612" s="27"/>
    </row>
    <row r="613" ht="15.75" customHeight="1">
      <c r="U613" s="27"/>
      <c r="V613" s="27"/>
    </row>
    <row r="614" ht="15.75" customHeight="1">
      <c r="U614" s="27"/>
      <c r="V614" s="27"/>
    </row>
    <row r="615" ht="15.75" customHeight="1">
      <c r="U615" s="27"/>
      <c r="V615" s="27"/>
    </row>
    <row r="616" ht="15.75" customHeight="1">
      <c r="U616" s="27"/>
      <c r="V616" s="27"/>
    </row>
    <row r="617" ht="15.75" customHeight="1">
      <c r="U617" s="27"/>
      <c r="V617" s="27"/>
    </row>
    <row r="618" ht="15.75" customHeight="1">
      <c r="U618" s="27"/>
      <c r="V618" s="27"/>
    </row>
    <row r="619" ht="15.75" customHeight="1">
      <c r="U619" s="27"/>
      <c r="V619" s="27"/>
    </row>
    <row r="620" ht="15.75" customHeight="1">
      <c r="U620" s="27"/>
      <c r="V620" s="27"/>
    </row>
    <row r="621" ht="15.75" customHeight="1">
      <c r="U621" s="27"/>
      <c r="V621" s="27"/>
    </row>
    <row r="622" ht="15.75" customHeight="1">
      <c r="U622" s="27"/>
      <c r="V622" s="27"/>
    </row>
    <row r="623" ht="15.75" customHeight="1">
      <c r="U623" s="27"/>
      <c r="V623" s="27"/>
    </row>
    <row r="624" ht="15.75" customHeight="1">
      <c r="U624" s="27"/>
      <c r="V624" s="27"/>
    </row>
    <row r="625" ht="15.75" customHeight="1">
      <c r="U625" s="27"/>
      <c r="V625" s="27"/>
    </row>
    <row r="626" ht="15.75" customHeight="1">
      <c r="U626" s="27"/>
      <c r="V626" s="27"/>
    </row>
    <row r="627" ht="15.75" customHeight="1">
      <c r="U627" s="27"/>
      <c r="V627" s="27"/>
    </row>
    <row r="628" ht="15.75" customHeight="1">
      <c r="U628" s="27"/>
      <c r="V628" s="27"/>
    </row>
    <row r="629" ht="15.75" customHeight="1">
      <c r="U629" s="27"/>
      <c r="V629" s="27"/>
    </row>
    <row r="630" ht="15.75" customHeight="1">
      <c r="U630" s="27"/>
      <c r="V630" s="27"/>
    </row>
    <row r="631" ht="15.75" customHeight="1">
      <c r="U631" s="27"/>
      <c r="V631" s="27"/>
    </row>
    <row r="632" ht="15.75" customHeight="1">
      <c r="U632" s="27"/>
      <c r="V632" s="27"/>
    </row>
    <row r="633" ht="15.75" customHeight="1">
      <c r="U633" s="27"/>
      <c r="V633" s="27"/>
    </row>
    <row r="634" ht="15.75" customHeight="1">
      <c r="U634" s="27"/>
      <c r="V634" s="27"/>
    </row>
    <row r="635" ht="15.75" customHeight="1">
      <c r="U635" s="27"/>
      <c r="V635" s="27"/>
    </row>
    <row r="636" ht="15.75" customHeight="1">
      <c r="U636" s="27"/>
      <c r="V636" s="27"/>
    </row>
    <row r="637" ht="15.75" customHeight="1">
      <c r="U637" s="27"/>
      <c r="V637" s="27"/>
    </row>
    <row r="638" ht="15.75" customHeight="1">
      <c r="U638" s="27"/>
      <c r="V638" s="27"/>
    </row>
    <row r="639" ht="15.75" customHeight="1">
      <c r="U639" s="27"/>
      <c r="V639" s="27"/>
    </row>
    <row r="640" ht="15.75" customHeight="1">
      <c r="U640" s="27"/>
      <c r="V640" s="27"/>
    </row>
    <row r="641" ht="15.75" customHeight="1">
      <c r="U641" s="27"/>
      <c r="V641" s="27"/>
    </row>
    <row r="642" ht="15.75" customHeight="1">
      <c r="U642" s="27"/>
      <c r="V642" s="27"/>
    </row>
    <row r="643" ht="15.75" customHeight="1">
      <c r="U643" s="27"/>
      <c r="V643" s="27"/>
    </row>
    <row r="644" ht="15.75" customHeight="1">
      <c r="U644" s="27"/>
      <c r="V644" s="27"/>
    </row>
    <row r="645" ht="15.75" customHeight="1">
      <c r="U645" s="27"/>
      <c r="V645" s="27"/>
    </row>
    <row r="646" ht="15.75" customHeight="1">
      <c r="U646" s="27"/>
      <c r="V646" s="27"/>
    </row>
    <row r="647" ht="15.75" customHeight="1">
      <c r="U647" s="27"/>
      <c r="V647" s="27"/>
    </row>
    <row r="648" ht="15.75" customHeight="1">
      <c r="U648" s="27"/>
      <c r="V648" s="27"/>
    </row>
    <row r="649" ht="15.75" customHeight="1">
      <c r="U649" s="27"/>
      <c r="V649" s="27"/>
    </row>
    <row r="650" ht="15.75" customHeight="1">
      <c r="U650" s="27"/>
      <c r="V650" s="27"/>
    </row>
    <row r="651" ht="15.75" customHeight="1">
      <c r="U651" s="27"/>
      <c r="V651" s="27"/>
    </row>
    <row r="652" ht="15.75" customHeight="1">
      <c r="U652" s="27"/>
      <c r="V652" s="27"/>
    </row>
    <row r="653" ht="15.75" customHeight="1">
      <c r="U653" s="27"/>
      <c r="V653" s="27"/>
    </row>
    <row r="654" ht="15.75" customHeight="1">
      <c r="U654" s="27"/>
      <c r="V654" s="27"/>
    </row>
    <row r="655" ht="15.75" customHeight="1">
      <c r="U655" s="27"/>
      <c r="V655" s="27"/>
    </row>
    <row r="656" ht="15.75" customHeight="1">
      <c r="U656" s="27"/>
      <c r="V656" s="27"/>
    </row>
    <row r="657" ht="15.75" customHeight="1">
      <c r="U657" s="27"/>
      <c r="V657" s="27"/>
    </row>
    <row r="658" ht="15.75" customHeight="1">
      <c r="U658" s="27"/>
      <c r="V658" s="27"/>
    </row>
    <row r="659" ht="15.75" customHeight="1">
      <c r="U659" s="27"/>
      <c r="V659" s="27"/>
    </row>
    <row r="660" ht="15.75" customHeight="1">
      <c r="U660" s="27"/>
      <c r="V660" s="27"/>
    </row>
    <row r="661" ht="15.75" customHeight="1">
      <c r="U661" s="27"/>
      <c r="V661" s="27"/>
    </row>
    <row r="662" ht="15.75" customHeight="1">
      <c r="U662" s="27"/>
      <c r="V662" s="27"/>
    </row>
    <row r="663" ht="15.75" customHeight="1">
      <c r="U663" s="27"/>
      <c r="V663" s="27"/>
    </row>
    <row r="664" ht="15.75" customHeight="1">
      <c r="U664" s="27"/>
      <c r="V664" s="27"/>
    </row>
    <row r="665" ht="15.75" customHeight="1">
      <c r="U665" s="27"/>
      <c r="V665" s="27"/>
    </row>
    <row r="666" ht="15.75" customHeight="1">
      <c r="U666" s="27"/>
      <c r="V666" s="27"/>
    </row>
    <row r="667" ht="15.75" customHeight="1">
      <c r="U667" s="27"/>
      <c r="V667" s="27"/>
    </row>
    <row r="668" ht="15.75" customHeight="1">
      <c r="U668" s="27"/>
      <c r="V668" s="27"/>
    </row>
    <row r="669" ht="15.75" customHeight="1">
      <c r="U669" s="27"/>
      <c r="V669" s="27"/>
    </row>
    <row r="670" ht="15.75" customHeight="1">
      <c r="U670" s="27"/>
      <c r="V670" s="27"/>
    </row>
    <row r="671" ht="15.75" customHeight="1">
      <c r="U671" s="27"/>
      <c r="V671" s="27"/>
    </row>
    <row r="672" ht="15.75" customHeight="1">
      <c r="U672" s="27"/>
      <c r="V672" s="27"/>
    </row>
    <row r="673" ht="15.75" customHeight="1">
      <c r="U673" s="27"/>
      <c r="V673" s="27"/>
    </row>
    <row r="674" ht="15.75" customHeight="1">
      <c r="U674" s="27"/>
      <c r="V674" s="27"/>
    </row>
    <row r="675" ht="15.75" customHeight="1">
      <c r="U675" s="27"/>
      <c r="V675" s="27"/>
    </row>
    <row r="676" ht="15.75" customHeight="1">
      <c r="U676" s="27"/>
      <c r="V676" s="27"/>
    </row>
    <row r="677" ht="15.75" customHeight="1">
      <c r="U677" s="27"/>
      <c r="V677" s="27"/>
    </row>
    <row r="678" ht="15.75" customHeight="1">
      <c r="U678" s="27"/>
      <c r="V678" s="27"/>
    </row>
    <row r="679" ht="15.75" customHeight="1">
      <c r="U679" s="27"/>
      <c r="V679" s="27"/>
    </row>
    <row r="680" ht="15.75" customHeight="1">
      <c r="U680" s="27"/>
      <c r="V680" s="27"/>
    </row>
    <row r="681" ht="15.75" customHeight="1">
      <c r="U681" s="27"/>
      <c r="V681" s="27"/>
    </row>
    <row r="682" ht="15.75" customHeight="1">
      <c r="U682" s="27"/>
      <c r="V682" s="27"/>
    </row>
    <row r="683" ht="15.75" customHeight="1">
      <c r="U683" s="27"/>
      <c r="V683" s="27"/>
    </row>
    <row r="684" ht="15.75" customHeight="1">
      <c r="U684" s="27"/>
      <c r="V684" s="27"/>
    </row>
    <row r="685" ht="15.75" customHeight="1">
      <c r="U685" s="27"/>
      <c r="V685" s="27"/>
    </row>
    <row r="686" ht="15.75" customHeight="1">
      <c r="U686" s="27"/>
      <c r="V686" s="27"/>
    </row>
    <row r="687" ht="15.75" customHeight="1">
      <c r="U687" s="27"/>
      <c r="V687" s="27"/>
    </row>
    <row r="688" ht="15.75" customHeight="1">
      <c r="U688" s="27"/>
      <c r="V688" s="27"/>
    </row>
    <row r="689" ht="15.75" customHeight="1">
      <c r="U689" s="27"/>
      <c r="V689" s="27"/>
    </row>
    <row r="690" ht="15.75" customHeight="1">
      <c r="U690" s="27"/>
      <c r="V690" s="27"/>
    </row>
    <row r="691" ht="15.75" customHeight="1">
      <c r="U691" s="27"/>
      <c r="V691" s="27"/>
    </row>
    <row r="692" ht="15.75" customHeight="1">
      <c r="U692" s="27"/>
      <c r="V692" s="27"/>
    </row>
    <row r="693" ht="15.75" customHeight="1">
      <c r="U693" s="27"/>
      <c r="V693" s="27"/>
    </row>
    <row r="694" ht="15.75" customHeight="1">
      <c r="U694" s="27"/>
      <c r="V694" s="27"/>
    </row>
    <row r="695" ht="15.75" customHeight="1">
      <c r="U695" s="27"/>
      <c r="V695" s="27"/>
    </row>
    <row r="696" ht="15.75" customHeight="1">
      <c r="U696" s="27"/>
      <c r="V696" s="27"/>
    </row>
    <row r="697" ht="15.75" customHeight="1">
      <c r="U697" s="27"/>
      <c r="V697" s="27"/>
    </row>
    <row r="698" ht="15.75" customHeight="1">
      <c r="U698" s="27"/>
      <c r="V698" s="27"/>
    </row>
    <row r="699" ht="15.75" customHeight="1">
      <c r="U699" s="27"/>
      <c r="V699" s="27"/>
    </row>
    <row r="700" ht="15.75" customHeight="1">
      <c r="U700" s="27"/>
      <c r="V700" s="27"/>
    </row>
    <row r="701" ht="15.75" customHeight="1">
      <c r="U701" s="27"/>
      <c r="V701" s="27"/>
    </row>
    <row r="702" ht="15.75" customHeight="1">
      <c r="U702" s="27"/>
      <c r="V702" s="27"/>
    </row>
    <row r="703" ht="15.75" customHeight="1">
      <c r="U703" s="27"/>
      <c r="V703" s="27"/>
    </row>
    <row r="704" ht="15.75" customHeight="1">
      <c r="U704" s="27"/>
      <c r="V704" s="27"/>
    </row>
    <row r="705" ht="15.75" customHeight="1">
      <c r="U705" s="27"/>
      <c r="V705" s="27"/>
    </row>
    <row r="706" ht="15.75" customHeight="1">
      <c r="U706" s="27"/>
      <c r="V706" s="27"/>
    </row>
    <row r="707" ht="15.75" customHeight="1">
      <c r="U707" s="27"/>
      <c r="V707" s="27"/>
    </row>
    <row r="708" ht="15.75" customHeight="1">
      <c r="U708" s="27"/>
      <c r="V708" s="27"/>
    </row>
    <row r="709" ht="15.75" customHeight="1">
      <c r="U709" s="27"/>
      <c r="V709" s="27"/>
    </row>
    <row r="710" ht="15.75" customHeight="1">
      <c r="U710" s="27"/>
      <c r="V710" s="27"/>
    </row>
    <row r="711" ht="15.75" customHeight="1">
      <c r="U711" s="27"/>
      <c r="V711" s="27"/>
    </row>
    <row r="712" ht="15.75" customHeight="1">
      <c r="U712" s="27"/>
      <c r="V712" s="27"/>
    </row>
    <row r="713" ht="15.75" customHeight="1">
      <c r="U713" s="27"/>
      <c r="V713" s="27"/>
    </row>
    <row r="714" ht="15.75" customHeight="1">
      <c r="U714" s="27"/>
      <c r="V714" s="27"/>
    </row>
    <row r="715" ht="15.75" customHeight="1">
      <c r="U715" s="27"/>
      <c r="V715" s="27"/>
    </row>
    <row r="716" ht="15.75" customHeight="1">
      <c r="U716" s="27"/>
      <c r="V716" s="27"/>
    </row>
    <row r="717" ht="15.75" customHeight="1">
      <c r="U717" s="27"/>
      <c r="V717" s="27"/>
    </row>
    <row r="718" ht="15.75" customHeight="1">
      <c r="U718" s="27"/>
      <c r="V718" s="27"/>
    </row>
    <row r="719" ht="15.75" customHeight="1">
      <c r="U719" s="27"/>
      <c r="V719" s="27"/>
    </row>
    <row r="720" ht="15.75" customHeight="1">
      <c r="U720" s="27"/>
      <c r="V720" s="27"/>
    </row>
    <row r="721" ht="15.75" customHeight="1">
      <c r="U721" s="27"/>
      <c r="V721" s="27"/>
    </row>
    <row r="722" ht="15.75" customHeight="1">
      <c r="U722" s="27"/>
      <c r="V722" s="27"/>
    </row>
    <row r="723" ht="15.75" customHeight="1">
      <c r="U723" s="27"/>
      <c r="V723" s="27"/>
    </row>
    <row r="724" ht="15.75" customHeight="1">
      <c r="U724" s="27"/>
      <c r="V724" s="27"/>
    </row>
    <row r="725" ht="15.75" customHeight="1">
      <c r="U725" s="27"/>
      <c r="V725" s="27"/>
    </row>
    <row r="726" ht="15.75" customHeight="1">
      <c r="U726" s="27"/>
      <c r="V726" s="27"/>
    </row>
    <row r="727" ht="15.75" customHeight="1">
      <c r="U727" s="27"/>
      <c r="V727" s="27"/>
    </row>
    <row r="728" ht="15.75" customHeight="1">
      <c r="U728" s="27"/>
      <c r="V728" s="27"/>
    </row>
    <row r="729" ht="15.75" customHeight="1">
      <c r="U729" s="27"/>
      <c r="V729" s="27"/>
    </row>
    <row r="730" ht="15.75" customHeight="1">
      <c r="U730" s="27"/>
      <c r="V730" s="27"/>
    </row>
    <row r="731" ht="15.75" customHeight="1">
      <c r="U731" s="27"/>
      <c r="V731" s="27"/>
    </row>
    <row r="732" ht="15.75" customHeight="1">
      <c r="U732" s="27"/>
      <c r="V732" s="27"/>
    </row>
    <row r="733" ht="15.75" customHeight="1">
      <c r="U733" s="27"/>
      <c r="V733" s="27"/>
    </row>
    <row r="734" ht="15.75" customHeight="1">
      <c r="U734" s="27"/>
      <c r="V734" s="27"/>
    </row>
    <row r="735" ht="15.75" customHeight="1">
      <c r="U735" s="27"/>
      <c r="V735" s="27"/>
    </row>
    <row r="736" ht="15.75" customHeight="1">
      <c r="U736" s="27"/>
      <c r="V736" s="27"/>
    </row>
    <row r="737" ht="15.75" customHeight="1">
      <c r="U737" s="27"/>
      <c r="V737" s="27"/>
    </row>
    <row r="738" ht="15.75" customHeight="1">
      <c r="U738" s="27"/>
      <c r="V738" s="27"/>
    </row>
    <row r="739" ht="15.75" customHeight="1">
      <c r="U739" s="27"/>
      <c r="V739" s="27"/>
    </row>
    <row r="740" ht="15.75" customHeight="1">
      <c r="U740" s="27"/>
      <c r="V740" s="27"/>
    </row>
    <row r="741" ht="15.75" customHeight="1">
      <c r="U741" s="27"/>
      <c r="V741" s="27"/>
    </row>
    <row r="742" ht="15.75" customHeight="1">
      <c r="U742" s="27"/>
      <c r="V742" s="27"/>
    </row>
    <row r="743" ht="15.75" customHeight="1">
      <c r="U743" s="27"/>
      <c r="V743" s="27"/>
    </row>
    <row r="744" ht="15.75" customHeight="1">
      <c r="U744" s="27"/>
      <c r="V744" s="27"/>
    </row>
    <row r="745" ht="15.75" customHeight="1">
      <c r="U745" s="27"/>
      <c r="V745" s="27"/>
    </row>
    <row r="746" ht="15.75" customHeight="1">
      <c r="U746" s="27"/>
      <c r="V746" s="27"/>
    </row>
    <row r="747" ht="15.75" customHeight="1">
      <c r="U747" s="27"/>
      <c r="V747" s="27"/>
    </row>
    <row r="748" ht="15.75" customHeight="1">
      <c r="U748" s="27"/>
      <c r="V748" s="27"/>
    </row>
    <row r="749" ht="15.75" customHeight="1">
      <c r="U749" s="27"/>
      <c r="V749" s="27"/>
    </row>
    <row r="750" ht="15.75" customHeight="1">
      <c r="U750" s="27"/>
      <c r="V750" s="27"/>
    </row>
    <row r="751" ht="15.75" customHeight="1">
      <c r="U751" s="27"/>
      <c r="V751" s="27"/>
    </row>
    <row r="752" ht="15.75" customHeight="1">
      <c r="U752" s="27"/>
      <c r="V752" s="27"/>
    </row>
    <row r="753" ht="15.75" customHeight="1">
      <c r="U753" s="27"/>
      <c r="V753" s="27"/>
    </row>
    <row r="754" ht="15.75" customHeight="1">
      <c r="U754" s="27"/>
      <c r="V754" s="27"/>
    </row>
    <row r="755" ht="15.75" customHeight="1">
      <c r="U755" s="27"/>
      <c r="V755" s="27"/>
    </row>
    <row r="756" ht="15.75" customHeight="1">
      <c r="U756" s="27"/>
      <c r="V756" s="27"/>
    </row>
    <row r="757" ht="15.75" customHeight="1">
      <c r="U757" s="27"/>
      <c r="V757" s="27"/>
    </row>
    <row r="758" ht="15.75" customHeight="1">
      <c r="U758" s="27"/>
      <c r="V758" s="27"/>
    </row>
    <row r="759" ht="15.75" customHeight="1">
      <c r="U759" s="27"/>
      <c r="V759" s="27"/>
    </row>
    <row r="760" ht="15.75" customHeight="1">
      <c r="U760" s="27"/>
      <c r="V760" s="27"/>
    </row>
    <row r="761" ht="15.75" customHeight="1">
      <c r="U761" s="27"/>
      <c r="V761" s="27"/>
    </row>
    <row r="762" ht="15.75" customHeight="1">
      <c r="U762" s="27"/>
      <c r="V762" s="27"/>
    </row>
    <row r="763" ht="15.75" customHeight="1">
      <c r="U763" s="27"/>
      <c r="V763" s="27"/>
    </row>
    <row r="764" ht="15.75" customHeight="1">
      <c r="U764" s="27"/>
      <c r="V764" s="27"/>
    </row>
    <row r="765" ht="15.75" customHeight="1">
      <c r="U765" s="27"/>
      <c r="V765" s="27"/>
    </row>
    <row r="766" ht="15.75" customHeight="1">
      <c r="U766" s="27"/>
      <c r="V766" s="27"/>
    </row>
    <row r="767" ht="15.75" customHeight="1">
      <c r="U767" s="27"/>
      <c r="V767" s="27"/>
    </row>
    <row r="768" ht="15.75" customHeight="1">
      <c r="U768" s="27"/>
      <c r="V768" s="27"/>
    </row>
    <row r="769" ht="15.75" customHeight="1">
      <c r="U769" s="27"/>
      <c r="V769" s="27"/>
    </row>
    <row r="770" ht="15.75" customHeight="1">
      <c r="U770" s="27"/>
      <c r="V770" s="27"/>
    </row>
    <row r="771" ht="15.75" customHeight="1">
      <c r="U771" s="27"/>
      <c r="V771" s="27"/>
    </row>
    <row r="772" ht="15.75" customHeight="1">
      <c r="U772" s="27"/>
      <c r="V772" s="27"/>
    </row>
    <row r="773" ht="15.75" customHeight="1">
      <c r="U773" s="27"/>
      <c r="V773" s="27"/>
    </row>
    <row r="774" ht="15.75" customHeight="1">
      <c r="U774" s="27"/>
      <c r="V774" s="27"/>
    </row>
    <row r="775" ht="15.75" customHeight="1">
      <c r="U775" s="27"/>
      <c r="V775" s="27"/>
    </row>
    <row r="776" ht="15.75" customHeight="1">
      <c r="U776" s="27"/>
      <c r="V776" s="27"/>
    </row>
    <row r="777" ht="15.75" customHeight="1">
      <c r="U777" s="27"/>
      <c r="V777" s="27"/>
    </row>
    <row r="778" ht="15.75" customHeight="1">
      <c r="U778" s="27"/>
      <c r="V778" s="27"/>
    </row>
    <row r="779" ht="15.75" customHeight="1">
      <c r="U779" s="27"/>
      <c r="V779" s="27"/>
    </row>
    <row r="780" ht="15.75" customHeight="1">
      <c r="U780" s="27"/>
      <c r="V780" s="27"/>
    </row>
    <row r="781" ht="15.75" customHeight="1">
      <c r="U781" s="27"/>
      <c r="V781" s="27"/>
    </row>
    <row r="782" ht="15.75" customHeight="1">
      <c r="U782" s="27"/>
      <c r="V782" s="27"/>
    </row>
    <row r="783" ht="15.75" customHeight="1">
      <c r="U783" s="27"/>
      <c r="V783" s="27"/>
    </row>
    <row r="784" ht="15.75" customHeight="1">
      <c r="U784" s="27"/>
      <c r="V784" s="27"/>
    </row>
    <row r="785" ht="15.75" customHeight="1">
      <c r="U785" s="27"/>
      <c r="V785" s="27"/>
    </row>
    <row r="786" ht="15.75" customHeight="1">
      <c r="U786" s="27"/>
      <c r="V786" s="27"/>
    </row>
    <row r="787" ht="15.75" customHeight="1">
      <c r="U787" s="27"/>
      <c r="V787" s="27"/>
    </row>
    <row r="788" ht="15.75" customHeight="1">
      <c r="U788" s="27"/>
      <c r="V788" s="27"/>
    </row>
    <row r="789" ht="15.75" customHeight="1">
      <c r="U789" s="27"/>
      <c r="V789" s="27"/>
    </row>
    <row r="790" ht="15.75" customHeight="1">
      <c r="U790" s="27"/>
      <c r="V790" s="27"/>
    </row>
    <row r="791" ht="15.75" customHeight="1">
      <c r="U791" s="27"/>
      <c r="V791" s="27"/>
    </row>
    <row r="792" ht="15.75" customHeight="1">
      <c r="U792" s="27"/>
      <c r="V792" s="27"/>
    </row>
    <row r="793" ht="15.75" customHeight="1">
      <c r="U793" s="27"/>
      <c r="V793" s="27"/>
    </row>
    <row r="794" ht="15.75" customHeight="1">
      <c r="U794" s="27"/>
      <c r="V794" s="27"/>
    </row>
    <row r="795" ht="15.75" customHeight="1">
      <c r="U795" s="27"/>
      <c r="V795" s="27"/>
    </row>
    <row r="796" ht="15.75" customHeight="1">
      <c r="U796" s="27"/>
      <c r="V796" s="27"/>
    </row>
    <row r="797" ht="15.75" customHeight="1">
      <c r="U797" s="27"/>
      <c r="V797" s="27"/>
    </row>
    <row r="798" ht="15.75" customHeight="1">
      <c r="U798" s="27"/>
      <c r="V798" s="27"/>
    </row>
    <row r="799" ht="15.75" customHeight="1">
      <c r="U799" s="27"/>
      <c r="V799" s="27"/>
    </row>
    <row r="800" ht="15.75" customHeight="1">
      <c r="U800" s="27"/>
      <c r="V800" s="27"/>
    </row>
    <row r="801" ht="15.75" customHeight="1">
      <c r="U801" s="27"/>
      <c r="V801" s="27"/>
    </row>
    <row r="802" ht="15.75" customHeight="1">
      <c r="U802" s="27"/>
      <c r="V802" s="27"/>
    </row>
    <row r="803" ht="15.75" customHeight="1">
      <c r="U803" s="27"/>
      <c r="V803" s="27"/>
    </row>
    <row r="804" ht="15.75" customHeight="1">
      <c r="U804" s="27"/>
      <c r="V804" s="27"/>
    </row>
    <row r="805" ht="15.75" customHeight="1">
      <c r="U805" s="27"/>
      <c r="V805" s="27"/>
    </row>
    <row r="806" ht="15.75" customHeight="1">
      <c r="U806" s="27"/>
      <c r="V806" s="27"/>
    </row>
    <row r="807" ht="15.75" customHeight="1">
      <c r="U807" s="27"/>
      <c r="V807" s="27"/>
    </row>
    <row r="808" ht="15.75" customHeight="1">
      <c r="U808" s="27"/>
      <c r="V808" s="27"/>
    </row>
    <row r="809" ht="15.75" customHeight="1">
      <c r="U809" s="27"/>
      <c r="V809" s="27"/>
    </row>
    <row r="810" ht="15.75" customHeight="1">
      <c r="U810" s="27"/>
      <c r="V810" s="27"/>
    </row>
    <row r="811" ht="15.75" customHeight="1">
      <c r="U811" s="27"/>
      <c r="V811" s="27"/>
    </row>
    <row r="812" ht="15.75" customHeight="1">
      <c r="U812" s="27"/>
      <c r="V812" s="27"/>
    </row>
    <row r="813" ht="15.75" customHeight="1">
      <c r="U813" s="27"/>
      <c r="V813" s="27"/>
    </row>
    <row r="814" ht="15.75" customHeight="1">
      <c r="U814" s="27"/>
      <c r="V814" s="27"/>
    </row>
    <row r="815" ht="15.75" customHeight="1">
      <c r="U815" s="27"/>
      <c r="V815" s="27"/>
    </row>
    <row r="816" ht="15.75" customHeight="1">
      <c r="U816" s="27"/>
      <c r="V816" s="27"/>
    </row>
    <row r="817" ht="15.75" customHeight="1">
      <c r="U817" s="27"/>
      <c r="V817" s="27"/>
    </row>
    <row r="818" ht="15.75" customHeight="1">
      <c r="U818" s="27"/>
      <c r="V818" s="27"/>
    </row>
    <row r="819" ht="15.75" customHeight="1">
      <c r="U819" s="27"/>
      <c r="V819" s="27"/>
    </row>
    <row r="820" ht="15.75" customHeight="1">
      <c r="U820" s="27"/>
      <c r="V820" s="27"/>
    </row>
    <row r="821" ht="15.75" customHeight="1">
      <c r="U821" s="27"/>
      <c r="V821" s="27"/>
    </row>
    <row r="822" ht="15.75" customHeight="1">
      <c r="U822" s="27"/>
      <c r="V822" s="27"/>
    </row>
    <row r="823" ht="15.75" customHeight="1">
      <c r="U823" s="27"/>
      <c r="V823" s="27"/>
    </row>
    <row r="824" ht="15.75" customHeight="1">
      <c r="U824" s="27"/>
      <c r="V824" s="27"/>
    </row>
    <row r="825" ht="15.75" customHeight="1">
      <c r="U825" s="27"/>
      <c r="V825" s="27"/>
    </row>
    <row r="826" ht="15.75" customHeight="1">
      <c r="U826" s="27"/>
      <c r="V826" s="27"/>
    </row>
    <row r="827" ht="15.75" customHeight="1">
      <c r="U827" s="27"/>
      <c r="V827" s="27"/>
    </row>
    <row r="828" ht="15.75" customHeight="1">
      <c r="U828" s="27"/>
      <c r="V828" s="27"/>
    </row>
    <row r="829" ht="15.75" customHeight="1">
      <c r="U829" s="27"/>
      <c r="V829" s="27"/>
    </row>
    <row r="830" ht="15.75" customHeight="1">
      <c r="U830" s="27"/>
      <c r="V830" s="27"/>
    </row>
    <row r="831" ht="15.75" customHeight="1">
      <c r="U831" s="27"/>
      <c r="V831" s="27"/>
    </row>
    <row r="832" ht="15.75" customHeight="1">
      <c r="U832" s="27"/>
      <c r="V832" s="27"/>
    </row>
    <row r="833" ht="15.75" customHeight="1">
      <c r="U833" s="27"/>
      <c r="V833" s="27"/>
    </row>
    <row r="834" ht="15.75" customHeight="1">
      <c r="U834" s="27"/>
      <c r="V834" s="27"/>
    </row>
    <row r="835" ht="15.75" customHeight="1">
      <c r="U835" s="27"/>
      <c r="V835" s="27"/>
    </row>
    <row r="836" ht="15.75" customHeight="1">
      <c r="U836" s="27"/>
      <c r="V836" s="27"/>
    </row>
    <row r="837" ht="15.75" customHeight="1">
      <c r="U837" s="27"/>
      <c r="V837" s="27"/>
    </row>
    <row r="838" ht="15.75" customHeight="1">
      <c r="U838" s="27"/>
      <c r="V838" s="27"/>
    </row>
    <row r="839" ht="15.75" customHeight="1">
      <c r="U839" s="27"/>
      <c r="V839" s="27"/>
    </row>
    <row r="840" ht="15.75" customHeight="1">
      <c r="U840" s="27"/>
      <c r="V840" s="27"/>
    </row>
    <row r="841" ht="15.75" customHeight="1">
      <c r="U841" s="27"/>
      <c r="V841" s="27"/>
    </row>
    <row r="842" ht="15.75" customHeight="1">
      <c r="U842" s="27"/>
      <c r="V842" s="27"/>
    </row>
    <row r="843" ht="15.75" customHeight="1">
      <c r="U843" s="27"/>
      <c r="V843" s="27"/>
    </row>
    <row r="844" ht="15.75" customHeight="1">
      <c r="U844" s="27"/>
      <c r="V844" s="27"/>
    </row>
    <row r="845" ht="15.75" customHeight="1">
      <c r="U845" s="27"/>
      <c r="V845" s="27"/>
    </row>
    <row r="846" ht="15.75" customHeight="1">
      <c r="U846" s="27"/>
      <c r="V846" s="27"/>
    </row>
    <row r="847" ht="15.75" customHeight="1">
      <c r="U847" s="27"/>
      <c r="V847" s="27"/>
    </row>
    <row r="848" ht="15.75" customHeight="1">
      <c r="U848" s="27"/>
      <c r="V848" s="27"/>
    </row>
    <row r="849" ht="15.75" customHeight="1">
      <c r="U849" s="27"/>
      <c r="V849" s="27"/>
    </row>
    <row r="850" ht="15.75" customHeight="1">
      <c r="U850" s="27"/>
      <c r="V850" s="27"/>
    </row>
    <row r="851" ht="15.75" customHeight="1">
      <c r="U851" s="27"/>
      <c r="V851" s="27"/>
    </row>
    <row r="852" ht="15.75" customHeight="1">
      <c r="U852" s="27"/>
      <c r="V852" s="27"/>
    </row>
    <row r="853" ht="15.75" customHeight="1">
      <c r="U853" s="27"/>
      <c r="V853" s="27"/>
    </row>
    <row r="854" ht="15.75" customHeight="1">
      <c r="U854" s="27"/>
      <c r="V854" s="27"/>
    </row>
    <row r="855" ht="15.75" customHeight="1">
      <c r="U855" s="27"/>
      <c r="V855" s="27"/>
    </row>
    <row r="856" ht="15.75" customHeight="1">
      <c r="U856" s="27"/>
      <c r="V856" s="27"/>
    </row>
    <row r="857" ht="15.75" customHeight="1">
      <c r="U857" s="27"/>
      <c r="V857" s="27"/>
    </row>
    <row r="858" ht="15.75" customHeight="1">
      <c r="U858" s="27"/>
      <c r="V858" s="27"/>
    </row>
    <row r="859" ht="15.75" customHeight="1">
      <c r="U859" s="27"/>
      <c r="V859" s="27"/>
    </row>
    <row r="860" ht="15.75" customHeight="1">
      <c r="U860" s="27"/>
      <c r="V860" s="27"/>
    </row>
    <row r="861" ht="15.75" customHeight="1">
      <c r="U861" s="27"/>
      <c r="V861" s="27"/>
    </row>
    <row r="862" ht="15.75" customHeight="1">
      <c r="U862" s="27"/>
      <c r="V862" s="27"/>
    </row>
    <row r="863" ht="15.75" customHeight="1">
      <c r="U863" s="27"/>
      <c r="V863" s="27"/>
    </row>
    <row r="864" ht="15.75" customHeight="1">
      <c r="U864" s="27"/>
      <c r="V864" s="27"/>
    </row>
    <row r="865" ht="15.75" customHeight="1">
      <c r="U865" s="27"/>
      <c r="V865" s="27"/>
    </row>
    <row r="866" ht="15.75" customHeight="1">
      <c r="U866" s="27"/>
      <c r="V866" s="27"/>
    </row>
    <row r="867" ht="15.75" customHeight="1">
      <c r="U867" s="27"/>
      <c r="V867" s="27"/>
    </row>
    <row r="868" ht="15.75" customHeight="1">
      <c r="U868" s="27"/>
      <c r="V868" s="27"/>
    </row>
    <row r="869" ht="15.75" customHeight="1">
      <c r="U869" s="27"/>
      <c r="V869" s="27"/>
    </row>
    <row r="870" ht="15.75" customHeight="1">
      <c r="U870" s="27"/>
      <c r="V870" s="27"/>
    </row>
    <row r="871" ht="15.75" customHeight="1">
      <c r="U871" s="27"/>
      <c r="V871" s="27"/>
    </row>
    <row r="872" ht="15.75" customHeight="1">
      <c r="U872" s="27"/>
      <c r="V872" s="27"/>
    </row>
    <row r="873" ht="15.75" customHeight="1">
      <c r="U873" s="27"/>
      <c r="V873" s="27"/>
    </row>
    <row r="874" ht="15.75" customHeight="1">
      <c r="U874" s="27"/>
      <c r="V874" s="27"/>
    </row>
    <row r="875" ht="15.75" customHeight="1">
      <c r="U875" s="27"/>
      <c r="V875" s="27"/>
    </row>
    <row r="876" ht="15.75" customHeight="1">
      <c r="U876" s="27"/>
      <c r="V876" s="27"/>
    </row>
    <row r="877" ht="15.75" customHeight="1">
      <c r="U877" s="27"/>
      <c r="V877" s="27"/>
    </row>
    <row r="878" ht="15.75" customHeight="1">
      <c r="U878" s="27"/>
      <c r="V878" s="27"/>
    </row>
    <row r="879" ht="15.75" customHeight="1">
      <c r="U879" s="27"/>
      <c r="V879" s="27"/>
    </row>
    <row r="880" ht="15.75" customHeight="1">
      <c r="U880" s="27"/>
      <c r="V880" s="27"/>
    </row>
    <row r="881" ht="15.75" customHeight="1">
      <c r="U881" s="27"/>
      <c r="V881" s="27"/>
    </row>
    <row r="882" ht="15.75" customHeight="1">
      <c r="U882" s="27"/>
      <c r="V882" s="27"/>
    </row>
    <row r="883" ht="15.75" customHeight="1">
      <c r="U883" s="27"/>
      <c r="V883" s="27"/>
    </row>
    <row r="884" ht="15.75" customHeight="1">
      <c r="U884" s="27"/>
      <c r="V884" s="27"/>
    </row>
    <row r="885" ht="15.75" customHeight="1">
      <c r="U885" s="27"/>
      <c r="V885" s="27"/>
    </row>
    <row r="886" ht="15.75" customHeight="1">
      <c r="U886" s="27"/>
      <c r="V886" s="27"/>
    </row>
    <row r="887" ht="15.75" customHeight="1">
      <c r="U887" s="27"/>
      <c r="V887" s="27"/>
    </row>
    <row r="888" ht="15.75" customHeight="1">
      <c r="U888" s="27"/>
      <c r="V888" s="27"/>
    </row>
    <row r="889" ht="15.75" customHeight="1">
      <c r="U889" s="27"/>
      <c r="V889" s="27"/>
    </row>
    <row r="890" ht="15.75" customHeight="1">
      <c r="U890" s="27"/>
      <c r="V890" s="27"/>
    </row>
    <row r="891" ht="15.75" customHeight="1">
      <c r="U891" s="27"/>
      <c r="V891" s="27"/>
    </row>
    <row r="892" ht="15.75" customHeight="1">
      <c r="U892" s="27"/>
      <c r="V892" s="27"/>
    </row>
    <row r="893" ht="15.75" customHeight="1">
      <c r="U893" s="27"/>
      <c r="V893" s="27"/>
    </row>
    <row r="894" ht="15.75" customHeight="1">
      <c r="U894" s="27"/>
      <c r="V894" s="27"/>
    </row>
    <row r="895" ht="15.75" customHeight="1">
      <c r="U895" s="27"/>
      <c r="V895" s="27"/>
    </row>
    <row r="896" ht="15.75" customHeight="1">
      <c r="U896" s="27"/>
      <c r="V896" s="27"/>
    </row>
    <row r="897" ht="15.75" customHeight="1">
      <c r="U897" s="27"/>
      <c r="V897" s="27"/>
    </row>
    <row r="898" ht="15.75" customHeight="1">
      <c r="U898" s="27"/>
      <c r="V898" s="27"/>
    </row>
    <row r="899" ht="15.75" customHeight="1">
      <c r="U899" s="27"/>
      <c r="V899" s="27"/>
    </row>
    <row r="900" ht="15.75" customHeight="1">
      <c r="U900" s="27"/>
      <c r="V900" s="27"/>
    </row>
    <row r="901" ht="15.75" customHeight="1">
      <c r="U901" s="27"/>
      <c r="V901" s="27"/>
    </row>
    <row r="902" ht="15.75" customHeight="1">
      <c r="U902" s="27"/>
      <c r="V902" s="27"/>
    </row>
    <row r="903" ht="15.75" customHeight="1">
      <c r="U903" s="27"/>
      <c r="V903" s="27"/>
    </row>
    <row r="904" ht="15.75" customHeight="1">
      <c r="U904" s="27"/>
      <c r="V904" s="27"/>
    </row>
    <row r="905" ht="15.75" customHeight="1">
      <c r="U905" s="27"/>
      <c r="V905" s="27"/>
    </row>
    <row r="906" ht="15.75" customHeight="1">
      <c r="U906" s="27"/>
      <c r="V906" s="27"/>
    </row>
    <row r="907" ht="15.75" customHeight="1">
      <c r="U907" s="27"/>
      <c r="V907" s="27"/>
    </row>
    <row r="908" ht="15.75" customHeight="1">
      <c r="U908" s="27"/>
      <c r="V908" s="27"/>
    </row>
    <row r="909" ht="15.75" customHeight="1">
      <c r="U909" s="27"/>
      <c r="V909" s="27"/>
    </row>
    <row r="910" ht="15.75" customHeight="1">
      <c r="U910" s="27"/>
      <c r="V910" s="27"/>
    </row>
    <row r="911" ht="15.75" customHeight="1">
      <c r="U911" s="27"/>
      <c r="V911" s="27"/>
    </row>
    <row r="912" ht="15.75" customHeight="1">
      <c r="U912" s="27"/>
      <c r="V912" s="27"/>
    </row>
    <row r="913" ht="15.75" customHeight="1">
      <c r="U913" s="27"/>
      <c r="V913" s="27"/>
    </row>
    <row r="914" ht="15.75" customHeight="1">
      <c r="U914" s="27"/>
      <c r="V914" s="27"/>
    </row>
    <row r="915" ht="15.75" customHeight="1">
      <c r="U915" s="27"/>
      <c r="V915" s="27"/>
    </row>
    <row r="916" ht="15.75" customHeight="1">
      <c r="U916" s="27"/>
      <c r="V916" s="27"/>
    </row>
    <row r="917" ht="15.75" customHeight="1">
      <c r="U917" s="27"/>
      <c r="V917" s="27"/>
    </row>
    <row r="918" ht="15.75" customHeight="1">
      <c r="U918" s="27"/>
      <c r="V918" s="27"/>
    </row>
    <row r="919" ht="15.75" customHeight="1">
      <c r="U919" s="27"/>
      <c r="V919" s="27"/>
    </row>
    <row r="920" ht="15.75" customHeight="1">
      <c r="U920" s="27"/>
      <c r="V920" s="27"/>
    </row>
    <row r="921" ht="15.75" customHeight="1">
      <c r="U921" s="27"/>
      <c r="V921" s="27"/>
    </row>
    <row r="922" ht="15.75" customHeight="1">
      <c r="U922" s="27"/>
      <c r="V922" s="27"/>
    </row>
    <row r="923" ht="15.75" customHeight="1">
      <c r="U923" s="27"/>
      <c r="V923" s="27"/>
    </row>
    <row r="924" ht="15.75" customHeight="1">
      <c r="U924" s="27"/>
      <c r="V924" s="27"/>
    </row>
    <row r="925" ht="15.75" customHeight="1">
      <c r="U925" s="27"/>
      <c r="V925" s="27"/>
    </row>
    <row r="926" ht="15.75" customHeight="1">
      <c r="U926" s="27"/>
      <c r="V926" s="27"/>
    </row>
    <row r="927" ht="15.75" customHeight="1">
      <c r="U927" s="27"/>
      <c r="V927" s="27"/>
    </row>
    <row r="928" ht="15.75" customHeight="1">
      <c r="U928" s="27"/>
      <c r="V928" s="27"/>
    </row>
    <row r="929" ht="15.75" customHeight="1">
      <c r="U929" s="27"/>
      <c r="V929" s="27"/>
    </row>
    <row r="930" ht="15.75" customHeight="1">
      <c r="U930" s="27"/>
      <c r="V930" s="27"/>
    </row>
    <row r="931" ht="15.75" customHeight="1">
      <c r="U931" s="27"/>
      <c r="V931" s="27"/>
    </row>
    <row r="932" ht="15.75" customHeight="1">
      <c r="U932" s="27"/>
      <c r="V932" s="27"/>
    </row>
    <row r="933" ht="15.75" customHeight="1">
      <c r="U933" s="27"/>
      <c r="V933" s="27"/>
    </row>
    <row r="934" ht="15.75" customHeight="1">
      <c r="U934" s="27"/>
      <c r="V934" s="27"/>
    </row>
    <row r="935" ht="15.75" customHeight="1">
      <c r="U935" s="27"/>
      <c r="V935" s="27"/>
    </row>
    <row r="936" ht="15.75" customHeight="1">
      <c r="U936" s="27"/>
      <c r="V936" s="27"/>
    </row>
    <row r="937" ht="15.75" customHeight="1">
      <c r="U937" s="27"/>
      <c r="V937" s="27"/>
    </row>
    <row r="938" ht="15.75" customHeight="1">
      <c r="U938" s="27"/>
      <c r="V938" s="27"/>
    </row>
    <row r="939" ht="15.75" customHeight="1">
      <c r="U939" s="27"/>
      <c r="V939" s="27"/>
    </row>
    <row r="940" ht="15.75" customHeight="1">
      <c r="U940" s="27"/>
      <c r="V940" s="27"/>
    </row>
    <row r="941" ht="15.75" customHeight="1">
      <c r="U941" s="27"/>
      <c r="V941" s="27"/>
    </row>
    <row r="942" ht="15.75" customHeight="1">
      <c r="U942" s="27"/>
      <c r="V942" s="27"/>
    </row>
    <row r="943" ht="15.75" customHeight="1">
      <c r="U943" s="27"/>
      <c r="V943" s="27"/>
    </row>
    <row r="944" ht="15.75" customHeight="1">
      <c r="U944" s="27"/>
      <c r="V944" s="27"/>
    </row>
    <row r="945" ht="15.75" customHeight="1">
      <c r="U945" s="27"/>
      <c r="V945" s="27"/>
    </row>
    <row r="946" ht="15.75" customHeight="1">
      <c r="U946" s="27"/>
      <c r="V946" s="27"/>
    </row>
    <row r="947" ht="15.75" customHeight="1">
      <c r="U947" s="27"/>
      <c r="V947" s="27"/>
    </row>
    <row r="948" ht="15.75" customHeight="1">
      <c r="U948" s="27"/>
      <c r="V948" s="27"/>
    </row>
    <row r="949" ht="15.75" customHeight="1">
      <c r="U949" s="27"/>
      <c r="V949" s="27"/>
    </row>
    <row r="950" ht="15.75" customHeight="1">
      <c r="U950" s="27"/>
      <c r="V950" s="27"/>
    </row>
    <row r="951" ht="15.75" customHeight="1">
      <c r="U951" s="27"/>
      <c r="V951" s="27"/>
    </row>
    <row r="952" ht="15.75" customHeight="1">
      <c r="U952" s="27"/>
      <c r="V952" s="27"/>
    </row>
    <row r="953" ht="15.75" customHeight="1">
      <c r="U953" s="27"/>
      <c r="V953" s="27"/>
    </row>
    <row r="954" ht="15.75" customHeight="1">
      <c r="U954" s="27"/>
      <c r="V954" s="27"/>
    </row>
    <row r="955" ht="15.75" customHeight="1">
      <c r="U955" s="27"/>
      <c r="V955" s="27"/>
    </row>
    <row r="956" ht="15.75" customHeight="1">
      <c r="U956" s="27"/>
      <c r="V956" s="27"/>
    </row>
    <row r="957" ht="15.75" customHeight="1">
      <c r="U957" s="27"/>
      <c r="V957" s="27"/>
    </row>
    <row r="958" ht="15.75" customHeight="1">
      <c r="U958" s="27"/>
      <c r="V958" s="27"/>
    </row>
    <row r="959" ht="15.75" customHeight="1">
      <c r="U959" s="27"/>
      <c r="V959" s="27"/>
    </row>
    <row r="960" ht="15.75" customHeight="1">
      <c r="U960" s="27"/>
      <c r="V960" s="27"/>
    </row>
    <row r="961" ht="15.75" customHeight="1">
      <c r="U961" s="27"/>
      <c r="V961" s="27"/>
    </row>
    <row r="962" ht="15.75" customHeight="1">
      <c r="U962" s="27"/>
      <c r="V962" s="27"/>
    </row>
    <row r="963" ht="15.75" customHeight="1">
      <c r="U963" s="27"/>
      <c r="V963" s="27"/>
    </row>
    <row r="964" ht="15.75" customHeight="1">
      <c r="U964" s="27"/>
      <c r="V964" s="27"/>
    </row>
    <row r="965" ht="15.75" customHeight="1">
      <c r="U965" s="27"/>
      <c r="V965" s="27"/>
    </row>
    <row r="966" ht="15.75" customHeight="1">
      <c r="U966" s="27"/>
      <c r="V966" s="27"/>
    </row>
    <row r="967" ht="15.75" customHeight="1">
      <c r="U967" s="27"/>
      <c r="V967" s="27"/>
    </row>
    <row r="968" ht="15.75" customHeight="1">
      <c r="U968" s="27"/>
      <c r="V968" s="27"/>
    </row>
    <row r="969" ht="15.75" customHeight="1">
      <c r="U969" s="27"/>
      <c r="V969" s="27"/>
    </row>
    <row r="970" ht="15.75" customHeight="1">
      <c r="U970" s="27"/>
      <c r="V970" s="27"/>
    </row>
    <row r="971" ht="15.75" customHeight="1">
      <c r="U971" s="27"/>
      <c r="V971" s="27"/>
    </row>
    <row r="972" ht="15.75" customHeight="1">
      <c r="U972" s="27"/>
      <c r="V972" s="27"/>
    </row>
    <row r="973" ht="15.75" customHeight="1">
      <c r="U973" s="27"/>
      <c r="V973" s="27"/>
    </row>
    <row r="974" ht="15.75" customHeight="1">
      <c r="U974" s="27"/>
      <c r="V974" s="27"/>
    </row>
    <row r="975" ht="15.75" customHeight="1">
      <c r="U975" s="27"/>
      <c r="V975" s="27"/>
    </row>
    <row r="976" ht="15.75" customHeight="1">
      <c r="U976" s="27"/>
      <c r="V976" s="27"/>
    </row>
    <row r="977" ht="15.75" customHeight="1">
      <c r="U977" s="27"/>
      <c r="V977" s="27"/>
    </row>
    <row r="978" ht="15.75" customHeight="1">
      <c r="U978" s="27"/>
      <c r="V978" s="27"/>
    </row>
    <row r="979" ht="15.75" customHeight="1">
      <c r="U979" s="27"/>
      <c r="V979" s="27"/>
    </row>
    <row r="980" ht="15.75" customHeight="1">
      <c r="U980" s="27"/>
      <c r="V980" s="27"/>
    </row>
    <row r="981" ht="15.75" customHeight="1">
      <c r="U981" s="27"/>
      <c r="V981" s="27"/>
    </row>
    <row r="982" ht="15.75" customHeight="1">
      <c r="U982" s="27"/>
      <c r="V982" s="27"/>
    </row>
    <row r="983" ht="15.75" customHeight="1">
      <c r="U983" s="27"/>
      <c r="V983" s="27"/>
    </row>
    <row r="984" ht="15.75" customHeight="1">
      <c r="U984" s="27"/>
      <c r="V984" s="27"/>
    </row>
    <row r="985" ht="15.75" customHeight="1">
      <c r="U985" s="27"/>
      <c r="V985" s="27"/>
    </row>
    <row r="986" ht="15.75" customHeight="1">
      <c r="U986" s="27"/>
      <c r="V986" s="27"/>
    </row>
    <row r="987" ht="15.75" customHeight="1">
      <c r="U987" s="27"/>
      <c r="V987" s="27"/>
    </row>
    <row r="988" ht="15.75" customHeight="1">
      <c r="U988" s="27"/>
      <c r="V988" s="27"/>
    </row>
    <row r="989" ht="15.75" customHeight="1">
      <c r="U989" s="27"/>
      <c r="V989" s="27"/>
    </row>
    <row r="990" ht="15.75" customHeight="1">
      <c r="U990" s="27"/>
      <c r="V990" s="27"/>
    </row>
    <row r="991" ht="15.75" customHeight="1">
      <c r="U991" s="27"/>
      <c r="V991" s="27"/>
    </row>
    <row r="992" ht="15.75" customHeight="1">
      <c r="U992" s="27"/>
      <c r="V992" s="27"/>
    </row>
    <row r="993" ht="15.75" customHeight="1">
      <c r="U993" s="27"/>
      <c r="V993" s="27"/>
    </row>
    <row r="994" ht="15.75" customHeight="1">
      <c r="U994" s="27"/>
      <c r="V994" s="27"/>
    </row>
    <row r="995" ht="15.75" customHeight="1">
      <c r="U995" s="27"/>
      <c r="V995" s="27"/>
    </row>
    <row r="996" ht="15.75" customHeight="1">
      <c r="U996" s="27"/>
      <c r="V996" s="27"/>
    </row>
    <row r="997" ht="15.75" customHeight="1">
      <c r="U997" s="27"/>
      <c r="V997" s="27"/>
    </row>
    <row r="998" ht="15.75" customHeight="1">
      <c r="U998" s="27"/>
      <c r="V998" s="27"/>
    </row>
    <row r="999" ht="15.75" customHeight="1">
      <c r="U999" s="27"/>
      <c r="V999" s="27"/>
    </row>
    <row r="1000" ht="15.75" customHeight="1">
      <c r="U1000" s="27"/>
      <c r="V100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0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28" t="s">
        <v>192</v>
      </c>
      <c r="B1" s="28" t="s">
        <v>193</v>
      </c>
      <c r="C1" s="28" t="s">
        <v>194</v>
      </c>
      <c r="D1" s="28" t="s">
        <v>195</v>
      </c>
      <c r="E1" s="28" t="s">
        <v>196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>
      <c r="A2" s="28" t="s">
        <v>197</v>
      </c>
      <c r="B2" s="13">
        <v>0.0</v>
      </c>
      <c r="C2" s="28" t="s">
        <v>198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8" t="s">
        <v>199</v>
      </c>
      <c r="B3" s="13">
        <v>0.0</v>
      </c>
      <c r="C3" s="28" t="s">
        <v>200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8" t="s">
        <v>201</v>
      </c>
      <c r="B4" s="13">
        <v>0.0</v>
      </c>
      <c r="C4" s="28" t="s">
        <v>202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8" t="s">
        <v>203</v>
      </c>
      <c r="B5" s="13">
        <v>0.0</v>
      </c>
      <c r="C5" s="28" t="s">
        <v>204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8" t="s">
        <v>205</v>
      </c>
      <c r="B6" s="13">
        <v>0.0</v>
      </c>
      <c r="C6" s="28" t="s">
        <v>206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8" t="s">
        <v>207</v>
      </c>
      <c r="B7" s="13">
        <v>0.0</v>
      </c>
      <c r="C7" s="28" t="s">
        <v>208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8" t="s">
        <v>209</v>
      </c>
      <c r="B8" s="13">
        <v>0.0</v>
      </c>
      <c r="C8" s="28" t="s">
        <v>210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8" t="s">
        <v>211</v>
      </c>
      <c r="B9" s="13">
        <v>0.0</v>
      </c>
      <c r="C9" s="28" t="s">
        <v>212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8" t="s">
        <v>213</v>
      </c>
      <c r="B10" s="13">
        <v>0.0</v>
      </c>
      <c r="C10" s="28" t="s">
        <v>214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8" t="s">
        <v>215</v>
      </c>
      <c r="B11" s="13">
        <v>0.0</v>
      </c>
      <c r="C11" s="28" t="s">
        <v>216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8"/>
      <c r="B12" s="13"/>
      <c r="C12" s="28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8"/>
      <c r="B13" s="13"/>
      <c r="C13" s="28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8"/>
      <c r="B14" s="13"/>
      <c r="C14" s="28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8"/>
      <c r="B15" s="13"/>
      <c r="C15" s="28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8"/>
      <c r="B16" s="13"/>
      <c r="C16" s="28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8"/>
      <c r="B17" s="13"/>
      <c r="C17" s="28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8"/>
      <c r="B18" s="13"/>
      <c r="C18" s="28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8"/>
      <c r="B19" s="13"/>
      <c r="C19" s="28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8"/>
      <c r="B20" s="13"/>
      <c r="C20" s="28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8"/>
      <c r="B21" s="13"/>
      <c r="C21" s="28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8"/>
      <c r="B22" s="13"/>
      <c r="C22" s="28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8"/>
      <c r="B23" s="13"/>
      <c r="C23" s="28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8"/>
      <c r="B24" s="13"/>
      <c r="C24" s="28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8"/>
      <c r="B25" s="13"/>
      <c r="C25" s="28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8"/>
      <c r="B26" s="13"/>
      <c r="C26" s="28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8"/>
      <c r="B27" s="13"/>
      <c r="C27" s="28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8"/>
      <c r="B28" s="13"/>
      <c r="C28" s="28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8"/>
      <c r="B29" s="13"/>
      <c r="C29" s="28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8"/>
      <c r="B30" s="13"/>
      <c r="C30" s="28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8"/>
      <c r="B31" s="13"/>
      <c r="C31" s="28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8"/>
      <c r="B32" s="13"/>
      <c r="C32" s="28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8"/>
      <c r="B33" s="13"/>
      <c r="C33" s="28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8"/>
      <c r="B34" s="13"/>
      <c r="C34" s="28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8"/>
      <c r="B35" s="13"/>
      <c r="C35" s="28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8"/>
      <c r="B36" s="13"/>
      <c r="C36" s="28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8"/>
      <c r="B37" s="13"/>
      <c r="C37" s="28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8"/>
      <c r="B38" s="13"/>
      <c r="C38" s="28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8"/>
      <c r="B39" s="13"/>
      <c r="C39" s="28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8"/>
      <c r="B40" s="13"/>
      <c r="C40" s="28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8"/>
      <c r="B41" s="13"/>
      <c r="C41" s="28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8"/>
      <c r="B42" s="13"/>
      <c r="C42" s="28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8"/>
      <c r="B43" s="13"/>
      <c r="C43" s="28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8"/>
      <c r="B44" s="13"/>
      <c r="C44" s="28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8"/>
      <c r="B45" s="13"/>
      <c r="C45" s="28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8"/>
      <c r="B46" s="13"/>
      <c r="C46" s="28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8"/>
      <c r="B47" s="13"/>
      <c r="C47" s="28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8"/>
      <c r="B48" s="13"/>
      <c r="C48" s="28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8"/>
      <c r="B49" s="13"/>
      <c r="C49" s="2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8"/>
      <c r="B50" s="13"/>
      <c r="C50" s="28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8"/>
      <c r="B51" s="13"/>
      <c r="C51" s="28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8"/>
      <c r="B52" s="13"/>
      <c r="C52" s="28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8"/>
      <c r="B53" s="13"/>
      <c r="C53" s="28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8"/>
      <c r="B54" s="13"/>
      <c r="C54" s="28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8"/>
      <c r="B55" s="13"/>
      <c r="C55" s="28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8"/>
      <c r="B56" s="13"/>
      <c r="C56" s="2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8"/>
      <c r="B57" s="13"/>
      <c r="C57" s="28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8"/>
      <c r="B58" s="13"/>
      <c r="C58" s="28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8"/>
      <c r="B59" s="13"/>
      <c r="C59" s="28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8"/>
      <c r="B60" s="13"/>
      <c r="C60" s="28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8"/>
      <c r="B61" s="13"/>
      <c r="C61" s="28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8"/>
      <c r="B62" s="13"/>
      <c r="C62" s="28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8"/>
      <c r="B63" s="13"/>
      <c r="C63" s="28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8"/>
      <c r="B64" s="13"/>
      <c r="C64" s="28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8"/>
      <c r="B65" s="13"/>
      <c r="C65" s="28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8"/>
      <c r="B66" s="13"/>
      <c r="C66" s="28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8"/>
      <c r="B67" s="13"/>
      <c r="C67" s="28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8"/>
      <c r="B68" s="13"/>
      <c r="C68" s="28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8"/>
      <c r="B69" s="13"/>
      <c r="C69" s="28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8"/>
      <c r="B70" s="13"/>
      <c r="C70" s="28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8"/>
      <c r="B71" s="13"/>
      <c r="C71" s="28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8"/>
      <c r="B72" s="13"/>
      <c r="C72" s="28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8"/>
      <c r="B73" s="13"/>
      <c r="C73" s="28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8"/>
      <c r="B74" s="13"/>
      <c r="C74" s="28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8"/>
      <c r="B75" s="13"/>
      <c r="C75" s="28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8"/>
      <c r="B76" s="13"/>
      <c r="C76" s="28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8"/>
      <c r="B77" s="13"/>
      <c r="C77" s="28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8"/>
      <c r="B78" s="13"/>
      <c r="C78" s="28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8"/>
      <c r="B79" s="13"/>
      <c r="C79" s="28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8"/>
      <c r="B80" s="13"/>
      <c r="C80" s="28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8"/>
      <c r="B81" s="13"/>
      <c r="C81" s="28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8"/>
      <c r="B82" s="13"/>
      <c r="C82" s="28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8"/>
      <c r="B83" s="13"/>
      <c r="C83" s="28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8"/>
      <c r="B84" s="13"/>
      <c r="C84" s="28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8"/>
      <c r="B85" s="13"/>
      <c r="C85" s="28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8"/>
      <c r="B86" s="13"/>
      <c r="C86" s="28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8"/>
      <c r="B87" s="13"/>
      <c r="C87" s="28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8"/>
      <c r="B88" s="13"/>
      <c r="C88" s="28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8"/>
      <c r="B89" s="13"/>
      <c r="C89" s="28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28"/>
      <c r="B90" s="13"/>
      <c r="C90" s="28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28"/>
      <c r="B91" s="13"/>
      <c r="C91" s="28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28"/>
      <c r="B92" s="13"/>
      <c r="C92" s="28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8"/>
      <c r="B93" s="13"/>
      <c r="C93" s="28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8"/>
      <c r="B94" s="13"/>
      <c r="C94" s="28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8"/>
      <c r="B95" s="13"/>
      <c r="C95" s="28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8"/>
      <c r="B96" s="13"/>
      <c r="C96" s="28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8"/>
      <c r="B97" s="13"/>
      <c r="C97" s="28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8"/>
      <c r="B98" s="13"/>
      <c r="C98" s="28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8"/>
      <c r="B99" s="13"/>
      <c r="C99" s="28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8"/>
      <c r="B100" s="13"/>
      <c r="C100" s="28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8"/>
      <c r="B101" s="13"/>
      <c r="C101" s="28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8"/>
      <c r="B102" s="13"/>
      <c r="C102" s="28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8"/>
      <c r="B103" s="13"/>
      <c r="C103" s="28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8"/>
      <c r="B104" s="13"/>
      <c r="C104" s="28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8"/>
      <c r="B105" s="13"/>
      <c r="C105" s="28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8"/>
      <c r="B106" s="13"/>
      <c r="C106" s="28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8"/>
      <c r="B107" s="13"/>
      <c r="C107" s="28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8"/>
      <c r="B108" s="13"/>
      <c r="C108" s="28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8"/>
      <c r="B109" s="13"/>
      <c r="C109" s="28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8"/>
      <c r="B110" s="13"/>
      <c r="C110" s="28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8"/>
      <c r="B111" s="13"/>
      <c r="C111" s="28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8"/>
      <c r="B112" s="13"/>
      <c r="C112" s="28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8"/>
      <c r="B113" s="13"/>
      <c r="C113" s="28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8"/>
      <c r="B114" s="13"/>
      <c r="C114" s="28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8"/>
      <c r="B115" s="13"/>
      <c r="C115" s="28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8"/>
      <c r="B116" s="13"/>
      <c r="C116" s="28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8"/>
      <c r="B117" s="13"/>
      <c r="C117" s="28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8"/>
      <c r="B118" s="13"/>
      <c r="C118" s="28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8"/>
      <c r="B119" s="13"/>
      <c r="C119" s="28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8"/>
      <c r="B120" s="13"/>
      <c r="C120" s="28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8"/>
      <c r="B121" s="13"/>
      <c r="C121" s="28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8"/>
      <c r="B122" s="13"/>
      <c r="C122" s="28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8"/>
      <c r="B123" s="13"/>
      <c r="C123" s="28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8"/>
      <c r="B124" s="13"/>
      <c r="C124" s="28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8"/>
      <c r="B125" s="13"/>
      <c r="C125" s="28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8"/>
      <c r="B126" s="13"/>
      <c r="C126" s="28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8"/>
      <c r="B127" s="13"/>
      <c r="C127" s="28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8"/>
      <c r="B128" s="13"/>
      <c r="C128" s="28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8"/>
      <c r="B129" s="13"/>
      <c r="C129" s="28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8"/>
      <c r="B130" s="13"/>
      <c r="C130" s="28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8"/>
      <c r="B131" s="13"/>
      <c r="C131" s="28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8"/>
      <c r="B132" s="13"/>
      <c r="C132" s="28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8"/>
      <c r="B133" s="13"/>
      <c r="C133" s="28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8"/>
      <c r="B134" s="13"/>
      <c r="C134" s="28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8"/>
      <c r="B135" s="13"/>
      <c r="C135" s="28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8"/>
      <c r="B136" s="13"/>
      <c r="C136" s="28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8"/>
      <c r="B137" s="13"/>
      <c r="C137" s="28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8"/>
      <c r="B138" s="13"/>
      <c r="C138" s="28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8"/>
      <c r="B139" s="13"/>
      <c r="C139" s="28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8"/>
      <c r="B140" s="13"/>
      <c r="C140" s="28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8"/>
      <c r="B141" s="13"/>
      <c r="C141" s="28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8"/>
      <c r="B142" s="13"/>
      <c r="C142" s="28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8"/>
      <c r="B143" s="13"/>
      <c r="C143" s="28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8"/>
      <c r="B144" s="13"/>
      <c r="C144" s="28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8"/>
      <c r="B145" s="13"/>
      <c r="C145" s="28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8"/>
      <c r="B146" s="13"/>
      <c r="C146" s="28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8"/>
      <c r="B147" s="13"/>
      <c r="C147" s="28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8"/>
      <c r="B148" s="13"/>
      <c r="C148" s="28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8"/>
      <c r="B149" s="13"/>
      <c r="C149" s="28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8"/>
      <c r="B150" s="13"/>
      <c r="C150" s="28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8"/>
      <c r="B151" s="13"/>
      <c r="C151" s="28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8"/>
      <c r="B152" s="13"/>
      <c r="C152" s="28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8"/>
      <c r="B153" s="13"/>
      <c r="C153" s="28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8"/>
      <c r="B154" s="13"/>
      <c r="C154" s="28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8"/>
      <c r="B155" s="13"/>
      <c r="C155" s="28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8"/>
      <c r="B156" s="13"/>
      <c r="C156" s="28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8"/>
      <c r="B157" s="13"/>
      <c r="C157" s="28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8"/>
      <c r="B158" s="13"/>
      <c r="C158" s="28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8"/>
      <c r="B159" s="13"/>
      <c r="C159" s="28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8"/>
      <c r="B160" s="13"/>
      <c r="C160" s="28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8"/>
      <c r="B161" s="13"/>
      <c r="C161" s="28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8"/>
      <c r="B162" s="13"/>
      <c r="C162" s="28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8"/>
      <c r="B163" s="13"/>
      <c r="C163" s="28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8"/>
      <c r="B164" s="13"/>
      <c r="C164" s="28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8"/>
      <c r="B165" s="13"/>
      <c r="C165" s="28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8"/>
      <c r="B166" s="13"/>
      <c r="C166" s="28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8"/>
      <c r="B167" s="13"/>
      <c r="C167" s="28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8"/>
      <c r="B168" s="13"/>
      <c r="C168" s="28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8"/>
      <c r="B169" s="13"/>
      <c r="C169" s="28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8"/>
      <c r="B170" s="13"/>
      <c r="C170" s="28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8"/>
      <c r="B171" s="13"/>
      <c r="C171" s="28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8"/>
      <c r="B172" s="13"/>
      <c r="C172" s="28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8"/>
      <c r="B173" s="13"/>
      <c r="C173" s="28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8"/>
      <c r="B174" s="13"/>
      <c r="C174" s="28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8"/>
      <c r="B175" s="13"/>
      <c r="C175" s="28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8"/>
      <c r="B176" s="13"/>
      <c r="C176" s="28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8"/>
      <c r="B177" s="13"/>
      <c r="C177" s="28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8"/>
      <c r="B178" s="13"/>
      <c r="C178" s="28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8"/>
      <c r="B179" s="13"/>
      <c r="C179" s="28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8"/>
      <c r="B180" s="13"/>
      <c r="C180" s="28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8"/>
      <c r="B181" s="13"/>
      <c r="C181" s="28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8"/>
      <c r="B182" s="13"/>
      <c r="C182" s="28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8"/>
      <c r="B183" s="13"/>
      <c r="C183" s="28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8"/>
      <c r="B184" s="13"/>
      <c r="C184" s="28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8"/>
      <c r="B185" s="13"/>
      <c r="C185" s="28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8"/>
      <c r="B186" s="13"/>
      <c r="C186" s="28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8"/>
      <c r="B187" s="13"/>
      <c r="C187" s="28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8"/>
      <c r="B188" s="13"/>
      <c r="C188" s="28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8"/>
      <c r="B189" s="13"/>
      <c r="C189" s="28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8"/>
      <c r="B190" s="13"/>
      <c r="C190" s="28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8"/>
      <c r="B191" s="13"/>
      <c r="C191" s="28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8"/>
      <c r="B192" s="13"/>
      <c r="C192" s="28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8"/>
      <c r="B193" s="13"/>
      <c r="C193" s="28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8"/>
      <c r="B194" s="13"/>
      <c r="C194" s="28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8"/>
      <c r="B195" s="13"/>
      <c r="C195" s="28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8"/>
      <c r="B196" s="13"/>
      <c r="C196" s="28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8"/>
      <c r="B197" s="13"/>
      <c r="C197" s="28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8"/>
      <c r="B198" s="13"/>
      <c r="C198" s="28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8"/>
      <c r="B199" s="13"/>
      <c r="C199" s="28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8"/>
      <c r="B200" s="13"/>
      <c r="C200" s="28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8"/>
      <c r="B201" s="13"/>
      <c r="C201" s="28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8"/>
      <c r="B202" s="13"/>
      <c r="C202" s="28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8"/>
      <c r="B203" s="13"/>
      <c r="C203" s="28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8"/>
      <c r="B204" s="13"/>
      <c r="C204" s="28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8"/>
      <c r="B205" s="13"/>
      <c r="C205" s="28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8"/>
      <c r="B206" s="13"/>
      <c r="C206" s="28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8"/>
      <c r="B207" s="13"/>
      <c r="C207" s="28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8"/>
      <c r="B208" s="13"/>
      <c r="C208" s="28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8"/>
      <c r="B209" s="13"/>
      <c r="C209" s="28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8"/>
      <c r="B210" s="13"/>
      <c r="C210" s="28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8"/>
      <c r="B211" s="13"/>
      <c r="C211" s="28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8"/>
      <c r="B212" s="13"/>
      <c r="C212" s="28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8"/>
      <c r="B213" s="13"/>
      <c r="C213" s="28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8"/>
      <c r="B214" s="13"/>
      <c r="C214" s="28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8"/>
      <c r="B215" s="13"/>
      <c r="C215" s="28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8"/>
      <c r="B216" s="13"/>
      <c r="C216" s="28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8"/>
      <c r="B217" s="13"/>
      <c r="C217" s="28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8"/>
      <c r="B218" s="13"/>
      <c r="C218" s="28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8"/>
      <c r="B219" s="13"/>
      <c r="C219" s="28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8"/>
      <c r="B220" s="13"/>
      <c r="C220" s="28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28" t="s">
        <v>192</v>
      </c>
      <c r="B1" s="28" t="s">
        <v>193</v>
      </c>
      <c r="C1" s="28" t="s">
        <v>194</v>
      </c>
      <c r="D1" s="28" t="s">
        <v>217</v>
      </c>
      <c r="E1" s="28" t="s">
        <v>218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>
      <c r="A2" s="28" t="s">
        <v>219</v>
      </c>
      <c r="B2" s="13">
        <v>0.0</v>
      </c>
      <c r="C2" s="28" t="s">
        <v>220</v>
      </c>
      <c r="D2" s="28" t="s">
        <v>221</v>
      </c>
      <c r="E2" s="28" t="s">
        <v>221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8" t="s">
        <v>222</v>
      </c>
      <c r="B3" s="13">
        <v>0.0</v>
      </c>
      <c r="C3" s="28" t="s">
        <v>223</v>
      </c>
      <c r="D3" s="28" t="s">
        <v>224</v>
      </c>
      <c r="E3" s="28" t="s">
        <v>224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8" t="s">
        <v>225</v>
      </c>
      <c r="B4" s="13">
        <v>0.0</v>
      </c>
      <c r="C4" s="28" t="s">
        <v>226</v>
      </c>
      <c r="D4" s="28" t="s">
        <v>227</v>
      </c>
      <c r="E4" s="28" t="s">
        <v>227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8"/>
      <c r="B5" s="13"/>
      <c r="C5" s="28"/>
      <c r="D5" s="28"/>
      <c r="E5" s="28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8" t="s">
        <v>228</v>
      </c>
      <c r="B6" s="13">
        <v>0.0</v>
      </c>
      <c r="C6" s="28" t="s">
        <v>229</v>
      </c>
      <c r="D6" s="28" t="s">
        <v>230</v>
      </c>
      <c r="E6" s="28" t="s">
        <v>231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8" t="s">
        <v>232</v>
      </c>
      <c r="B7" s="13">
        <v>0.0</v>
      </c>
      <c r="C7" s="28" t="s">
        <v>233</v>
      </c>
      <c r="D7" s="28" t="s">
        <v>234</v>
      </c>
      <c r="E7" s="28" t="s">
        <v>235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8" t="s">
        <v>236</v>
      </c>
      <c r="B8" s="13">
        <v>0.0</v>
      </c>
      <c r="C8" s="28" t="s">
        <v>237</v>
      </c>
      <c r="D8" s="28" t="s">
        <v>238</v>
      </c>
      <c r="E8" s="28" t="s">
        <v>239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8" t="s">
        <v>240</v>
      </c>
      <c r="B9" s="13">
        <v>0.0</v>
      </c>
      <c r="C9" s="28" t="s">
        <v>241</v>
      </c>
      <c r="D9" s="28" t="s">
        <v>242</v>
      </c>
      <c r="E9" s="28" t="s">
        <v>243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8" t="s">
        <v>244</v>
      </c>
      <c r="B10" s="13">
        <v>0.0</v>
      </c>
      <c r="C10" s="28" t="s">
        <v>245</v>
      </c>
      <c r="D10" s="28" t="s">
        <v>246</v>
      </c>
      <c r="E10" s="28" t="s">
        <v>247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8" t="s">
        <v>248</v>
      </c>
      <c r="B11" s="13">
        <v>0.0</v>
      </c>
      <c r="C11" s="28" t="s">
        <v>249</v>
      </c>
      <c r="D11" s="28" t="s">
        <v>250</v>
      </c>
      <c r="E11" s="28" t="s">
        <v>251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8" t="s">
        <v>252</v>
      </c>
      <c r="B12" s="13">
        <v>0.0</v>
      </c>
      <c r="C12" s="28" t="s">
        <v>253</v>
      </c>
      <c r="D12" s="28" t="s">
        <v>254</v>
      </c>
      <c r="E12" s="28" t="s">
        <v>255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8" t="s">
        <v>256</v>
      </c>
      <c r="B13" s="13">
        <v>0.0</v>
      </c>
      <c r="C13" s="28" t="s">
        <v>257</v>
      </c>
      <c r="D13" s="28" t="s">
        <v>258</v>
      </c>
      <c r="E13" s="28" t="s">
        <v>259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8" t="s">
        <v>260</v>
      </c>
      <c r="B14" s="13">
        <v>0.0</v>
      </c>
      <c r="C14" s="28" t="s">
        <v>261</v>
      </c>
      <c r="D14" s="28" t="s">
        <v>262</v>
      </c>
      <c r="E14" s="28" t="s">
        <v>263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8" t="s">
        <v>264</v>
      </c>
      <c r="B15" s="13">
        <v>0.0</v>
      </c>
      <c r="C15" s="28" t="s">
        <v>265</v>
      </c>
      <c r="D15" s="28" t="s">
        <v>266</v>
      </c>
      <c r="E15" s="28" t="s">
        <v>267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8"/>
      <c r="B16" s="13"/>
      <c r="C16" s="28"/>
      <c r="D16" s="28"/>
      <c r="E16" s="28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8" t="s">
        <v>268</v>
      </c>
      <c r="B17" s="13">
        <v>0.0</v>
      </c>
      <c r="C17" s="28" t="s">
        <v>269</v>
      </c>
      <c r="D17" s="28" t="s">
        <v>270</v>
      </c>
      <c r="E17" s="28" t="s">
        <v>271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8" t="s">
        <v>272</v>
      </c>
      <c r="B18" s="13">
        <v>0.0</v>
      </c>
      <c r="C18" s="28" t="s">
        <v>273</v>
      </c>
      <c r="D18" s="28" t="s">
        <v>274</v>
      </c>
      <c r="E18" s="28" t="s">
        <v>275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8" t="s">
        <v>276</v>
      </c>
      <c r="B19" s="13">
        <v>0.0</v>
      </c>
      <c r="C19" s="28" t="s">
        <v>277</v>
      </c>
      <c r="D19" s="28" t="s">
        <v>278</v>
      </c>
      <c r="E19" s="28" t="s">
        <v>279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8" t="s">
        <v>280</v>
      </c>
      <c r="B20" s="13">
        <v>0.0</v>
      </c>
      <c r="C20" s="28" t="s">
        <v>281</v>
      </c>
      <c r="D20" s="28" t="s">
        <v>282</v>
      </c>
      <c r="E20" s="28" t="s">
        <v>283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8" t="s">
        <v>284</v>
      </c>
      <c r="B21" s="13">
        <v>0.0</v>
      </c>
      <c r="C21" s="28" t="s">
        <v>285</v>
      </c>
      <c r="D21" s="28" t="s">
        <v>286</v>
      </c>
      <c r="E21" s="28" t="s">
        <v>287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8" t="s">
        <v>288</v>
      </c>
      <c r="B22" s="13">
        <v>0.0</v>
      </c>
      <c r="C22" s="28" t="s">
        <v>289</v>
      </c>
      <c r="D22" s="28" t="s">
        <v>290</v>
      </c>
      <c r="E22" s="28" t="s">
        <v>291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8" t="s">
        <v>292</v>
      </c>
      <c r="B23" s="13">
        <v>0.0</v>
      </c>
      <c r="C23" s="28" t="s">
        <v>293</v>
      </c>
      <c r="D23" s="28" t="s">
        <v>294</v>
      </c>
      <c r="E23" s="28" t="s">
        <v>295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8" t="s">
        <v>296</v>
      </c>
      <c r="B24" s="13">
        <v>0.0</v>
      </c>
      <c r="C24" s="28" t="s">
        <v>297</v>
      </c>
      <c r="D24" s="28" t="s">
        <v>298</v>
      </c>
      <c r="E24" s="28" t="s">
        <v>299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8" t="s">
        <v>300</v>
      </c>
      <c r="B25" s="13">
        <v>0.0</v>
      </c>
      <c r="C25" s="28" t="s">
        <v>301</v>
      </c>
      <c r="D25" s="28" t="s">
        <v>302</v>
      </c>
      <c r="E25" s="28" t="s">
        <v>303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8" t="s">
        <v>304</v>
      </c>
      <c r="B26" s="13">
        <v>0.0</v>
      </c>
      <c r="C26" s="28" t="s">
        <v>305</v>
      </c>
      <c r="D26" s="28" t="s">
        <v>306</v>
      </c>
      <c r="E26" s="28" t="s">
        <v>307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8" t="s">
        <v>308</v>
      </c>
      <c r="B27" s="13">
        <v>0.0</v>
      </c>
      <c r="C27" s="28" t="s">
        <v>309</v>
      </c>
      <c r="D27" s="28" t="s">
        <v>310</v>
      </c>
      <c r="E27" s="28" t="s">
        <v>311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8" t="s">
        <v>312</v>
      </c>
      <c r="B28" s="13">
        <v>0.0</v>
      </c>
      <c r="C28" s="28" t="s">
        <v>313</v>
      </c>
      <c r="D28" s="28" t="s">
        <v>314</v>
      </c>
      <c r="E28" s="28" t="s">
        <v>315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8" t="s">
        <v>316</v>
      </c>
      <c r="B29" s="13">
        <v>0.0</v>
      </c>
      <c r="C29" s="28" t="s">
        <v>317</v>
      </c>
      <c r="D29" s="28" t="s">
        <v>318</v>
      </c>
      <c r="E29" s="28" t="s">
        <v>319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8" t="s">
        <v>320</v>
      </c>
      <c r="B30" s="13">
        <v>0.0</v>
      </c>
      <c r="C30" s="28" t="s">
        <v>321</v>
      </c>
      <c r="D30" s="28" t="s">
        <v>322</v>
      </c>
      <c r="E30" s="28" t="s">
        <v>323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8"/>
      <c r="B31" s="13"/>
      <c r="C31" s="28"/>
      <c r="D31" s="28"/>
      <c r="E31" s="28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8" t="s">
        <v>324</v>
      </c>
      <c r="B32" s="13">
        <v>0.0</v>
      </c>
      <c r="C32" s="28" t="s">
        <v>325</v>
      </c>
      <c r="D32" s="28" t="s">
        <v>326</v>
      </c>
      <c r="E32" s="28" t="s">
        <v>327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8" t="s">
        <v>328</v>
      </c>
      <c r="B33" s="13">
        <v>0.0</v>
      </c>
      <c r="C33" s="28" t="s">
        <v>329</v>
      </c>
      <c r="D33" s="28" t="s">
        <v>330</v>
      </c>
      <c r="E33" s="28" t="s">
        <v>331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8" t="s">
        <v>332</v>
      </c>
      <c r="B34" s="13">
        <v>0.0</v>
      </c>
      <c r="C34" s="28" t="s">
        <v>333</v>
      </c>
      <c r="D34" s="28" t="s">
        <v>334</v>
      </c>
      <c r="E34" s="28" t="s">
        <v>335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8" t="s">
        <v>336</v>
      </c>
      <c r="B35" s="13">
        <v>0.0</v>
      </c>
      <c r="C35" s="28" t="s">
        <v>337</v>
      </c>
      <c r="D35" s="28" t="s">
        <v>338</v>
      </c>
      <c r="E35" s="28" t="s">
        <v>339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8" t="s">
        <v>340</v>
      </c>
      <c r="B36" s="13">
        <v>0.0</v>
      </c>
      <c r="C36" s="28" t="s">
        <v>341</v>
      </c>
      <c r="D36" s="28" t="s">
        <v>342</v>
      </c>
      <c r="E36" s="28" t="s">
        <v>343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8" t="s">
        <v>344</v>
      </c>
      <c r="B37" s="13">
        <v>0.0</v>
      </c>
      <c r="C37" s="28" t="s">
        <v>345</v>
      </c>
      <c r="D37" s="28" t="s">
        <v>346</v>
      </c>
      <c r="E37" s="28" t="s">
        <v>347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8" t="s">
        <v>348</v>
      </c>
      <c r="B38" s="13">
        <v>0.0</v>
      </c>
      <c r="C38" s="28" t="s">
        <v>349</v>
      </c>
      <c r="D38" s="28" t="s">
        <v>350</v>
      </c>
      <c r="E38" s="28" t="s">
        <v>351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8" t="s">
        <v>352</v>
      </c>
      <c r="B39" s="13">
        <v>0.0</v>
      </c>
      <c r="C39" s="28" t="s">
        <v>353</v>
      </c>
      <c r="D39" s="28" t="s">
        <v>354</v>
      </c>
      <c r="E39" s="28" t="s">
        <v>355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8" t="s">
        <v>356</v>
      </c>
      <c r="B40" s="13">
        <v>0.0</v>
      </c>
      <c r="C40" s="28" t="s">
        <v>357</v>
      </c>
      <c r="D40" s="28" t="s">
        <v>358</v>
      </c>
      <c r="E40" s="28" t="s">
        <v>359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8" t="s">
        <v>360</v>
      </c>
      <c r="B41" s="13">
        <v>0.0</v>
      </c>
      <c r="C41" s="28" t="s">
        <v>361</v>
      </c>
      <c r="D41" s="28" t="s">
        <v>362</v>
      </c>
      <c r="E41" s="28" t="s">
        <v>363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8" t="s">
        <v>364</v>
      </c>
      <c r="B42" s="13">
        <v>0.0</v>
      </c>
      <c r="C42" s="28" t="s">
        <v>365</v>
      </c>
      <c r="D42" s="28" t="s">
        <v>366</v>
      </c>
      <c r="E42" s="28" t="s">
        <v>367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8" t="s">
        <v>368</v>
      </c>
      <c r="B43" s="13">
        <v>0.0</v>
      </c>
      <c r="C43" s="28" t="s">
        <v>369</v>
      </c>
      <c r="D43" s="28" t="s">
        <v>370</v>
      </c>
      <c r="E43" s="28" t="s">
        <v>371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8" t="s">
        <v>372</v>
      </c>
      <c r="B44" s="13">
        <v>0.0</v>
      </c>
      <c r="C44" s="28" t="s">
        <v>373</v>
      </c>
      <c r="D44" s="28" t="s">
        <v>374</v>
      </c>
      <c r="E44" s="28" t="s">
        <v>375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8" t="s">
        <v>376</v>
      </c>
      <c r="B45" s="13">
        <v>0.0</v>
      </c>
      <c r="C45" s="28" t="s">
        <v>377</v>
      </c>
      <c r="D45" s="28" t="s">
        <v>378</v>
      </c>
      <c r="E45" s="28" t="s">
        <v>379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8" t="s">
        <v>380</v>
      </c>
      <c r="B46" s="13">
        <v>0.0</v>
      </c>
      <c r="C46" s="28" t="s">
        <v>381</v>
      </c>
      <c r="D46" s="28" t="s">
        <v>382</v>
      </c>
      <c r="E46" s="28" t="s">
        <v>383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8" t="s">
        <v>384</v>
      </c>
      <c r="B47" s="13">
        <v>0.0</v>
      </c>
      <c r="C47" s="28" t="s">
        <v>385</v>
      </c>
      <c r="D47" s="28" t="s">
        <v>386</v>
      </c>
      <c r="E47" s="28" t="s">
        <v>387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8" t="s">
        <v>388</v>
      </c>
      <c r="B48" s="13">
        <v>0.0</v>
      </c>
      <c r="C48" s="28" t="s">
        <v>389</v>
      </c>
      <c r="D48" s="28" t="s">
        <v>390</v>
      </c>
      <c r="E48" s="28" t="s">
        <v>391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8" t="s">
        <v>392</v>
      </c>
      <c r="B49" s="13">
        <v>0.0</v>
      </c>
      <c r="C49" s="28" t="s">
        <v>393</v>
      </c>
      <c r="D49" s="28" t="s">
        <v>394</v>
      </c>
      <c r="E49" s="28" t="s">
        <v>395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8" t="s">
        <v>396</v>
      </c>
      <c r="B50" s="13">
        <v>0.0</v>
      </c>
      <c r="C50" s="28" t="s">
        <v>397</v>
      </c>
      <c r="D50" s="28" t="s">
        <v>398</v>
      </c>
      <c r="E50" s="28" t="s">
        <v>399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8" t="s">
        <v>400</v>
      </c>
      <c r="B51" s="13">
        <v>0.0</v>
      </c>
      <c r="C51" s="28" t="s">
        <v>401</v>
      </c>
      <c r="D51" s="28" t="s">
        <v>402</v>
      </c>
      <c r="E51" s="28" t="s">
        <v>403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8" t="s">
        <v>404</v>
      </c>
      <c r="B52" s="13">
        <v>0.0</v>
      </c>
      <c r="C52" s="28" t="s">
        <v>405</v>
      </c>
      <c r="D52" s="28" t="s">
        <v>29</v>
      </c>
      <c r="E52" s="28" t="s">
        <v>406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8" t="s">
        <v>407</v>
      </c>
      <c r="B53" s="13">
        <v>0.0</v>
      </c>
      <c r="C53" s="28" t="s">
        <v>408</v>
      </c>
      <c r="D53" s="28" t="s">
        <v>250</v>
      </c>
      <c r="E53" s="28" t="s">
        <v>251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8" t="s">
        <v>409</v>
      </c>
      <c r="B54" s="13">
        <v>0.0</v>
      </c>
      <c r="C54" s="28" t="s">
        <v>410</v>
      </c>
      <c r="D54" s="28" t="s">
        <v>411</v>
      </c>
      <c r="E54" s="28" t="s">
        <v>412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8" t="s">
        <v>413</v>
      </c>
      <c r="B55" s="13">
        <v>0.0</v>
      </c>
      <c r="C55" s="28" t="s">
        <v>414</v>
      </c>
      <c r="D55" s="28" t="s">
        <v>415</v>
      </c>
      <c r="E55" s="28" t="s">
        <v>416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8" t="s">
        <v>417</v>
      </c>
      <c r="B56" s="13">
        <v>0.0</v>
      </c>
      <c r="C56" s="28" t="s">
        <v>418</v>
      </c>
      <c r="D56" s="28" t="s">
        <v>419</v>
      </c>
      <c r="E56" s="28" t="s">
        <v>420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8" t="s">
        <v>421</v>
      </c>
      <c r="B57" s="13">
        <v>0.0</v>
      </c>
      <c r="C57" s="28" t="s">
        <v>422</v>
      </c>
      <c r="D57" s="28" t="s">
        <v>423</v>
      </c>
      <c r="E57" s="28" t="s">
        <v>424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8" t="s">
        <v>425</v>
      </c>
      <c r="B58" s="13">
        <v>0.0</v>
      </c>
      <c r="C58" s="28" t="s">
        <v>426</v>
      </c>
      <c r="D58" s="28" t="s">
        <v>427</v>
      </c>
      <c r="E58" s="28" t="s">
        <v>428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8" t="s">
        <v>429</v>
      </c>
      <c r="B59" s="13">
        <v>0.0</v>
      </c>
      <c r="C59" s="28" t="s">
        <v>430</v>
      </c>
      <c r="D59" s="28" t="s">
        <v>36</v>
      </c>
      <c r="E59" s="28" t="s">
        <v>431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8" t="s">
        <v>432</v>
      </c>
      <c r="B60" s="13">
        <v>0.0</v>
      </c>
      <c r="C60" s="28" t="s">
        <v>433</v>
      </c>
      <c r="D60" s="28" t="s">
        <v>434</v>
      </c>
      <c r="E60" s="28" t="s">
        <v>435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8" t="s">
        <v>436</v>
      </c>
      <c r="B61" s="13">
        <v>0.0</v>
      </c>
      <c r="C61" s="28" t="s">
        <v>437</v>
      </c>
      <c r="D61" s="28" t="s">
        <v>17</v>
      </c>
      <c r="E61" s="28" t="s">
        <v>438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8" t="s">
        <v>439</v>
      </c>
      <c r="B62" s="13">
        <v>0.0</v>
      </c>
      <c r="C62" s="28" t="s">
        <v>440</v>
      </c>
      <c r="D62" s="28" t="s">
        <v>80</v>
      </c>
      <c r="E62" s="28" t="s">
        <v>441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8" t="s">
        <v>442</v>
      </c>
      <c r="B63" s="13">
        <v>0.0</v>
      </c>
      <c r="C63" s="28" t="s">
        <v>443</v>
      </c>
      <c r="D63" s="28" t="s">
        <v>83</v>
      </c>
      <c r="E63" s="28" t="s">
        <v>444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8" t="s">
        <v>445</v>
      </c>
      <c r="B64" s="13">
        <v>0.0</v>
      </c>
      <c r="C64" s="28" t="s">
        <v>446</v>
      </c>
      <c r="D64" s="28" t="s">
        <v>447</v>
      </c>
      <c r="E64" s="28" t="s">
        <v>448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8" t="s">
        <v>449</v>
      </c>
      <c r="B65" s="13">
        <v>0.0</v>
      </c>
      <c r="C65" s="28" t="s">
        <v>450</v>
      </c>
      <c r="D65" s="28" t="s">
        <v>451</v>
      </c>
      <c r="E65" s="28" t="s">
        <v>452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8" t="s">
        <v>453</v>
      </c>
      <c r="B66" s="13">
        <v>0.0</v>
      </c>
      <c r="C66" s="28" t="s">
        <v>454</v>
      </c>
      <c r="D66" s="28" t="s">
        <v>455</v>
      </c>
      <c r="E66" s="28" t="s">
        <v>456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8" t="s">
        <v>457</v>
      </c>
      <c r="B67" s="13">
        <v>0.0</v>
      </c>
      <c r="C67" s="28" t="s">
        <v>458</v>
      </c>
      <c r="D67" s="28" t="s">
        <v>459</v>
      </c>
      <c r="E67" s="28" t="s">
        <v>460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8" t="s">
        <v>461</v>
      </c>
      <c r="B68" s="13">
        <v>0.0</v>
      </c>
      <c r="C68" s="28" t="s">
        <v>462</v>
      </c>
      <c r="D68" s="28" t="s">
        <v>463</v>
      </c>
      <c r="E68" s="28" t="s">
        <v>464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8" t="s">
        <v>465</v>
      </c>
      <c r="B69" s="13">
        <v>0.0</v>
      </c>
      <c r="C69" s="28" t="s">
        <v>466</v>
      </c>
      <c r="D69" s="28" t="s">
        <v>467</v>
      </c>
      <c r="E69" s="28" t="s">
        <v>468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8" t="s">
        <v>469</v>
      </c>
      <c r="B70" s="13">
        <v>0.0</v>
      </c>
      <c r="C70" s="28" t="s">
        <v>470</v>
      </c>
      <c r="D70" s="28" t="s">
        <v>471</v>
      </c>
      <c r="E70" s="28" t="s">
        <v>472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8" t="s">
        <v>473</v>
      </c>
      <c r="B71" s="13">
        <v>0.0</v>
      </c>
      <c r="C71" s="28" t="s">
        <v>474</v>
      </c>
      <c r="D71" s="28" t="s">
        <v>475</v>
      </c>
      <c r="E71" s="28" t="s">
        <v>476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8" t="s">
        <v>477</v>
      </c>
      <c r="B72" s="13">
        <v>0.0</v>
      </c>
      <c r="C72" s="28" t="s">
        <v>478</v>
      </c>
      <c r="D72" s="28" t="s">
        <v>479</v>
      </c>
      <c r="E72" s="28" t="s">
        <v>480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8" t="s">
        <v>481</v>
      </c>
      <c r="B73" s="13">
        <v>0.0</v>
      </c>
      <c r="C73" s="28" t="s">
        <v>482</v>
      </c>
      <c r="D73" s="28" t="s">
        <v>483</v>
      </c>
      <c r="E73" s="28" t="s">
        <v>484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8" t="s">
        <v>485</v>
      </c>
      <c r="B74" s="13">
        <v>0.0</v>
      </c>
      <c r="C74" s="28" t="s">
        <v>486</v>
      </c>
      <c r="D74" s="28" t="s">
        <v>487</v>
      </c>
      <c r="E74" s="28" t="s">
        <v>488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8" t="s">
        <v>489</v>
      </c>
      <c r="B75" s="13">
        <v>0.0</v>
      </c>
      <c r="C75" s="28" t="s">
        <v>490</v>
      </c>
      <c r="D75" s="28" t="s">
        <v>491</v>
      </c>
      <c r="E75" s="28" t="s">
        <v>492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8" t="s">
        <v>493</v>
      </c>
      <c r="B76" s="13">
        <v>0.0</v>
      </c>
      <c r="C76" s="28" t="s">
        <v>494</v>
      </c>
      <c r="D76" s="28" t="s">
        <v>495</v>
      </c>
      <c r="E76" s="28" t="s">
        <v>496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8" t="s">
        <v>497</v>
      </c>
      <c r="B77" s="13">
        <v>0.0</v>
      </c>
      <c r="C77" s="28" t="s">
        <v>498</v>
      </c>
      <c r="D77" s="28" t="s">
        <v>499</v>
      </c>
      <c r="E77" s="28" t="s">
        <v>500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8" t="s">
        <v>501</v>
      </c>
      <c r="B78" s="13">
        <v>0.0</v>
      </c>
      <c r="C78" s="28" t="s">
        <v>502</v>
      </c>
      <c r="D78" s="28" t="s">
        <v>503</v>
      </c>
      <c r="E78" s="28" t="s">
        <v>504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8" t="s">
        <v>505</v>
      </c>
      <c r="B79" s="13">
        <v>0.0</v>
      </c>
      <c r="C79" s="28" t="s">
        <v>506</v>
      </c>
      <c r="D79" s="28" t="s">
        <v>507</v>
      </c>
      <c r="E79" s="28" t="s">
        <v>508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8"/>
      <c r="B80" s="13"/>
      <c r="C80" s="28"/>
      <c r="D80" s="28"/>
      <c r="E80" s="28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8" t="s">
        <v>509</v>
      </c>
      <c r="B81" s="13">
        <v>0.0</v>
      </c>
      <c r="C81" s="28" t="s">
        <v>510</v>
      </c>
      <c r="D81" s="28" t="s">
        <v>511</v>
      </c>
      <c r="E81" s="28" t="s">
        <v>512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8" t="s">
        <v>513</v>
      </c>
      <c r="B82" s="13">
        <v>0.0</v>
      </c>
      <c r="C82" s="28" t="s">
        <v>514</v>
      </c>
      <c r="D82" s="28" t="s">
        <v>515</v>
      </c>
      <c r="E82" s="28" t="s">
        <v>516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8" t="s">
        <v>517</v>
      </c>
      <c r="B83" s="13">
        <v>0.0</v>
      </c>
      <c r="C83" s="28" t="s">
        <v>518</v>
      </c>
      <c r="D83" s="28" t="s">
        <v>519</v>
      </c>
      <c r="E83" s="28" t="s">
        <v>520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8" t="s">
        <v>521</v>
      </c>
      <c r="B84" s="13">
        <v>0.0</v>
      </c>
      <c r="C84" s="28" t="s">
        <v>522</v>
      </c>
      <c r="D84" s="28" t="s">
        <v>523</v>
      </c>
      <c r="E84" s="28" t="s">
        <v>524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8" t="s">
        <v>525</v>
      </c>
      <c r="B85" s="13">
        <v>0.0</v>
      </c>
      <c r="C85" s="28" t="s">
        <v>526</v>
      </c>
      <c r="D85" s="28" t="s">
        <v>527</v>
      </c>
      <c r="E85" s="28" t="s">
        <v>528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8" t="s">
        <v>529</v>
      </c>
      <c r="B86" s="13">
        <v>0.0</v>
      </c>
      <c r="C86" s="28" t="s">
        <v>530</v>
      </c>
      <c r="D86" s="28" t="s">
        <v>531</v>
      </c>
      <c r="E86" s="28" t="s">
        <v>532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8" t="s">
        <v>533</v>
      </c>
      <c r="B87" s="13">
        <v>0.0</v>
      </c>
      <c r="C87" s="28" t="s">
        <v>534</v>
      </c>
      <c r="D87" s="28" t="s">
        <v>535</v>
      </c>
      <c r="E87" s="28" t="s">
        <v>536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8" t="s">
        <v>537</v>
      </c>
      <c r="B88" s="13">
        <v>0.0</v>
      </c>
      <c r="C88" s="28" t="s">
        <v>538</v>
      </c>
      <c r="D88" s="28" t="s">
        <v>539</v>
      </c>
      <c r="E88" s="28" t="s">
        <v>540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8"/>
      <c r="B89" s="13"/>
      <c r="C89" s="28"/>
      <c r="D89" s="28"/>
      <c r="E89" s="2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/>
    <row r="91" ht="15.75" customHeight="1"/>
    <row r="92" ht="15.75" customHeight="1">
      <c r="A92" s="28"/>
      <c r="B92" s="13"/>
      <c r="C92" s="28"/>
      <c r="D92" s="28"/>
      <c r="E92" s="28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8"/>
      <c r="B93" s="13"/>
      <c r="C93" s="28"/>
      <c r="D93" s="28"/>
      <c r="E93" s="28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8"/>
      <c r="B94" s="13"/>
      <c r="C94" s="28"/>
      <c r="D94" s="28"/>
      <c r="E94" s="28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8"/>
      <c r="B95" s="13"/>
      <c r="C95" s="28"/>
      <c r="D95" s="28"/>
      <c r="E95" s="28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8"/>
      <c r="B96" s="13"/>
      <c r="C96" s="28"/>
      <c r="D96" s="28"/>
      <c r="E96" s="28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8"/>
      <c r="B97" s="13"/>
      <c r="C97" s="28"/>
      <c r="D97" s="28"/>
      <c r="E97" s="28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8"/>
      <c r="B98" s="13"/>
      <c r="C98" s="28"/>
      <c r="D98" s="28"/>
      <c r="E98" s="28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8"/>
      <c r="B99" s="13"/>
      <c r="C99" s="28"/>
      <c r="D99" s="28"/>
      <c r="E99" s="28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8"/>
      <c r="B100" s="13"/>
      <c r="C100" s="28"/>
      <c r="D100" s="28"/>
      <c r="E100" s="28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8"/>
      <c r="B101" s="13"/>
      <c r="C101" s="28"/>
      <c r="D101" s="28"/>
      <c r="E101" s="28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8"/>
      <c r="B102" s="13"/>
      <c r="C102" s="28"/>
      <c r="D102" s="28"/>
      <c r="E102" s="28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8"/>
      <c r="B103" s="13"/>
      <c r="C103" s="28"/>
      <c r="D103" s="28"/>
      <c r="E103" s="28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8"/>
      <c r="B104" s="13"/>
      <c r="C104" s="28"/>
      <c r="D104" s="28"/>
      <c r="E104" s="28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8"/>
      <c r="B105" s="13"/>
      <c r="C105" s="28"/>
      <c r="D105" s="28"/>
      <c r="E105" s="28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8"/>
      <c r="B106" s="13"/>
      <c r="C106" s="28"/>
      <c r="D106" s="28"/>
      <c r="E106" s="28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8"/>
      <c r="B107" s="13"/>
      <c r="C107" s="28"/>
      <c r="D107" s="28"/>
      <c r="E107" s="28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8"/>
      <c r="B108" s="13"/>
      <c r="C108" s="28"/>
      <c r="D108" s="28"/>
      <c r="E108" s="28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8"/>
      <c r="B109" s="13"/>
      <c r="C109" s="28"/>
      <c r="D109" s="28"/>
      <c r="E109" s="28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8"/>
      <c r="B110" s="13"/>
      <c r="C110" s="28"/>
      <c r="D110" s="28"/>
      <c r="E110" s="28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8"/>
      <c r="B111" s="13"/>
      <c r="C111" s="28"/>
      <c r="D111" s="28"/>
      <c r="E111" s="28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8"/>
      <c r="B112" s="13"/>
      <c r="C112" s="28"/>
      <c r="D112" s="28"/>
      <c r="E112" s="28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8"/>
      <c r="B113" s="13"/>
      <c r="C113" s="28"/>
      <c r="D113" s="28"/>
      <c r="E113" s="28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8"/>
      <c r="B114" s="13"/>
      <c r="C114" s="28"/>
      <c r="D114" s="28"/>
      <c r="E114" s="28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8"/>
      <c r="B115" s="13"/>
      <c r="C115" s="28"/>
      <c r="D115" s="28"/>
      <c r="E115" s="28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8"/>
      <c r="B116" s="13"/>
      <c r="C116" s="28"/>
      <c r="D116" s="28"/>
      <c r="E116" s="28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8"/>
      <c r="B117" s="13"/>
      <c r="C117" s="28"/>
      <c r="D117" s="28"/>
      <c r="E117" s="28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8"/>
      <c r="B118" s="13"/>
      <c r="C118" s="28"/>
      <c r="D118" s="28"/>
      <c r="E118" s="28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8"/>
      <c r="B119" s="13"/>
      <c r="C119" s="28"/>
      <c r="D119" s="28"/>
      <c r="E119" s="28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8"/>
      <c r="B120" s="13"/>
      <c r="C120" s="28"/>
      <c r="D120" s="28"/>
      <c r="E120" s="28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8"/>
      <c r="B121" s="13"/>
      <c r="C121" s="28"/>
      <c r="D121" s="28"/>
      <c r="E121" s="28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8"/>
      <c r="B122" s="13"/>
      <c r="C122" s="28"/>
      <c r="D122" s="28"/>
      <c r="E122" s="28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8"/>
      <c r="B123" s="13"/>
      <c r="C123" s="28"/>
      <c r="D123" s="28"/>
      <c r="E123" s="28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8"/>
      <c r="B124" s="13"/>
      <c r="C124" s="28"/>
      <c r="D124" s="28"/>
      <c r="E124" s="28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8"/>
      <c r="B125" s="13"/>
      <c r="C125" s="28"/>
      <c r="D125" s="28"/>
      <c r="E125" s="28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8"/>
      <c r="B126" s="13"/>
      <c r="C126" s="28"/>
      <c r="D126" s="28"/>
      <c r="E126" s="28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8"/>
      <c r="B127" s="13"/>
      <c r="C127" s="28"/>
      <c r="D127" s="28"/>
      <c r="E127" s="28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8"/>
      <c r="B128" s="13"/>
      <c r="C128" s="28"/>
      <c r="D128" s="28"/>
      <c r="E128" s="28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8"/>
      <c r="B129" s="13"/>
      <c r="C129" s="28"/>
      <c r="D129" s="28"/>
      <c r="E129" s="28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8"/>
      <c r="B130" s="13"/>
      <c r="C130" s="28"/>
      <c r="D130" s="28"/>
      <c r="E130" s="28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8"/>
      <c r="B131" s="13"/>
      <c r="C131" s="28"/>
      <c r="D131" s="28"/>
      <c r="E131" s="28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8"/>
      <c r="B132" s="13"/>
      <c r="C132" s="28"/>
      <c r="D132" s="28"/>
      <c r="E132" s="28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8"/>
      <c r="B133" s="13"/>
      <c r="C133" s="28"/>
      <c r="D133" s="28"/>
      <c r="E133" s="28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8"/>
      <c r="B134" s="13"/>
      <c r="C134" s="28"/>
      <c r="D134" s="28"/>
      <c r="E134" s="28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8"/>
      <c r="B135" s="13"/>
      <c r="C135" s="28"/>
      <c r="D135" s="28"/>
      <c r="E135" s="28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8"/>
      <c r="B136" s="13"/>
      <c r="C136" s="28"/>
      <c r="D136" s="28"/>
      <c r="E136" s="28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8"/>
      <c r="B137" s="13"/>
      <c r="C137" s="28"/>
      <c r="D137" s="28"/>
      <c r="E137" s="28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8"/>
      <c r="B138" s="13"/>
      <c r="C138" s="28"/>
      <c r="D138" s="28"/>
      <c r="E138" s="28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8"/>
      <c r="B139" s="13"/>
      <c r="C139" s="28"/>
      <c r="D139" s="28"/>
      <c r="E139" s="28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8"/>
      <c r="B140" s="13"/>
      <c r="C140" s="28"/>
      <c r="D140" s="28"/>
      <c r="E140" s="28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8"/>
      <c r="B141" s="13"/>
      <c r="C141" s="28"/>
      <c r="D141" s="28"/>
      <c r="E141" s="28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8"/>
      <c r="B142" s="13"/>
      <c r="C142" s="28"/>
      <c r="D142" s="28"/>
      <c r="E142" s="28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8"/>
      <c r="B143" s="13"/>
      <c r="C143" s="28"/>
      <c r="D143" s="28"/>
      <c r="E143" s="28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8"/>
      <c r="B144" s="13"/>
      <c r="C144" s="28"/>
      <c r="D144" s="28"/>
      <c r="E144" s="28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8"/>
      <c r="B145" s="13"/>
      <c r="C145" s="28"/>
      <c r="D145" s="28"/>
      <c r="E145" s="28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8"/>
      <c r="B146" s="13"/>
      <c r="C146" s="28"/>
      <c r="D146" s="28"/>
      <c r="E146" s="28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8"/>
      <c r="B147" s="13"/>
      <c r="C147" s="28"/>
      <c r="D147" s="28"/>
      <c r="E147" s="28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8"/>
      <c r="B148" s="13"/>
      <c r="C148" s="28"/>
      <c r="D148" s="28"/>
      <c r="E148" s="28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8"/>
      <c r="B149" s="13"/>
      <c r="C149" s="28"/>
      <c r="D149" s="28"/>
      <c r="E149" s="28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8"/>
      <c r="B150" s="13"/>
      <c r="C150" s="28"/>
      <c r="D150" s="28"/>
      <c r="E150" s="28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8"/>
      <c r="B151" s="13"/>
      <c r="C151" s="28"/>
      <c r="D151" s="28"/>
      <c r="E151" s="28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8"/>
      <c r="B152" s="13"/>
      <c r="C152" s="28"/>
      <c r="D152" s="28"/>
      <c r="E152" s="28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8"/>
      <c r="B153" s="13"/>
      <c r="C153" s="28"/>
      <c r="D153" s="28"/>
      <c r="E153" s="28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8"/>
      <c r="B154" s="13"/>
      <c r="C154" s="28"/>
      <c r="D154" s="28"/>
      <c r="E154" s="28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8"/>
      <c r="B155" s="13"/>
      <c r="C155" s="28"/>
      <c r="D155" s="28"/>
      <c r="E155" s="28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8"/>
      <c r="B156" s="13"/>
      <c r="C156" s="28"/>
      <c r="D156" s="28"/>
      <c r="E156" s="28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8"/>
      <c r="B157" s="13"/>
      <c r="C157" s="28"/>
      <c r="D157" s="28"/>
      <c r="E157" s="28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8"/>
      <c r="B158" s="13"/>
      <c r="C158" s="28"/>
      <c r="D158" s="28"/>
      <c r="E158" s="28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8"/>
      <c r="B159" s="13"/>
      <c r="C159" s="28"/>
      <c r="D159" s="28"/>
      <c r="E159" s="28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8"/>
      <c r="B160" s="13"/>
      <c r="C160" s="28"/>
      <c r="D160" s="28"/>
      <c r="E160" s="28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8"/>
      <c r="B161" s="13"/>
      <c r="C161" s="28"/>
      <c r="D161" s="28"/>
      <c r="E161" s="28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8"/>
      <c r="B162" s="13"/>
      <c r="C162" s="28"/>
      <c r="D162" s="28"/>
      <c r="E162" s="28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8"/>
      <c r="B163" s="13"/>
      <c r="C163" s="28"/>
      <c r="D163" s="28"/>
      <c r="E163" s="28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8"/>
      <c r="B164" s="13"/>
      <c r="C164" s="28"/>
      <c r="D164" s="28"/>
      <c r="E164" s="28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8"/>
      <c r="B165" s="13"/>
      <c r="C165" s="28"/>
      <c r="D165" s="28"/>
      <c r="E165" s="28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8"/>
      <c r="B166" s="13"/>
      <c r="C166" s="28"/>
      <c r="D166" s="28"/>
      <c r="E166" s="28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8"/>
      <c r="B167" s="13"/>
      <c r="C167" s="28"/>
      <c r="D167" s="28"/>
      <c r="E167" s="28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8"/>
      <c r="B168" s="13"/>
      <c r="C168" s="28"/>
      <c r="D168" s="28"/>
      <c r="E168" s="28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8"/>
      <c r="B169" s="13"/>
      <c r="C169" s="28"/>
      <c r="D169" s="28"/>
      <c r="E169" s="28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8"/>
      <c r="B170" s="13"/>
      <c r="C170" s="28"/>
      <c r="D170" s="28"/>
      <c r="E170" s="28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8"/>
      <c r="B171" s="13"/>
      <c r="C171" s="28"/>
      <c r="D171" s="28"/>
      <c r="E171" s="28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8"/>
      <c r="B172" s="13"/>
      <c r="C172" s="28"/>
      <c r="D172" s="28"/>
      <c r="E172" s="28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8"/>
      <c r="B173" s="13"/>
      <c r="C173" s="28"/>
      <c r="D173" s="28"/>
      <c r="E173" s="28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8"/>
      <c r="B174" s="13"/>
      <c r="C174" s="28"/>
      <c r="D174" s="28"/>
      <c r="E174" s="28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8"/>
      <c r="B175" s="13"/>
      <c r="C175" s="28"/>
      <c r="D175" s="28"/>
      <c r="E175" s="28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8"/>
      <c r="B176" s="13"/>
      <c r="C176" s="28"/>
      <c r="D176" s="28"/>
      <c r="E176" s="28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8"/>
      <c r="B177" s="13"/>
      <c r="C177" s="28"/>
      <c r="D177" s="28"/>
      <c r="E177" s="28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8"/>
      <c r="B178" s="13"/>
      <c r="C178" s="28"/>
      <c r="D178" s="28"/>
      <c r="E178" s="28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8"/>
      <c r="B179" s="13"/>
      <c r="C179" s="28"/>
      <c r="D179" s="28"/>
      <c r="E179" s="28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8"/>
      <c r="B180" s="13"/>
      <c r="C180" s="28"/>
      <c r="D180" s="28"/>
      <c r="E180" s="28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8"/>
      <c r="B181" s="13"/>
      <c r="C181" s="28"/>
      <c r="D181" s="28"/>
      <c r="E181" s="28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8"/>
      <c r="B182" s="13"/>
      <c r="C182" s="28"/>
      <c r="D182" s="28"/>
      <c r="E182" s="28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8"/>
      <c r="B183" s="13"/>
      <c r="C183" s="28"/>
      <c r="D183" s="28"/>
      <c r="E183" s="28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8"/>
      <c r="B184" s="13"/>
      <c r="C184" s="28"/>
      <c r="D184" s="28"/>
      <c r="E184" s="28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8"/>
      <c r="B185" s="13"/>
      <c r="C185" s="28"/>
      <c r="D185" s="28"/>
      <c r="E185" s="28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8"/>
      <c r="B186" s="13"/>
      <c r="C186" s="28"/>
      <c r="D186" s="28"/>
      <c r="E186" s="28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8"/>
      <c r="B187" s="13"/>
      <c r="C187" s="28"/>
      <c r="D187" s="28"/>
      <c r="E187" s="28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8"/>
      <c r="B188" s="13"/>
      <c r="C188" s="28"/>
      <c r="D188" s="28"/>
      <c r="E188" s="28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8"/>
      <c r="B189" s="13"/>
      <c r="C189" s="28"/>
      <c r="D189" s="28"/>
      <c r="E189" s="28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8"/>
      <c r="B190" s="13"/>
      <c r="C190" s="28"/>
      <c r="D190" s="28"/>
      <c r="E190" s="28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8"/>
      <c r="B191" s="13"/>
      <c r="C191" s="28"/>
      <c r="D191" s="28"/>
      <c r="E191" s="28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8"/>
      <c r="B192" s="13"/>
      <c r="C192" s="28"/>
      <c r="D192" s="28"/>
      <c r="E192" s="28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8"/>
      <c r="B193" s="13"/>
      <c r="C193" s="28"/>
      <c r="D193" s="28"/>
      <c r="E193" s="28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8"/>
      <c r="B194" s="13"/>
      <c r="C194" s="28"/>
      <c r="D194" s="28"/>
      <c r="E194" s="28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8"/>
      <c r="B195" s="13"/>
      <c r="C195" s="28"/>
      <c r="D195" s="28"/>
      <c r="E195" s="28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8"/>
      <c r="B196" s="13"/>
      <c r="C196" s="28"/>
      <c r="D196" s="28"/>
      <c r="E196" s="28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8"/>
      <c r="B197" s="13"/>
      <c r="C197" s="28"/>
      <c r="D197" s="28"/>
      <c r="E197" s="28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8"/>
      <c r="B198" s="13"/>
      <c r="C198" s="28"/>
      <c r="D198" s="28"/>
      <c r="E198" s="28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8"/>
      <c r="B199" s="13"/>
      <c r="C199" s="28"/>
      <c r="D199" s="28"/>
      <c r="E199" s="28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8"/>
      <c r="B200" s="13"/>
      <c r="C200" s="28"/>
      <c r="D200" s="28"/>
      <c r="E200" s="28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8"/>
      <c r="B201" s="13"/>
      <c r="C201" s="28"/>
      <c r="D201" s="28"/>
      <c r="E201" s="28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8"/>
      <c r="B202" s="13"/>
      <c r="C202" s="28"/>
      <c r="D202" s="28"/>
      <c r="E202" s="28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8"/>
      <c r="B203" s="13"/>
      <c r="C203" s="28"/>
      <c r="D203" s="28"/>
      <c r="E203" s="28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8"/>
      <c r="B204" s="13"/>
      <c r="C204" s="28"/>
      <c r="D204" s="28"/>
      <c r="E204" s="28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8"/>
      <c r="B205" s="13"/>
      <c r="C205" s="28"/>
      <c r="D205" s="28"/>
      <c r="E205" s="28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8"/>
      <c r="B206" s="13"/>
      <c r="C206" s="28"/>
      <c r="D206" s="28"/>
      <c r="E206" s="28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8"/>
      <c r="B207" s="13"/>
      <c r="C207" s="28"/>
      <c r="D207" s="28"/>
      <c r="E207" s="28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8"/>
      <c r="B208" s="13"/>
      <c r="C208" s="28"/>
      <c r="D208" s="28"/>
      <c r="E208" s="28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8"/>
      <c r="B209" s="13"/>
      <c r="C209" s="28"/>
      <c r="D209" s="28"/>
      <c r="E209" s="28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8"/>
      <c r="B210" s="13"/>
      <c r="C210" s="28"/>
      <c r="D210" s="28"/>
      <c r="E210" s="28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8"/>
      <c r="B211" s="13"/>
      <c r="C211" s="28"/>
      <c r="D211" s="28"/>
      <c r="E211" s="28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8"/>
      <c r="B212" s="13"/>
      <c r="C212" s="28"/>
      <c r="D212" s="28"/>
      <c r="E212" s="28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8"/>
      <c r="B213" s="13"/>
      <c r="C213" s="28"/>
      <c r="D213" s="28"/>
      <c r="E213" s="28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8"/>
      <c r="B214" s="13"/>
      <c r="C214" s="28"/>
      <c r="D214" s="28"/>
      <c r="E214" s="28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8"/>
      <c r="B215" s="13"/>
      <c r="C215" s="28"/>
      <c r="D215" s="28"/>
      <c r="E215" s="28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8"/>
      <c r="B216" s="13"/>
      <c r="C216" s="28"/>
      <c r="D216" s="28"/>
      <c r="E216" s="28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8"/>
      <c r="B217" s="13"/>
      <c r="C217" s="28"/>
      <c r="D217" s="28"/>
      <c r="E217" s="28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8"/>
      <c r="B218" s="13"/>
      <c r="C218" s="28"/>
      <c r="D218" s="28"/>
      <c r="E218" s="28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8"/>
      <c r="B219" s="13"/>
      <c r="C219" s="28"/>
      <c r="D219" s="28"/>
      <c r="E219" s="28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8"/>
      <c r="B220" s="13"/>
      <c r="C220" s="28"/>
      <c r="D220" s="28"/>
      <c r="E220" s="28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28"/>
      <c r="B221" s="13"/>
      <c r="C221" s="28"/>
      <c r="D221" s="28"/>
      <c r="E221" s="28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28"/>
      <c r="B222" s="13"/>
      <c r="C222" s="28"/>
      <c r="D222" s="28"/>
      <c r="E222" s="28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28"/>
      <c r="B223" s="13"/>
      <c r="C223" s="28"/>
      <c r="D223" s="28"/>
      <c r="E223" s="28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28"/>
      <c r="B224" s="13"/>
      <c r="C224" s="28"/>
      <c r="D224" s="28"/>
      <c r="E224" s="28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28"/>
      <c r="B225" s="13"/>
      <c r="C225" s="28"/>
      <c r="D225" s="28"/>
      <c r="E225" s="28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28"/>
      <c r="B226" s="13"/>
      <c r="C226" s="28"/>
      <c r="D226" s="28"/>
      <c r="E226" s="28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28"/>
      <c r="B227" s="13"/>
      <c r="C227" s="28"/>
      <c r="D227" s="28"/>
      <c r="E227" s="28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28"/>
      <c r="B228" s="13"/>
      <c r="C228" s="28"/>
      <c r="D228" s="28"/>
      <c r="E228" s="28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28"/>
      <c r="B229" s="13"/>
      <c r="C229" s="28"/>
      <c r="D229" s="28"/>
      <c r="E229" s="28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28"/>
      <c r="B230" s="13"/>
      <c r="C230" s="28"/>
      <c r="D230" s="28"/>
      <c r="E230" s="28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28"/>
      <c r="B231" s="13"/>
      <c r="C231" s="28"/>
      <c r="D231" s="28"/>
      <c r="E231" s="28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28"/>
      <c r="B232" s="13"/>
      <c r="C232" s="28"/>
      <c r="D232" s="28"/>
      <c r="E232" s="28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28"/>
      <c r="B233" s="13"/>
      <c r="C233" s="28"/>
      <c r="D233" s="28"/>
      <c r="E233" s="28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28"/>
      <c r="B234" s="13"/>
      <c r="C234" s="28"/>
      <c r="D234" s="28"/>
      <c r="E234" s="28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28"/>
      <c r="B235" s="13"/>
      <c r="C235" s="28"/>
      <c r="D235" s="28"/>
      <c r="E235" s="28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28"/>
      <c r="B236" s="13"/>
      <c r="C236" s="28"/>
      <c r="D236" s="28"/>
      <c r="E236" s="28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28"/>
      <c r="B237" s="13"/>
      <c r="C237" s="28"/>
      <c r="D237" s="28"/>
      <c r="E237" s="28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28"/>
      <c r="B238" s="13"/>
      <c r="C238" s="28"/>
      <c r="D238" s="28"/>
      <c r="E238" s="28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28"/>
      <c r="B239" s="13"/>
      <c r="C239" s="28"/>
      <c r="D239" s="28"/>
      <c r="E239" s="28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28"/>
      <c r="B240" s="13"/>
      <c r="C240" s="28"/>
      <c r="D240" s="28"/>
      <c r="E240" s="28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28"/>
      <c r="B241" s="13"/>
      <c r="C241" s="28"/>
      <c r="D241" s="28"/>
      <c r="E241" s="28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28"/>
      <c r="B242" s="13"/>
      <c r="C242" s="28"/>
      <c r="D242" s="28"/>
      <c r="E242" s="28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28"/>
      <c r="B243" s="13"/>
      <c r="C243" s="28"/>
      <c r="D243" s="28"/>
      <c r="E243" s="28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28"/>
      <c r="B244" s="13"/>
      <c r="C244" s="28"/>
      <c r="D244" s="28"/>
      <c r="E244" s="28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28"/>
      <c r="B245" s="13"/>
      <c r="C245" s="28"/>
      <c r="D245" s="28"/>
      <c r="E245" s="28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28"/>
      <c r="B246" s="13"/>
      <c r="C246" s="28"/>
      <c r="D246" s="28"/>
      <c r="E246" s="28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28"/>
      <c r="B247" s="13"/>
      <c r="C247" s="28"/>
      <c r="D247" s="28"/>
      <c r="E247" s="28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28"/>
      <c r="B248" s="13"/>
      <c r="C248" s="28"/>
      <c r="D248" s="28"/>
      <c r="E248" s="28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28"/>
      <c r="B249" s="13"/>
      <c r="C249" s="28"/>
      <c r="D249" s="28"/>
      <c r="E249" s="28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28"/>
      <c r="B250" s="13"/>
      <c r="C250" s="28"/>
      <c r="D250" s="28"/>
      <c r="E250" s="28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28"/>
      <c r="B251" s="13"/>
      <c r="C251" s="28"/>
      <c r="D251" s="28"/>
      <c r="E251" s="28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28"/>
      <c r="B252" s="13"/>
      <c r="C252" s="28"/>
      <c r="D252" s="28"/>
      <c r="E252" s="28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28"/>
      <c r="B253" s="13"/>
      <c r="C253" s="28"/>
      <c r="D253" s="28"/>
      <c r="E253" s="28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28"/>
      <c r="B254" s="13"/>
      <c r="C254" s="28"/>
      <c r="D254" s="28"/>
      <c r="E254" s="28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28"/>
      <c r="B255" s="13"/>
      <c r="C255" s="28"/>
      <c r="D255" s="28"/>
      <c r="E255" s="28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28"/>
      <c r="B256" s="13"/>
      <c r="C256" s="28"/>
      <c r="D256" s="28"/>
      <c r="E256" s="28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28"/>
      <c r="B257" s="13"/>
      <c r="C257" s="28"/>
      <c r="D257" s="28"/>
      <c r="E257" s="28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28"/>
      <c r="B258" s="13"/>
      <c r="C258" s="28"/>
      <c r="D258" s="28"/>
      <c r="E258" s="28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28"/>
      <c r="B259" s="13"/>
      <c r="C259" s="28"/>
      <c r="D259" s="28"/>
      <c r="E259" s="28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28"/>
      <c r="B260" s="13"/>
      <c r="C260" s="28"/>
      <c r="D260" s="28"/>
      <c r="E260" s="28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28"/>
      <c r="B261" s="13"/>
      <c r="C261" s="28"/>
      <c r="D261" s="28"/>
      <c r="E261" s="28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28"/>
      <c r="B262" s="13"/>
      <c r="C262" s="28"/>
      <c r="D262" s="28"/>
      <c r="E262" s="28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28"/>
      <c r="B263" s="13"/>
      <c r="C263" s="28"/>
      <c r="D263" s="28"/>
      <c r="E263" s="28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28"/>
      <c r="B264" s="13"/>
      <c r="C264" s="28"/>
      <c r="D264" s="28"/>
      <c r="E264" s="28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28"/>
      <c r="B265" s="13"/>
      <c r="C265" s="28"/>
      <c r="D265" s="28"/>
      <c r="E265" s="28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28"/>
      <c r="B266" s="13"/>
      <c r="C266" s="28"/>
      <c r="D266" s="28"/>
      <c r="E266" s="28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28"/>
      <c r="B267" s="13"/>
      <c r="C267" s="28"/>
      <c r="D267" s="28"/>
      <c r="E267" s="28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28"/>
      <c r="B268" s="13"/>
      <c r="C268" s="28"/>
      <c r="D268" s="28"/>
      <c r="E268" s="28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28"/>
      <c r="B269" s="13"/>
      <c r="C269" s="28"/>
      <c r="D269" s="28"/>
      <c r="E269" s="28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28"/>
      <c r="B270" s="13"/>
      <c r="C270" s="28"/>
      <c r="D270" s="28"/>
      <c r="E270" s="28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28"/>
      <c r="B271" s="13"/>
      <c r="C271" s="28"/>
      <c r="D271" s="28"/>
      <c r="E271" s="28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28"/>
      <c r="B272" s="13"/>
      <c r="C272" s="28"/>
      <c r="D272" s="28"/>
      <c r="E272" s="28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28"/>
      <c r="B273" s="13"/>
      <c r="C273" s="28"/>
      <c r="D273" s="28"/>
      <c r="E273" s="28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28"/>
      <c r="B274" s="13"/>
      <c r="C274" s="28"/>
      <c r="D274" s="28"/>
      <c r="E274" s="28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28"/>
      <c r="B275" s="13"/>
      <c r="C275" s="28"/>
      <c r="D275" s="28"/>
      <c r="E275" s="28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28"/>
      <c r="B276" s="13"/>
      <c r="C276" s="28"/>
      <c r="D276" s="28"/>
      <c r="E276" s="28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28"/>
      <c r="B277" s="13"/>
      <c r="C277" s="28"/>
      <c r="D277" s="28"/>
      <c r="E277" s="28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28"/>
      <c r="B278" s="13"/>
      <c r="C278" s="28"/>
      <c r="D278" s="28"/>
      <c r="E278" s="28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28"/>
      <c r="B279" s="13"/>
      <c r="C279" s="28"/>
      <c r="D279" s="28"/>
      <c r="E279" s="28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29"/>
      <c r="B280" s="30"/>
      <c r="C280" s="29"/>
      <c r="D280" s="29"/>
      <c r="E280" s="29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</row>
    <row r="281" ht="15.75" customHeight="1">
      <c r="A281" s="29"/>
      <c r="B281" s="30"/>
      <c r="C281" s="29"/>
      <c r="D281" s="29"/>
      <c r="E281" s="29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</row>
    <row r="282" ht="15.75" customHeight="1">
      <c r="A282" s="29"/>
      <c r="B282" s="30"/>
      <c r="C282" s="29"/>
      <c r="D282" s="29"/>
      <c r="E282" s="29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</row>
    <row r="283" ht="15.75" customHeight="1">
      <c r="A283" s="29"/>
      <c r="B283" s="30"/>
      <c r="C283" s="29"/>
      <c r="D283" s="29"/>
      <c r="E283" s="29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</row>
    <row r="284" ht="15.75" customHeight="1">
      <c r="A284" s="29"/>
      <c r="B284" s="30"/>
      <c r="C284" s="29"/>
      <c r="D284" s="29"/>
      <c r="E284" s="29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</row>
    <row r="285" ht="15.75" customHeight="1">
      <c r="A285" s="29"/>
      <c r="B285" s="30"/>
      <c r="C285" s="29"/>
      <c r="D285" s="29"/>
      <c r="E285" s="29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</row>
    <row r="286" ht="15.75" customHeight="1">
      <c r="A286" s="29"/>
      <c r="B286" s="30"/>
      <c r="C286" s="29"/>
      <c r="D286" s="29"/>
      <c r="E286" s="29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</row>
    <row r="287" ht="15.75" customHeight="1">
      <c r="A287" s="29"/>
      <c r="B287" s="30"/>
      <c r="C287" s="29"/>
      <c r="D287" s="29"/>
      <c r="E287" s="29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</row>
    <row r="288" ht="15.75" customHeight="1">
      <c r="A288" s="29"/>
      <c r="B288" s="30"/>
      <c r="C288" s="29"/>
      <c r="D288" s="29"/>
      <c r="E288" s="29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8" t="s">
        <v>193</v>
      </c>
      <c r="H1" s="1" t="s">
        <v>547</v>
      </c>
      <c r="I1" s="1" t="s">
        <v>548</v>
      </c>
      <c r="J1" s="1" t="s">
        <v>549</v>
      </c>
      <c r="K1" s="28" t="s">
        <v>550</v>
      </c>
      <c r="L1" s="28" t="s">
        <v>551</v>
      </c>
      <c r="M1" s="28" t="s">
        <v>552</v>
      </c>
      <c r="N1" s="28" t="s">
        <v>553</v>
      </c>
      <c r="O1" s="28" t="s">
        <v>554</v>
      </c>
      <c r="P1" s="28" t="s">
        <v>555</v>
      </c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1"/>
      <c r="AJ1" s="31"/>
    </row>
    <row r="2">
      <c r="A2" s="32" t="s">
        <v>556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8"/>
      <c r="B3" s="14"/>
      <c r="C3" s="14"/>
      <c r="D3" s="14"/>
      <c r="E3" s="14"/>
      <c r="F3" s="14"/>
      <c r="G3" s="13"/>
      <c r="H3" s="13"/>
      <c r="I3" s="13"/>
      <c r="J3" s="13"/>
      <c r="K3" s="28"/>
      <c r="L3" s="28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8"/>
      <c r="B4" s="14"/>
      <c r="C4" s="14"/>
      <c r="D4" s="14"/>
      <c r="E4" s="14"/>
      <c r="F4" s="14"/>
      <c r="G4" s="13"/>
      <c r="H4" s="13"/>
      <c r="I4" s="13"/>
      <c r="J4" s="13"/>
      <c r="K4" s="28"/>
      <c r="L4" s="28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8"/>
      <c r="B6" s="14"/>
      <c r="C6" s="14"/>
      <c r="D6" s="14"/>
      <c r="E6" s="14"/>
      <c r="F6" s="14"/>
      <c r="G6" s="13"/>
      <c r="H6" s="13"/>
      <c r="I6" s="13"/>
      <c r="J6" s="13"/>
      <c r="K6" s="28"/>
      <c r="L6" s="2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8" t="s">
        <v>193</v>
      </c>
      <c r="H1" s="1" t="s">
        <v>547</v>
      </c>
      <c r="I1" s="1" t="s">
        <v>548</v>
      </c>
      <c r="J1" s="1" t="s">
        <v>549</v>
      </c>
      <c r="K1" s="28" t="s">
        <v>550</v>
      </c>
      <c r="L1" s="28" t="s">
        <v>551</v>
      </c>
      <c r="M1" s="28" t="s">
        <v>557</v>
      </c>
      <c r="N1" s="28" t="s">
        <v>558</v>
      </c>
      <c r="O1" s="28" t="s">
        <v>559</v>
      </c>
      <c r="P1" s="28" t="s">
        <v>560</v>
      </c>
      <c r="Q1" s="28" t="s">
        <v>561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</row>
    <row r="2">
      <c r="A2" s="28" t="s">
        <v>562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8"/>
      <c r="B3" s="14"/>
      <c r="C3" s="14"/>
      <c r="D3" s="14"/>
      <c r="E3" s="14"/>
      <c r="F3" s="14"/>
      <c r="G3" s="13"/>
      <c r="H3" s="13"/>
      <c r="I3" s="13"/>
      <c r="J3" s="13"/>
      <c r="K3" s="28"/>
      <c r="L3" s="28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8" t="s">
        <v>563</v>
      </c>
      <c r="B4" s="14">
        <v>1.0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28"/>
      <c r="L4" s="28"/>
      <c r="M4" s="13">
        <f>IF($A4="", -1, ($B4*README!$B$2)+($C4*README!$B$3)+($D4*README!$B$4)+($E4*README!$B$5)+($F4*README!$B$6))</f>
        <v>100000000</v>
      </c>
      <c r="N4" s="13">
        <f>IF($A4="", -1, ($B4*README!$B$2)+($C4*README!$B$3)+($D4*README!$B$4)+($E4*README!$B$5)+($F4*README!$B$6)-1)</f>
        <v>99999999</v>
      </c>
      <c r="O4" s="13">
        <f>IF($A4="", -1, ($B4*README!$B$2)+($C4*README!$B$3)+($D4*README!$B$4)+($E4*README!$B$5)+($F4*README!$B$6)+1)</f>
        <v>100000001</v>
      </c>
      <c r="P4" s="13">
        <f>README!$F$2</f>
        <v>-1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8"/>
      <c r="B6" s="14"/>
      <c r="C6" s="14"/>
      <c r="D6" s="14"/>
      <c r="E6" s="14"/>
      <c r="F6" s="14"/>
      <c r="G6" s="13"/>
      <c r="H6" s="13"/>
      <c r="I6" s="13"/>
      <c r="J6" s="13"/>
      <c r="K6" s="28"/>
      <c r="L6" s="2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>
      <c r="A221" s="28"/>
      <c r="B221" s="14"/>
      <c r="C221" s="14"/>
      <c r="D221" s="14"/>
      <c r="E221" s="14"/>
      <c r="F221" s="14"/>
      <c r="G221" s="13"/>
      <c r="H221" s="13"/>
      <c r="I221" s="13"/>
      <c r="J221" s="13"/>
      <c r="K221" s="28"/>
      <c r="L221" s="2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8" t="s">
        <v>193</v>
      </c>
      <c r="H1" s="1" t="s">
        <v>547</v>
      </c>
      <c r="I1" s="1" t="s">
        <v>548</v>
      </c>
      <c r="J1" s="1" t="s">
        <v>549</v>
      </c>
      <c r="K1" s="28" t="s">
        <v>550</v>
      </c>
      <c r="L1" s="28" t="s">
        <v>551</v>
      </c>
      <c r="M1" s="28" t="s">
        <v>564</v>
      </c>
      <c r="N1" s="28" t="s">
        <v>565</v>
      </c>
      <c r="O1" s="28" t="s">
        <v>566</v>
      </c>
      <c r="P1" s="28" t="s">
        <v>567</v>
      </c>
      <c r="Q1" s="28" t="s">
        <v>568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1"/>
      <c r="AJ1" s="31"/>
    </row>
    <row r="2">
      <c r="A2" s="28" t="s">
        <v>569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8"/>
      <c r="B3" s="14"/>
      <c r="C3" s="14"/>
      <c r="D3" s="14"/>
      <c r="E3" s="14"/>
      <c r="F3" s="14"/>
      <c r="G3" s="13"/>
      <c r="H3" s="13"/>
      <c r="I3" s="13"/>
      <c r="J3" s="13"/>
      <c r="K3" s="28"/>
      <c r="L3" s="28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8" t="s">
        <v>570</v>
      </c>
      <c r="B4" s="14">
        <v>1.0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28"/>
      <c r="L4" s="28"/>
      <c r="M4" s="13">
        <f>IF($A4="", -1, ($B4*README!$B$2)+($C4*README!$B$3)+($D4*README!$B$4)+($E4*README!$B$5)+($F4*README!$B$6))</f>
        <v>100000000</v>
      </c>
      <c r="N4" s="13">
        <f>IF($A4="", -1, ($B4*README!$B$2)+($C4*README!$B$3)+($D4*README!$B$4)+($E4*README!$B$5)+($F4*README!$B$6)-1)</f>
        <v>99999999</v>
      </c>
      <c r="O4" s="13">
        <f>IF($A4="", -1, ($B4*README!$B$2)+($C4*README!$B$3)+($D4*README!$B$4)+($E4*README!$B$5)+($F4*README!$B$6)+1)</f>
        <v>100000001</v>
      </c>
      <c r="P4" s="13" t="str">
        <f>JOIN(", ", 0, 0, 0)</f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24"/>
    </row>
    <row r="6">
      <c r="A6" s="28" t="s">
        <v>571</v>
      </c>
      <c r="B6" s="14">
        <v>2.0</v>
      </c>
      <c r="C6" s="14">
        <v>0.0</v>
      </c>
      <c r="D6" s="14">
        <v>0.0</v>
      </c>
      <c r="E6" s="14">
        <v>0.0</v>
      </c>
      <c r="F6" s="14">
        <v>0.0</v>
      </c>
      <c r="G6" s="13">
        <v>0.0</v>
      </c>
      <c r="H6" s="13">
        <v>0.0</v>
      </c>
      <c r="I6" s="13">
        <v>0.0</v>
      </c>
      <c r="J6" s="13">
        <v>0.0</v>
      </c>
      <c r="K6" s="28"/>
      <c r="L6" s="28"/>
      <c r="M6" s="13">
        <f>IF($A6="", -1, ($B6*README!$B$2)+($C6*README!$B$3)+($D6*README!$B$4)+($E6*README!$B$5)+($F6*README!$B$6))</f>
        <v>200000000</v>
      </c>
      <c r="N6" s="13">
        <f>IF($A6="", -1, ($B6*README!$B$2)+($C6*README!$B$3)+($D6*README!$B$4)+($E6*README!$B$5)+($F6*README!$B$6)-1)</f>
        <v>199999999</v>
      </c>
      <c r="O6" s="13">
        <f>IF($A6="", -1, ($B6*README!$B$2)+($C6*README!$B$3)+($D6*README!$B$4)+($E6*README!$B$5)+($F6*README!$B$6)+1)</f>
        <v>200000001</v>
      </c>
      <c r="P6" s="13" t="str">
        <f>JOIN(", ", 0, 0, 0)</f>
        <v>0, 0, 0</v>
      </c>
      <c r="Q6" s="13">
        <f>README!$J$2</f>
        <v>-1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24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>
      <c r="A221" s="28"/>
      <c r="B221" s="14"/>
      <c r="C221" s="14"/>
      <c r="D221" s="14"/>
      <c r="E221" s="14"/>
      <c r="F221" s="14"/>
      <c r="G221" s="13"/>
      <c r="H221" s="13"/>
      <c r="I221" s="13"/>
      <c r="J221" s="13"/>
      <c r="K221" s="28"/>
      <c r="L221" s="2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24"/>
      <c r="AJ221" s="24"/>
    </row>
    <row r="222" ht="15.75" customHeight="1">
      <c r="A222" s="28"/>
      <c r="B222" s="14"/>
      <c r="C222" s="14"/>
      <c r="D222" s="14"/>
      <c r="E222" s="14"/>
      <c r="F222" s="14"/>
      <c r="G222" s="13"/>
      <c r="H222" s="13"/>
      <c r="I222" s="13"/>
      <c r="J222" s="13"/>
      <c r="K222" s="28"/>
      <c r="L222" s="28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24"/>
      <c r="AJ222" s="24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1" t="s">
        <v>547</v>
      </c>
      <c r="I1" s="1" t="s">
        <v>548</v>
      </c>
      <c r="J1" s="1" t="s">
        <v>549</v>
      </c>
      <c r="K1" s="1" t="s">
        <v>550</v>
      </c>
      <c r="L1" s="1" t="s">
        <v>551</v>
      </c>
      <c r="M1" s="1" t="s">
        <v>572</v>
      </c>
      <c r="N1" s="1" t="s">
        <v>573</v>
      </c>
      <c r="O1" s="1" t="s">
        <v>574</v>
      </c>
      <c r="P1" s="1" t="s">
        <v>575</v>
      </c>
      <c r="Q1" s="1" t="s">
        <v>576</v>
      </c>
      <c r="R1" s="1" t="s">
        <v>577</v>
      </c>
      <c r="S1" s="1" t="s">
        <v>578</v>
      </c>
      <c r="T1" s="1" t="s">
        <v>557</v>
      </c>
      <c r="U1" s="1" t="s">
        <v>579</v>
      </c>
      <c r="V1" s="1" t="s">
        <v>580</v>
      </c>
      <c r="W1" s="1" t="s">
        <v>581</v>
      </c>
      <c r="X1" s="1" t="s">
        <v>560</v>
      </c>
      <c r="Y1" s="1" t="s">
        <v>582</v>
      </c>
      <c r="Z1" s="1" t="s">
        <v>583</v>
      </c>
      <c r="AA1" s="1" t="s">
        <v>584</v>
      </c>
      <c r="AB1" s="1" t="s">
        <v>585</v>
      </c>
      <c r="AC1" s="1" t="s">
        <v>586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v>0.0</v>
      </c>
      <c r="V2" s="13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1" t="s">
        <v>547</v>
      </c>
      <c r="I1" s="1" t="s">
        <v>548</v>
      </c>
      <c r="J1" s="1" t="s">
        <v>549</v>
      </c>
      <c r="K1" s="1" t="s">
        <v>550</v>
      </c>
      <c r="L1" s="1" t="s">
        <v>551</v>
      </c>
      <c r="M1" s="33" t="s">
        <v>572</v>
      </c>
      <c r="N1" s="1" t="s">
        <v>575</v>
      </c>
      <c r="O1" s="1" t="s">
        <v>588</v>
      </c>
      <c r="P1" s="1" t="s">
        <v>589</v>
      </c>
      <c r="Q1" s="1" t="s">
        <v>576</v>
      </c>
      <c r="R1" s="1" t="s">
        <v>577</v>
      </c>
      <c r="S1" s="1" t="s">
        <v>578</v>
      </c>
      <c r="T1" s="1" t="s">
        <v>557</v>
      </c>
      <c r="U1" s="1" t="s">
        <v>579</v>
      </c>
      <c r="V1" s="1" t="s">
        <v>580</v>
      </c>
      <c r="W1" s="1" t="s">
        <v>581</v>
      </c>
      <c r="X1" s="1" t="s">
        <v>560</v>
      </c>
      <c r="Y1" s="1" t="s">
        <v>582</v>
      </c>
      <c r="Z1" s="1" t="s">
        <v>583</v>
      </c>
      <c r="AA1" s="1" t="s">
        <v>584</v>
      </c>
      <c r="AB1" s="1" t="s">
        <v>585</v>
      </c>
      <c r="AC1" s="1" t="s">
        <v>586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590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4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13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4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4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4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4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4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4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4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4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4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4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4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4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4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4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4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4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4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4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4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4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4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4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4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4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4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4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4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4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4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4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4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4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4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4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4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4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4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4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4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4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4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4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4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4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4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4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4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4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4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4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4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4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4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4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4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4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4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4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4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4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4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4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4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4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4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4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4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4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4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4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4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4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4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4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4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4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4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4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4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4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4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4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4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4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4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4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4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4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4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4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4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4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4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4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4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4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4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4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4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4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4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4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4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4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4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4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4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4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4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4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4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4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4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4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4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4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4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4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4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4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4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4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4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4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4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4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4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4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4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4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4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4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4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4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4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4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4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4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4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4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4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4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4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4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4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4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4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4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4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4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4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4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4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4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4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4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4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4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4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4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4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4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4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4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4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4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4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4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4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4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4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4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4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4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4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4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4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4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4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4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4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4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4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4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4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4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1" t="s">
        <v>547</v>
      </c>
      <c r="I1" s="1" t="s">
        <v>548</v>
      </c>
      <c r="J1" s="1" t="s">
        <v>549</v>
      </c>
      <c r="K1" s="1" t="s">
        <v>550</v>
      </c>
      <c r="L1" s="1" t="s">
        <v>551</v>
      </c>
      <c r="M1" s="33" t="s">
        <v>572</v>
      </c>
      <c r="N1" s="33" t="s">
        <v>575</v>
      </c>
      <c r="O1" s="1" t="s">
        <v>576</v>
      </c>
      <c r="P1" s="1" t="s">
        <v>591</v>
      </c>
      <c r="Q1" s="1" t="s">
        <v>592</v>
      </c>
      <c r="R1" s="1" t="s">
        <v>577</v>
      </c>
      <c r="S1" s="1" t="s">
        <v>578</v>
      </c>
      <c r="T1" s="1" t="s">
        <v>557</v>
      </c>
      <c r="U1" s="1" t="s">
        <v>579</v>
      </c>
      <c r="V1" s="1" t="s">
        <v>580</v>
      </c>
      <c r="W1" s="1" t="s">
        <v>581</v>
      </c>
      <c r="X1" s="1" t="s">
        <v>560</v>
      </c>
      <c r="Y1" s="1" t="s">
        <v>582</v>
      </c>
      <c r="Z1" s="1" t="s">
        <v>583</v>
      </c>
      <c r="AA1" s="1" t="s">
        <v>584</v>
      </c>
      <c r="AB1" s="1" t="s">
        <v>585</v>
      </c>
      <c r="AC1" s="1" t="s">
        <v>586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593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4">
        <v>0.0</v>
      </c>
      <c r="N2" s="34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13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4"/>
      <c r="N3" s="34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4"/>
      <c r="N4" s="34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4"/>
      <c r="N5" s="34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4"/>
      <c r="N6" s="34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4"/>
      <c r="N7" s="34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4"/>
      <c r="N8" s="34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4"/>
      <c r="N9" s="34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4"/>
      <c r="N10" s="34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4"/>
      <c r="N11" s="34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4"/>
      <c r="N12" s="34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4"/>
      <c r="N13" s="34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4"/>
      <c r="N14" s="34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4"/>
      <c r="N15" s="34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4"/>
      <c r="N16" s="34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4"/>
      <c r="N17" s="34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4"/>
      <c r="N18" s="34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4"/>
      <c r="N19" s="34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4"/>
      <c r="N20" s="34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4"/>
      <c r="N21" s="34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4"/>
      <c r="N22" s="34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4"/>
      <c r="N23" s="34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4"/>
      <c r="N24" s="34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4"/>
      <c r="N25" s="34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4"/>
      <c r="N26" s="34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4"/>
      <c r="N27" s="34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4"/>
      <c r="N28" s="34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4"/>
      <c r="N29" s="34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4"/>
      <c r="N30" s="34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4"/>
      <c r="N31" s="34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4"/>
      <c r="N32" s="34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4"/>
      <c r="N33" s="34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4"/>
      <c r="N34" s="34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4"/>
      <c r="N35" s="34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4"/>
      <c r="N36" s="34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4"/>
      <c r="N37" s="34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4"/>
      <c r="N38" s="34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4"/>
      <c r="N39" s="34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4"/>
      <c r="N40" s="34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4"/>
      <c r="N41" s="34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4"/>
      <c r="N42" s="34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4"/>
      <c r="N43" s="34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4"/>
      <c r="N44" s="34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4"/>
      <c r="N45" s="34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4"/>
      <c r="N46" s="34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4"/>
      <c r="N47" s="34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4"/>
      <c r="N48" s="34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4"/>
      <c r="N49" s="34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4"/>
      <c r="N50" s="34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4"/>
      <c r="N51" s="34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4"/>
      <c r="N52" s="34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4"/>
      <c r="N53" s="34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4"/>
      <c r="N54" s="34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4"/>
      <c r="N55" s="34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4"/>
      <c r="N56" s="34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4"/>
      <c r="N57" s="34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4"/>
      <c r="N58" s="34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4"/>
      <c r="N59" s="34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4"/>
      <c r="N60" s="34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4"/>
      <c r="N61" s="34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4"/>
      <c r="N62" s="34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4"/>
      <c r="N63" s="34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4"/>
      <c r="N64" s="34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4"/>
      <c r="N65" s="34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4"/>
      <c r="N66" s="34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4"/>
      <c r="N67" s="34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4"/>
      <c r="N68" s="34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4"/>
      <c r="N69" s="34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4"/>
      <c r="N70" s="34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4"/>
      <c r="N71" s="34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4"/>
      <c r="N72" s="34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4"/>
      <c r="N73" s="34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4"/>
      <c r="N74" s="34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4"/>
      <c r="N75" s="34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4"/>
      <c r="N76" s="34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4"/>
      <c r="N77" s="34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4"/>
      <c r="N78" s="34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4"/>
      <c r="N79" s="34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4"/>
      <c r="N80" s="34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4"/>
      <c r="N81" s="34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4"/>
      <c r="N82" s="34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4"/>
      <c r="N83" s="34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4"/>
      <c r="N84" s="34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4"/>
      <c r="N85" s="34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4"/>
      <c r="N86" s="34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4"/>
      <c r="N87" s="34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4"/>
      <c r="N88" s="34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4"/>
      <c r="N89" s="34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4"/>
      <c r="N90" s="34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4"/>
      <c r="N91" s="34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4"/>
      <c r="N92" s="34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4"/>
      <c r="N93" s="34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4"/>
      <c r="N94" s="34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4"/>
      <c r="N95" s="34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4"/>
      <c r="N96" s="34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4"/>
      <c r="N97" s="34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4"/>
      <c r="N98" s="34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4"/>
      <c r="N99" s="34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4"/>
      <c r="N100" s="34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4"/>
      <c r="N101" s="34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4"/>
      <c r="N102" s="34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4"/>
      <c r="N103" s="34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4"/>
      <c r="N104" s="34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4"/>
      <c r="N105" s="34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4"/>
      <c r="N106" s="34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4"/>
      <c r="N107" s="34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4"/>
      <c r="N108" s="34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4"/>
      <c r="N109" s="34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4"/>
      <c r="N110" s="34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4"/>
      <c r="N111" s="34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4"/>
      <c r="N112" s="34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4"/>
      <c r="N113" s="34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4"/>
      <c r="N114" s="34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4"/>
      <c r="N115" s="34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4"/>
      <c r="N116" s="34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4"/>
      <c r="N117" s="34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4"/>
      <c r="N118" s="34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4"/>
      <c r="N119" s="34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4"/>
      <c r="N120" s="34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4"/>
      <c r="N121" s="34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4"/>
      <c r="N122" s="34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4"/>
      <c r="N123" s="34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4"/>
      <c r="N124" s="34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4"/>
      <c r="N125" s="34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4"/>
      <c r="N126" s="34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4"/>
      <c r="N127" s="34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4"/>
      <c r="N128" s="34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4"/>
      <c r="N129" s="34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4"/>
      <c r="N130" s="34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4"/>
      <c r="N131" s="34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4"/>
      <c r="N132" s="34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4"/>
      <c r="N133" s="34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4"/>
      <c r="N134" s="34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4"/>
      <c r="N135" s="34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4"/>
      <c r="N136" s="34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4"/>
      <c r="N137" s="34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4"/>
      <c r="N138" s="34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4"/>
      <c r="N139" s="34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4"/>
      <c r="N140" s="34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4"/>
      <c r="N141" s="34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4"/>
      <c r="N142" s="34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4"/>
      <c r="N143" s="34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4"/>
      <c r="N144" s="34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4"/>
      <c r="N145" s="34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4"/>
      <c r="N146" s="34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4"/>
      <c r="N147" s="34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4"/>
      <c r="N148" s="34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4"/>
      <c r="N149" s="34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4"/>
      <c r="N150" s="34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4"/>
      <c r="N151" s="34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4"/>
      <c r="N152" s="34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4"/>
      <c r="N153" s="34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4"/>
      <c r="N154" s="34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4"/>
      <c r="N155" s="34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4"/>
      <c r="N156" s="34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4"/>
      <c r="N157" s="34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4"/>
      <c r="N158" s="34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4"/>
      <c r="N159" s="34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4"/>
      <c r="N160" s="34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4"/>
      <c r="N161" s="34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4"/>
      <c r="N162" s="34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4"/>
      <c r="N163" s="34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4"/>
      <c r="N164" s="34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4"/>
      <c r="N165" s="34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4"/>
      <c r="N166" s="34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4"/>
      <c r="N167" s="34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4"/>
      <c r="N168" s="34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4"/>
      <c r="N169" s="34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4"/>
      <c r="N170" s="34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4"/>
      <c r="N171" s="34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4"/>
      <c r="N172" s="34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4"/>
      <c r="N173" s="34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4"/>
      <c r="N174" s="34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4"/>
      <c r="N175" s="34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4"/>
      <c r="N176" s="34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4"/>
      <c r="N177" s="34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4"/>
      <c r="N178" s="34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4"/>
      <c r="N179" s="34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4"/>
      <c r="N180" s="34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4"/>
      <c r="N181" s="34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4"/>
      <c r="N182" s="34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4"/>
      <c r="N183" s="34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4"/>
      <c r="N184" s="34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4"/>
      <c r="N185" s="34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4"/>
      <c r="N186" s="34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4"/>
      <c r="N187" s="34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4"/>
      <c r="N188" s="34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4"/>
      <c r="N189" s="34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4"/>
      <c r="N190" s="34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4"/>
      <c r="N191" s="34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4"/>
      <c r="N192" s="34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4"/>
      <c r="N193" s="34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4"/>
      <c r="N194" s="34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4"/>
      <c r="N195" s="34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4"/>
      <c r="N196" s="34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4"/>
      <c r="N197" s="34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4"/>
      <c r="N198" s="34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4"/>
      <c r="N199" s="34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4"/>
      <c r="N200" s="34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4"/>
      <c r="N201" s="34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4"/>
      <c r="N202" s="34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4"/>
      <c r="N203" s="34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4"/>
      <c r="N204" s="34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4"/>
      <c r="N205" s="34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4"/>
      <c r="N206" s="34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4"/>
      <c r="N207" s="34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4"/>
      <c r="N208" s="34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4"/>
      <c r="N209" s="34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4"/>
      <c r="N210" s="34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4"/>
      <c r="N211" s="34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4"/>
      <c r="N212" s="34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4"/>
      <c r="N213" s="34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4"/>
      <c r="N214" s="34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4"/>
      <c r="N215" s="34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4"/>
      <c r="N216" s="34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4"/>
      <c r="N217" s="34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4"/>
      <c r="N218" s="34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4"/>
      <c r="N219" s="34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4"/>
      <c r="N220" s="34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