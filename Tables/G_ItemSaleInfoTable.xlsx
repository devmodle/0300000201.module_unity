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<sst xmlns="http://schemas.openxmlformats.org/spreadsheetml/2006/main" count="147" uniqueCount="45">
  <si>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</si>
  <si>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</si>
  <si>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</si>
  <si>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</si>
  <si>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</si>
  <si>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</si>
  <si>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</si>
  <si>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</si>
  <si>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</si>
  <si>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</si>
  <si>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</si>
  <si>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</si>
  <si>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</si>
  <si>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</si>
  <si>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</si>
  <si>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</si>
  <si>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</si>
  <si>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</si>
  <si>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</si>
  <si>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</si>
  <si>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</si>
  <si>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</si>
  <si>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</si>
  <si>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</si>
  <si>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</si>
  <si>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</si>
  <si>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</si>
  <si>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</si>
  <si>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</si>
  <si>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ItemSaleKinds</t>
  </si>
  <si>
    <t>PrevItemSaleKinds</t>
  </si>
  <si>
    <t>NextItemSaleKinds</t>
  </si>
  <si>
    <t>PriceType_01</t>
  </si>
  <si>
    <t>Kinds_01</t>
  </si>
  <si>
    <t>Price_01</t>
  </si>
  <si>
    <t>ItemKinds_01</t>
  </si>
  <si>
    <t>NumItems_01</t>
  </si>
  <si>
    <t>재화 아이템 판매 샘플</t>
  </si>
  <si>
    <t>힌트</t>
  </si>
  <si>
    <t>이어하기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</si>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</sst>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37</v>
      </c>
      <c r="B2" s="8">
        <v>0.0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0</v>
      </c>
      <c r="K2" s="9">
        <f>IF($A2="", -1, ($B2*README!$C$2)+($C2*README!$C$3)+($D2*README!$C$4)+($E2*README!$C$5)+($F2*README!$C$6)-1)</f>
        <v>-1</v>
      </c>
      <c r="L2" s="9">
        <f>IF($A2="", -1, ($B2*README!$C$2)+($C2*README!$C$3)+($D2*README!$C$4)+($E2*README!$C$5)+($F2*README!$C$6)+1)</f>
        <v>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38</v>
      </c>
      <c r="B2" s="12">
        <v>1.0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100000000</v>
      </c>
      <c r="K2" s="9">
        <f>IF($A2="", -1, ($B2*README!$C$2)+($C2*README!$C$3)+($D2*README!$C$4)+($E2*README!$C$5)+($F2*README!$C$6)-1)</f>
        <v>99999999</v>
      </c>
      <c r="L2" s="9">
        <f>IF($A2="", -1, ($B2*README!$C$2)+($C2*README!$C$3)+($D2*README!$C$4)+($E2*README!$C$5)+($F2*README!$C$6)+1)</f>
        <v>100000001</v>
      </c>
      <c r="M2" s="6">
        <v>2.0</v>
      </c>
      <c r="N2" s="6">
        <v>0.0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 t="s">
        <v>39</v>
      </c>
      <c r="B3" s="13">
        <v>1.0</v>
      </c>
      <c r="C3" s="13">
        <v>0.0</v>
      </c>
      <c r="D3" s="13">
        <v>1.0</v>
      </c>
      <c r="E3" s="13">
        <v>1.0</v>
      </c>
      <c r="F3" s="13">
        <v>0.0</v>
      </c>
      <c r="G3" s="4">
        <v>0.0</v>
      </c>
      <c r="H3" s="4"/>
      <c r="I3" s="4"/>
      <c r="J3" s="9">
        <f>IF($A3="", -1, ($B3*README!$C$2)+($C3*README!$C$3)+($D3*README!$C$4)+($E3*README!$C$5)+($F3*README!$C$6))</f>
        <v>100100100</v>
      </c>
      <c r="K3" s="9">
        <f>IF($A3="", -1, ($B3*README!$C$2)+($C3*README!$C$3)+($D3*README!$C$4)+($E3*README!$C$5)+($F3*README!$C$6)-1)</f>
        <v>100100099</v>
      </c>
      <c r="L3" s="9">
        <f>IF($A3="", -1, ($B3*README!$C$2)+($C3*README!$C$3)+($D3*README!$C$4)+($E3*README!$C$5)+($F3*README!$C$6)+1)</f>
        <v>100100101</v>
      </c>
      <c r="M3" s="6">
        <v>2.0</v>
      </c>
      <c r="N3" s="6">
        <v>0.0</v>
      </c>
      <c r="O3" s="6">
        <v>0.0</v>
      </c>
      <c r="P3" s="7">
        <v>-1.0</v>
      </c>
      <c r="Q3" s="7">
        <v>0.0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40</v>
      </c>
      <c r="B2" s="12">
        <v>2.0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200000000</v>
      </c>
      <c r="K2" s="9">
        <f>IF($A2="", -1, ($B2*README!$C$2)+($C2*README!$C$3)+($D2*README!$C$4)+($E2*README!$C$5)+($F2*README!$C$6)-1)</f>
        <v>199999999</v>
      </c>
      <c r="L2" s="9">
        <f>IF($A2="", -1, ($B2*README!$C$2)+($C2*README!$C$3)+($D2*README!$C$4)+($E2*README!$C$5)+($F2*README!$C$6)+1)</f>
        <v>200000001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41</v>
      </c>
      <c r="B2" s="12">
        <v>3.0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300000000</v>
      </c>
      <c r="K2" s="9">
        <f>IF($A2="", -1, ($B2*README!$C$2)+($C2*README!$C$3)+($D2*README!$C$4)+($E2*README!$C$5)+($F2*README!$C$6)-1)</f>
        <v>299999999</v>
      </c>
      <c r="L2" s="9">
        <f>IF($A2="", -1, ($B2*README!$C$2)+($C2*README!$C$3)+($D2*README!$C$4)+($E2*README!$C$5)+($F2*README!$C$6)+1)</f>
        <v>300000001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42</v>
      </c>
      <c r="B2" s="12">
        <v>4.0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400000000</v>
      </c>
      <c r="K2" s="9">
        <f>IF($A2="", -1, ($B2*README!$C$2)+($C2*README!$C$3)+($D2*README!$C$4)+($E2*README!$C$5)+($F2*README!$C$6)-1)</f>
        <v>399999999</v>
      </c>
      <c r="L2" s="9">
        <f>IF($A2="", -1, ($B2*README!$C$2)+($C2*README!$C$3)+($D2*README!$C$4)+($E2*README!$C$5)+($F2*README!$C$6)+1)</f>
        <v>400000001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2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43</v>
      </c>
      <c r="B2" s="12">
        <v>5.0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500000000</v>
      </c>
      <c r="K2" s="9">
        <f>IF($A2="", -1, ($B2*README!$C$2)+($C2*README!$C$3)+($D2*README!$C$4)+($E2*README!$C$5)+($F2*README!$C$6)-1)</f>
        <v>499999999</v>
      </c>
      <c r="L2" s="9">
        <f>IF($A2="", -1, ($B2*README!$C$2)+($C2*README!$C$3)+($D2*README!$C$4)+($E2*README!$C$5)+($F2*README!$C$6)+1)</f>
        <v>500000001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25"/>
    <col customWidth="1" min="14" max="14" width="8.0"/>
    <col customWidth="1" min="15" max="15" width="7.63"/>
    <col customWidth="1" min="16" max="16" width="11.25"/>
    <col customWidth="1" min="17" max="17" width="11.38"/>
    <col customWidth="1" min="18" max="34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4" t="s">
        <v>27</v>
      </c>
      <c r="I1" s="4" t="s">
        <v>28</v>
      </c>
      <c r="J1" s="6" t="s">
        <v>29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P1" s="7" t="s">
        <v>35</v>
      </c>
      <c r="Q1" s="7" t="s">
        <v>36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44</v>
      </c>
      <c r="B2" s="12">
        <v>6.0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IF($A2="", -1, ($B2*README!$C$2)+($C2*README!$C$3)+($D2*README!$C$4)+($E2*README!$C$5)+($F2*README!$C$6))</f>
        <v>600000000</v>
      </c>
      <c r="K2" s="9">
        <f>IF($A2="", -1, ($B2*README!$C$2)+($C2*README!$C$3)+($D2*README!$C$4)+($E2*README!$C$5)+($F2*README!$C$6)-1)</f>
        <v>599999999</v>
      </c>
      <c r="L2" s="9">
        <f>IF($A2="", -1, ($B2*README!$C$2)+($C2*README!$C$3)+($D2*README!$C$4)+($E2*README!$C$5)+($F2*README!$C$6)+1)</f>
        <v>600000001</v>
      </c>
      <c r="M2" s="6">
        <v>-1.0</v>
      </c>
      <c r="N2" s="6">
        <v>-1.0</v>
      </c>
      <c r="O2" s="6">
        <v>0.0</v>
      </c>
      <c r="P2" s="7">
        <v>-1.0</v>
      </c>
      <c r="Q2" s="7">
        <v>0.0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10"/>
      <c r="Q3" s="10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10"/>
      <c r="Q4" s="10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10"/>
      <c r="Q5" s="10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10"/>
      <c r="Q6" s="10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10"/>
      <c r="Q7" s="10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10"/>
      <c r="Q8" s="10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10"/>
      <c r="Q9" s="10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10"/>
      <c r="Q10" s="10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10"/>
      <c r="Q11" s="10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10"/>
      <c r="Q12" s="10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10"/>
      <c r="Q13" s="10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10"/>
      <c r="Q14" s="10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10"/>
      <c r="Q15" s="10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10"/>
      <c r="Q16" s="10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10"/>
      <c r="Q17" s="10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10"/>
      <c r="Q18" s="10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10"/>
      <c r="Q19" s="10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10"/>
      <c r="Q20" s="10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10"/>
      <c r="Q21" s="10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10"/>
      <c r="Q22" s="10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10"/>
      <c r="Q23" s="10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10"/>
      <c r="Q24" s="10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10"/>
      <c r="Q25" s="10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10"/>
      <c r="Q26" s="10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10"/>
      <c r="Q27" s="10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10"/>
      <c r="Q28" s="10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10"/>
      <c r="Q29" s="10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10"/>
      <c r="Q30" s="10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10"/>
      <c r="Q31" s="10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10"/>
      <c r="Q32" s="10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10"/>
      <c r="Q33" s="10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10"/>
      <c r="Q34" s="10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10"/>
      <c r="Q35" s="10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10"/>
      <c r="Q36" s="10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10"/>
      <c r="Q37" s="10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10"/>
      <c r="Q38" s="10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10"/>
      <c r="Q39" s="10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10"/>
      <c r="Q40" s="10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10"/>
      <c r="Q41" s="10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10"/>
      <c r="Q42" s="10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10"/>
      <c r="Q43" s="10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10"/>
      <c r="Q44" s="10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10"/>
      <c r="Q45" s="10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10"/>
      <c r="Q46" s="10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10"/>
      <c r="Q47" s="10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10"/>
      <c r="Q48" s="10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10"/>
      <c r="Q49" s="10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10"/>
      <c r="Q50" s="10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10"/>
      <c r="Q51" s="10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10"/>
      <c r="Q52" s="10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10"/>
      <c r="Q53" s="10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10"/>
      <c r="Q54" s="10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10"/>
      <c r="Q55" s="10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10"/>
      <c r="Q56" s="10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10"/>
      <c r="Q57" s="10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10"/>
      <c r="Q58" s="10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10"/>
      <c r="Q59" s="10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10"/>
      <c r="Q60" s="10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10"/>
      <c r="Q61" s="10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10"/>
      <c r="Q62" s="10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10"/>
      <c r="Q63" s="10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10"/>
      <c r="Q64" s="10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10"/>
      <c r="Q65" s="10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10"/>
      <c r="Q66" s="10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10"/>
      <c r="Q67" s="10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10"/>
      <c r="Q68" s="10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10"/>
      <c r="Q69" s="10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10"/>
      <c r="Q70" s="10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10"/>
      <c r="Q71" s="10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10"/>
      <c r="Q72" s="10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10"/>
      <c r="Q73" s="10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10"/>
      <c r="Q74" s="10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10"/>
      <c r="Q75" s="10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10"/>
      <c r="Q76" s="10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10"/>
      <c r="Q77" s="10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10"/>
      <c r="Q78" s="10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10"/>
      <c r="Q79" s="10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10"/>
      <c r="Q80" s="10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10"/>
      <c r="Q81" s="10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10"/>
      <c r="Q82" s="10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10"/>
      <c r="Q83" s="10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10"/>
      <c r="Q84" s="10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10"/>
      <c r="Q85" s="10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10"/>
      <c r="Q86" s="10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10"/>
      <c r="Q87" s="10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10"/>
      <c r="Q88" s="10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10"/>
      <c r="Q89" s="10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10"/>
      <c r="Q90" s="10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10"/>
      <c r="Q91" s="10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10"/>
      <c r="Q92" s="10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10"/>
      <c r="Q93" s="10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10"/>
      <c r="Q94" s="10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10"/>
      <c r="Q95" s="10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10"/>
      <c r="Q96" s="10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10"/>
      <c r="Q97" s="10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10"/>
      <c r="Q98" s="10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10"/>
      <c r="Q99" s="10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10"/>
      <c r="Q100" s="10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10"/>
      <c r="Q101" s="10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10"/>
      <c r="Q102" s="10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10"/>
      <c r="Q103" s="10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10"/>
      <c r="Q104" s="10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10"/>
      <c r="Q105" s="10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10"/>
      <c r="Q106" s="10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10"/>
      <c r="Q107" s="10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10"/>
      <c r="Q108" s="10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10"/>
      <c r="Q109" s="10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10"/>
      <c r="Q110" s="10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10"/>
      <c r="Q111" s="10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10"/>
      <c r="Q112" s="10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10"/>
      <c r="Q113" s="10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10"/>
      <c r="Q114" s="10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10"/>
      <c r="Q115" s="10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10"/>
      <c r="Q116" s="10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10"/>
      <c r="Q117" s="10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10"/>
      <c r="Q118" s="10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10"/>
      <c r="Q119" s="10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10"/>
      <c r="Q120" s="10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10"/>
      <c r="Q121" s="10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10"/>
      <c r="Q122" s="10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10"/>
      <c r="Q123" s="10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10"/>
      <c r="Q124" s="10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10"/>
      <c r="Q125" s="10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10"/>
      <c r="Q126" s="10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10"/>
      <c r="Q127" s="10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10"/>
      <c r="Q128" s="10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10"/>
      <c r="Q129" s="10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10"/>
      <c r="Q130" s="10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10"/>
      <c r="Q131" s="10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10"/>
      <c r="Q132" s="10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10"/>
      <c r="Q133" s="10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10"/>
      <c r="Q134" s="10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10"/>
      <c r="Q135" s="10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10"/>
      <c r="Q136" s="10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10"/>
      <c r="Q137" s="10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10"/>
      <c r="Q138" s="10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10"/>
      <c r="Q139" s="10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10"/>
      <c r="Q140" s="10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10"/>
      <c r="Q141" s="10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10"/>
      <c r="Q142" s="10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10"/>
      <c r="Q143" s="10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10"/>
      <c r="Q144" s="10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10"/>
      <c r="Q145" s="10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10"/>
      <c r="Q146" s="10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10"/>
      <c r="Q147" s="10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10"/>
      <c r="Q148" s="10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10"/>
      <c r="Q149" s="10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10"/>
      <c r="Q150" s="10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10"/>
      <c r="Q151" s="10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10"/>
      <c r="Q152" s="10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10"/>
      <c r="Q153" s="10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10"/>
      <c r="Q154" s="10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10"/>
      <c r="Q155" s="10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10"/>
      <c r="Q156" s="10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10"/>
      <c r="Q157" s="10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10"/>
      <c r="Q158" s="10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10"/>
      <c r="Q159" s="10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10"/>
      <c r="Q160" s="10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10"/>
      <c r="Q161" s="10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10"/>
      <c r="Q162" s="10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10"/>
      <c r="Q163" s="10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10"/>
      <c r="Q164" s="10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10"/>
      <c r="Q165" s="10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10"/>
      <c r="Q166" s="10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10"/>
      <c r="Q167" s="10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10"/>
      <c r="Q168" s="10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10"/>
      <c r="Q169" s="10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10"/>
      <c r="Q170" s="10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10"/>
      <c r="Q171" s="10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10"/>
      <c r="Q172" s="10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10"/>
      <c r="Q173" s="10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10"/>
      <c r="Q174" s="10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10"/>
      <c r="Q175" s="10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10"/>
      <c r="Q176" s="10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10"/>
      <c r="Q177" s="10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10"/>
      <c r="Q178" s="10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10"/>
      <c r="Q179" s="10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10"/>
      <c r="Q180" s="10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10"/>
      <c r="Q181" s="10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10"/>
      <c r="Q182" s="10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10"/>
      <c r="Q183" s="10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10"/>
      <c r="Q184" s="10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10"/>
      <c r="Q185" s="10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10"/>
      <c r="Q186" s="10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10"/>
      <c r="Q187" s="10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10"/>
      <c r="Q188" s="10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10"/>
      <c r="Q189" s="10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10"/>
      <c r="Q190" s="10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10"/>
      <c r="Q191" s="10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10"/>
      <c r="Q192" s="10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10"/>
      <c r="Q193" s="10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10"/>
      <c r="Q194" s="10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10"/>
      <c r="Q195" s="10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10"/>
      <c r="Q196" s="10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10"/>
      <c r="Q197" s="10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10"/>
      <c r="Q198" s="10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10"/>
      <c r="Q199" s="10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10"/>
      <c r="Q200" s="10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10"/>
      <c r="Q201" s="10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10"/>
      <c r="Q202" s="10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10"/>
      <c r="Q203" s="10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10"/>
      <c r="Q204" s="10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10"/>
      <c r="Q205" s="10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10"/>
      <c r="Q206" s="10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10"/>
      <c r="Q207" s="10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10"/>
      <c r="Q208" s="10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10"/>
      <c r="Q209" s="10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10"/>
      <c r="Q210" s="10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10"/>
      <c r="Q211" s="10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10"/>
      <c r="Q212" s="10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10"/>
      <c r="Q213" s="10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10"/>
      <c r="Q214" s="10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10"/>
      <c r="Q215" s="10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10"/>
      <c r="Q216" s="10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10"/>
      <c r="Q217" s="10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10"/>
      <c r="Q218" s="10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10"/>
      <c r="Q219" s="10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10"/>
      <c r="Q220" s="10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