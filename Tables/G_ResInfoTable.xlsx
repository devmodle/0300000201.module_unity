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<sst xmlns="http://schemas.openxmlformats.org/spreadsheetml/2006/main" count="284" uniqueCount="201">
  <si>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</si>
  <si>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</si>
  <si>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</si>
  <si>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</si>
  <si>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</si>
  <si>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</si>
  <si>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</si>
  <si>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</si>
  <si>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</si>
  <si>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</si>
  <si>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</si>
  <si>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</si>
  <si>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</si>
  <si>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</si>
  <si>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</si>
  <si>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</si>
  <si>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</si>
  <si>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</si>
  <si>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</si>
  <si>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</si>
  <si>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</si>
  <si>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</si>
  <si>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</si>
  <si>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</si>
  <si>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</si>
  <si>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</si>
  <si>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</si>
  <si>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</si>
  <si>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</si>
  <si>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</si>
  <si>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</si>
  <si>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</si>
  <si>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</si>
  <si>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</si>
  <si>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</si>
  <si>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</si>
  <si>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</si>
  <si>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</si>
  <si>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</si>
  <si>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</si>
  <si>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</si>
  <si>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</si>
  <si>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</si>
  <si>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</si>
  <si>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</si>
  <si>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</si>
  <si>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</si>
  <si>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</si>
  <si>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</si>
  <si>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</si>
  <si>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</si>
  <si>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</si>
  <si>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</si>
  <si>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</si>
  <si>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</si>
  <si>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</si>
  <si>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</si>
  <si>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</si>
  <si>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</si>
  <si>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</si>
  <si>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</si>
  <si>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</si>
  <si>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</si>
  <si>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</si>
  <si>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</si>
  <si>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</si>
  <si>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</si>
  <si>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</si>
  <si>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</si>
  <si>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</si>
  <si>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</si>
  <si>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</si>
  <si>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</si>
  <si>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</si>
  <si>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</si>
  <si>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</si>
  <si>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</si>
  <si>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</si>
  <si>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</si>
  <si>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</si>
  <si>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</si>
  <si>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</si>
  <si>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</si>
  <si>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</si>
  <si>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</si>
  <si>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</si>
  <si>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</si>
  <si>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</si>
  <si>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</si>
  <si>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</si>
  <si>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</si>
  <si>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</si>
  <si>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인식 범위 - 1</t>
  </si>
  <si>
    <t>G_SpriteAtlas_01</t>
  </si>
  <si>
    <t>Images/G_SpriteAtlas_01</t>
  </si>
  <si>
    <t>인식 범위 - 2</t>
  </si>
  <si>
    <t>G_SpriteAtlas_02</t>
  </si>
  <si>
    <t>Images/G_SpriteAtlas_02</t>
  </si>
  <si>
    <t>공격 범위 - 1</t>
  </si>
  <si>
    <t>G_SpriteAtlas_03</t>
  </si>
  <si>
    <t>Images/G_SpriteAtlas_03</t>
  </si>
  <si>
    <t>공격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</si>
  <si>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</si>
  <si>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</si>
  <si>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</si>
  <si>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</si>
  <si>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</si>
  <si>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</si>
  <si>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</si>
  <si>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</si>
  <si>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</si>
  <si>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</si>
  <si>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</si>
  <si>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</si>
  <si>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</si>
  <si>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</si>
  <si>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</si>
  <si>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</si>
  <si>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</si>
  <si>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</si>
  <si>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</si>
  <si>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</si>
  <si>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</si>
  <si>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</si>
  <si>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확률 - 1</t>
  </si>
  <si>
    <t>U_SpriteAtlas_03</t>
  </si>
  <si>
    <t>Images/U_SpriteAtlas_03</t>
  </si>
  <si>
    <t>확률 - 2</t>
  </si>
  <si>
    <t>U_SpriteAtlas_04</t>
  </si>
  <si>
    <t>Images/U_SpriteAtlas_04</t>
  </si>
  <si>
    <t>명중 확률 - 1</t>
  </si>
  <si>
    <t>U_SpriteAtlas_05</t>
  </si>
  <si>
    <t>Images/U_SpriteAtlas_05</t>
  </si>
  <si>
    <t>명중 확률 - 2</t>
  </si>
  <si>
    <t>U_SpriteAtlas_06</t>
  </si>
  <si>
    <t>Images/U_SpriteAtlas_06</t>
  </si>
  <si>
    <t>회피 확룰 - 1</t>
  </si>
  <si>
    <t>U_SpriteAtlas_07</t>
  </si>
  <si>
    <t>Images/U_SpriteAtlas_07</t>
  </si>
  <si>
    <t>회피 확룰 - 2</t>
  </si>
  <si>
    <t>U_SpriteAtlas_08</t>
  </si>
  <si>
    <t>Images/U_SpriteAtlas_08</t>
  </si>
  <si>
    <t>크리티컬 확률 - 1</t>
  </si>
  <si>
    <t>U_SpriteAtlas_09</t>
  </si>
  <si>
    <t>Images/U_SpriteAtlas_09</t>
  </si>
  <si>
    <t>크리티컬 확률 - 2</t>
  </si>
  <si>
    <t>EG_SpriteAtlas_01</t>
  </si>
  <si>
    <t>Images/EG_SpriteAtlas_01</t>
  </si>
  <si>
    <t>딜레이 - 1</t>
  </si>
  <si>
    <t>EG_SpriteAtlas_02</t>
  </si>
  <si>
    <t>Images/EG_SpriteAtlas_02</t>
  </si>
  <si>
    <t>딜레이 - 2</t>
  </si>
  <si>
    <t>EG_SpriteAtlas_03</t>
  </si>
  <si>
    <t>Images/EG_SpriteAtlas_03</t>
  </si>
  <si>
    <t>공격 딜레이 - 1</t>
  </si>
  <si>
    <t>EG_SpriteAtlas_04</t>
  </si>
  <si>
    <t>Images/EG_SpriteAtlas_04</t>
  </si>
  <si>
    <t>공격 딜레이 - 2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</si>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</sst>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3" t="s">
        <v>78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3" t="s">
        <v>80</v>
      </c>
      <c r="B33" s="25" t="s">
        <v>81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82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3" t="s">
        <v>84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85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3" t="s">
        <v>80</v>
      </c>
      <c r="B36" s="25" t="s">
        <v>86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87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3" t="s">
        <v>88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89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3" t="s">
        <v>80</v>
      </c>
      <c r="B39" s="25" t="s">
        <v>90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91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92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3" t="s">
        <v>93</v>
      </c>
      <c r="B41" s="25" t="s">
        <v>94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95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3" t="s">
        <v>96</v>
      </c>
      <c r="B42" s="25" t="s">
        <v>97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3" t="s">
        <v>99</v>
      </c>
      <c r="B43" s="25" t="s">
        <v>100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101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3" t="s">
        <v>102</v>
      </c>
      <c r="B44" s="25" t="s">
        <v>103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3" t="s">
        <v>104</v>
      </c>
      <c r="B45" s="25" t="s">
        <v>105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106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3" t="s">
        <v>107</v>
      </c>
      <c r="B46" s="25" t="s">
        <v>108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109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3" t="s">
        <v>110</v>
      </c>
      <c r="B47" s="25" t="s">
        <v>111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3" t="s">
        <v>113</v>
      </c>
      <c r="B48" s="25" t="s">
        <v>114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115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3" t="s">
        <v>116</v>
      </c>
      <c r="B49" s="25" t="s">
        <v>117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118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119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3" t="s">
        <v>120</v>
      </c>
      <c r="B51" s="25" t="s">
        <v>121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3" t="s">
        <v>122</v>
      </c>
      <c r="B52" s="25" t="s">
        <v>123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124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3" t="s">
        <v>125</v>
      </c>
      <c r="B53" s="25" t="s">
        <v>126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127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3" t="s">
        <v>128</v>
      </c>
      <c r="B54" s="25" t="s">
        <v>129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130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3" t="s">
        <v>131</v>
      </c>
      <c r="B55" s="25" t="s">
        <v>132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133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3" t="s">
        <v>134</v>
      </c>
      <c r="B56" s="25" t="s">
        <v>135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136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3" t="s">
        <v>137</v>
      </c>
      <c r="B57" s="25" t="s">
        <v>138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139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3" t="s">
        <v>140</v>
      </c>
      <c r="B58" s="25" t="s">
        <v>141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142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3" t="s">
        <v>143</v>
      </c>
      <c r="B59" s="25" t="s">
        <v>144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145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3" t="s">
        <v>146</v>
      </c>
      <c r="B61" s="25" t="s">
        <v>147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148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3" t="s">
        <v>149</v>
      </c>
      <c r="B62" s="25" t="s">
        <v>150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151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3" t="s">
        <v>152</v>
      </c>
      <c r="B63" s="25" t="s">
        <v>153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154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3" t="s">
        <v>155</v>
      </c>
      <c r="B64" s="25" t="s">
        <v>156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157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3" t="s">
        <v>158</v>
      </c>
      <c r="B65" s="25" t="s">
        <v>159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3" t="s">
        <v>160</v>
      </c>
      <c r="B66" s="25" t="s">
        <v>161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3" t="s">
        <v>162</v>
      </c>
      <c r="B67" s="25" t="s">
        <v>163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3" t="s">
        <v>164</v>
      </c>
      <c r="B68" s="25" t="s">
        <v>165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3" t="s">
        <v>166</v>
      </c>
      <c r="B69" s="25" t="s">
        <v>167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3" t="s">
        <v>168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3" t="s">
        <v>80</v>
      </c>
      <c r="B72" s="25" t="s">
        <v>169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28"/>
      <c r="AB273" s="28"/>
      <c r="AC273" s="28"/>
      <c r="AD273" s="28"/>
      <c r="AE273" s="28"/>
    </row>
    <row r="274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28"/>
      <c r="AB274" s="28"/>
      <c r="AC274" s="28"/>
      <c r="AD274" s="28"/>
      <c r="AE274" s="28"/>
    </row>
    <row r="275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28"/>
      <c r="AB275" s="28"/>
      <c r="AC275" s="28"/>
      <c r="AD275" s="28"/>
      <c r="AE275" s="28"/>
    </row>
    <row r="276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28"/>
      <c r="AB276" s="28"/>
      <c r="AC276" s="28"/>
      <c r="AD276" s="28"/>
      <c r="AE276" s="28"/>
    </row>
    <row r="277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28"/>
      <c r="AB277" s="28"/>
      <c r="AC277" s="28"/>
      <c r="AD277" s="28"/>
      <c r="AE277" s="28"/>
    </row>
    <row r="278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28"/>
      <c r="AB278" s="28"/>
      <c r="AC278" s="28"/>
      <c r="AD278" s="28"/>
      <c r="AE278" s="28"/>
    </row>
    <row r="279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28"/>
      <c r="AB279" s="28"/>
      <c r="AC279" s="28"/>
      <c r="AD279" s="28"/>
      <c r="AE279" s="28"/>
    </row>
    <row r="280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28"/>
      <c r="AB280" s="28"/>
      <c r="AC280" s="28"/>
      <c r="AD280" s="28"/>
      <c r="AE280" s="28"/>
    </row>
    <row r="28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28"/>
      <c r="AB281" s="28"/>
      <c r="AC281" s="28"/>
      <c r="AD281" s="28"/>
      <c r="AE281" s="28"/>
    </row>
    <row r="282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28"/>
      <c r="AB282" s="28"/>
      <c r="AC282" s="28"/>
      <c r="AD282" s="28"/>
      <c r="AE282" s="28"/>
    </row>
    <row r="283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28"/>
      <c r="AB283" s="28"/>
      <c r="AC283" s="28"/>
      <c r="AD283" s="28"/>
      <c r="AE283" s="28"/>
    </row>
    <row r="284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28"/>
      <c r="AB284" s="28"/>
      <c r="AC284" s="28"/>
      <c r="AD284" s="28"/>
      <c r="AE284" s="28"/>
    </row>
    <row r="285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28"/>
      <c r="AB285" s="28"/>
      <c r="AC285" s="28"/>
      <c r="AD285" s="28"/>
      <c r="AE285" s="28"/>
    </row>
    <row r="286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28"/>
      <c r="AB286" s="28"/>
      <c r="AC286" s="28"/>
      <c r="AD286" s="28"/>
      <c r="AE286" s="28"/>
    </row>
    <row r="287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28"/>
      <c r="AB287" s="28"/>
      <c r="AC287" s="28"/>
      <c r="AD287" s="28"/>
      <c r="AE287" s="28"/>
    </row>
    <row r="288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28"/>
      <c r="AB288" s="28"/>
      <c r="AC288" s="28"/>
      <c r="AD288" s="28"/>
      <c r="AE288" s="28"/>
    </row>
    <row r="289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28"/>
      <c r="AB289" s="28"/>
      <c r="AC289" s="28"/>
      <c r="AD289" s="28"/>
      <c r="AE289" s="28"/>
    </row>
    <row r="290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28"/>
      <c r="AB290" s="28"/>
      <c r="AC290" s="28"/>
      <c r="AD290" s="28"/>
      <c r="AE290" s="28"/>
    </row>
    <row r="29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28"/>
      <c r="AB291" s="28"/>
      <c r="AC291" s="28"/>
      <c r="AD291" s="28"/>
      <c r="AE291" s="28"/>
    </row>
    <row r="292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28"/>
      <c r="AB292" s="28"/>
      <c r="AC292" s="28"/>
      <c r="AD292" s="28"/>
      <c r="AE292" s="28"/>
    </row>
    <row r="293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28"/>
      <c r="AB293" s="28"/>
      <c r="AC293" s="28"/>
      <c r="AD293" s="28"/>
      <c r="AE293" s="28"/>
    </row>
    <row r="294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28"/>
      <c r="AB294" s="28"/>
      <c r="AC294" s="28"/>
      <c r="AD294" s="28"/>
      <c r="AE294" s="28"/>
    </row>
    <row r="295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28"/>
      <c r="AB295" s="28"/>
      <c r="AC295" s="28"/>
      <c r="AD295" s="28"/>
      <c r="AE295" s="28"/>
    </row>
    <row r="296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28"/>
      <c r="AB296" s="28"/>
      <c r="AC296" s="28"/>
      <c r="AD296" s="28"/>
      <c r="AE296" s="28"/>
    </row>
    <row r="297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28"/>
      <c r="AB297" s="28"/>
      <c r="AC297" s="28"/>
      <c r="AD297" s="28"/>
      <c r="AE297" s="28"/>
    </row>
    <row r="298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28"/>
      <c r="AB298" s="28"/>
      <c r="AC298" s="28"/>
      <c r="AD298" s="28"/>
      <c r="AE298" s="28"/>
    </row>
    <row r="299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28"/>
      <c r="AB299" s="28"/>
      <c r="AC299" s="28"/>
      <c r="AD299" s="28"/>
      <c r="AE299" s="28"/>
    </row>
    <row r="300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28"/>
      <c r="AB300" s="28"/>
      <c r="AC300" s="28"/>
      <c r="AD300" s="28"/>
      <c r="AE300" s="28"/>
    </row>
    <row r="30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28"/>
      <c r="AB301" s="28"/>
      <c r="AC301" s="28"/>
      <c r="AD301" s="28"/>
      <c r="AE301" s="28"/>
    </row>
    <row r="302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28"/>
      <c r="AB302" s="28"/>
      <c r="AC302" s="28"/>
      <c r="AD302" s="28"/>
      <c r="AE302" s="28"/>
    </row>
    <row r="303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28"/>
      <c r="AB303" s="28"/>
      <c r="AC303" s="28"/>
      <c r="AD303" s="28"/>
      <c r="AE303" s="28"/>
    </row>
    <row r="304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28"/>
      <c r="AB304" s="28"/>
      <c r="AC304" s="28"/>
      <c r="AD304" s="28"/>
      <c r="AE304" s="28"/>
    </row>
    <row r="305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28"/>
      <c r="AB305" s="28"/>
      <c r="AC305" s="28"/>
      <c r="AD305" s="28"/>
      <c r="AE305" s="28"/>
    </row>
    <row r="306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28"/>
      <c r="AB306" s="28"/>
      <c r="AC306" s="28"/>
      <c r="AD306" s="28"/>
      <c r="AE306" s="28"/>
    </row>
    <row r="307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28"/>
      <c r="AB307" s="28"/>
      <c r="AC307" s="28"/>
      <c r="AD307" s="28"/>
      <c r="AE307" s="28"/>
    </row>
    <row r="308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28"/>
      <c r="AB308" s="28"/>
      <c r="AC308" s="28"/>
      <c r="AD308" s="28"/>
      <c r="AE308" s="28"/>
    </row>
    <row r="309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28"/>
      <c r="AB309" s="28"/>
      <c r="AC309" s="28"/>
      <c r="AD309" s="28"/>
      <c r="AE309" s="28"/>
    </row>
    <row r="310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28"/>
      <c r="AB310" s="28"/>
      <c r="AC310" s="28"/>
      <c r="AD310" s="28"/>
      <c r="AE310" s="28"/>
    </row>
    <row r="31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28"/>
      <c r="AB311" s="28"/>
      <c r="AC311" s="28"/>
      <c r="AD311" s="28"/>
      <c r="AE311" s="28"/>
    </row>
    <row r="312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28"/>
      <c r="AB312" s="28"/>
      <c r="AC312" s="28"/>
      <c r="AD312" s="28"/>
      <c r="AE312" s="28"/>
    </row>
    <row r="313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28"/>
      <c r="AB313" s="28"/>
      <c r="AC313" s="28"/>
      <c r="AD313" s="28"/>
      <c r="AE313" s="28"/>
    </row>
    <row r="314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28"/>
      <c r="AB314" s="28"/>
      <c r="AC314" s="28"/>
      <c r="AD314" s="28"/>
      <c r="AE314" s="28"/>
    </row>
    <row r="315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28"/>
      <c r="AB315" s="28"/>
      <c r="AC315" s="28"/>
      <c r="AD315" s="28"/>
      <c r="AE315" s="28"/>
    </row>
    <row r="316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28"/>
      <c r="AB316" s="28"/>
      <c r="AC316" s="28"/>
      <c r="AD316" s="28"/>
      <c r="AE316" s="28"/>
    </row>
    <row r="317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28"/>
      <c r="AB317" s="28"/>
      <c r="AC317" s="28"/>
      <c r="AD317" s="28"/>
      <c r="AE317" s="28"/>
    </row>
    <row r="318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28"/>
      <c r="AB318" s="28"/>
      <c r="AC318" s="28"/>
      <c r="AD318" s="28"/>
      <c r="AE318" s="28"/>
    </row>
    <row r="319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28"/>
      <c r="AB319" s="28"/>
      <c r="AC319" s="28"/>
      <c r="AD319" s="28"/>
      <c r="AE319" s="28"/>
    </row>
    <row r="320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28"/>
      <c r="AB320" s="28"/>
      <c r="AC320" s="28"/>
      <c r="AD320" s="28"/>
      <c r="AE320" s="28"/>
    </row>
    <row r="32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28"/>
      <c r="AB321" s="28"/>
      <c r="AC321" s="28"/>
      <c r="AD321" s="28"/>
      <c r="AE321" s="28"/>
    </row>
    <row r="322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28"/>
      <c r="AB322" s="28"/>
      <c r="AC322" s="28"/>
      <c r="AD322" s="28"/>
      <c r="AE322" s="28"/>
    </row>
    <row r="323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28"/>
      <c r="AB323" s="28"/>
      <c r="AC323" s="28"/>
      <c r="AD323" s="28"/>
      <c r="AE323" s="28"/>
    </row>
    <row r="324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28"/>
      <c r="AB324" s="28"/>
      <c r="AC324" s="28"/>
      <c r="AD324" s="28"/>
      <c r="AE324" s="28"/>
    </row>
    <row r="325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28"/>
      <c r="AB325" s="28"/>
      <c r="AC325" s="28"/>
      <c r="AD325" s="28"/>
      <c r="AE325" s="28"/>
    </row>
    <row r="326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28"/>
      <c r="AB326" s="28"/>
      <c r="AC326" s="28"/>
      <c r="AD326" s="28"/>
      <c r="AE326" s="28"/>
    </row>
    <row r="327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28"/>
      <c r="AB327" s="28"/>
      <c r="AC327" s="28"/>
      <c r="AD327" s="28"/>
      <c r="AE327" s="28"/>
    </row>
    <row r="328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28"/>
      <c r="AB328" s="28"/>
      <c r="AC328" s="28"/>
      <c r="AD328" s="28"/>
      <c r="AE328" s="28"/>
    </row>
    <row r="329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28"/>
      <c r="AB329" s="28"/>
      <c r="AC329" s="28"/>
      <c r="AD329" s="28"/>
      <c r="AE329" s="28"/>
    </row>
    <row r="330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28"/>
      <c r="AB330" s="28"/>
      <c r="AC330" s="28"/>
      <c r="AD330" s="28"/>
      <c r="AE330" s="28"/>
    </row>
    <row r="33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28"/>
      <c r="AB331" s="28"/>
      <c r="AC331" s="28"/>
      <c r="AD331" s="28"/>
      <c r="AE331" s="28"/>
    </row>
    <row r="332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28"/>
      <c r="AB332" s="28"/>
      <c r="AC332" s="28"/>
      <c r="AD332" s="28"/>
      <c r="AE332" s="28"/>
    </row>
    <row r="333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28"/>
      <c r="AB333" s="28"/>
      <c r="AC333" s="28"/>
      <c r="AD333" s="28"/>
      <c r="AE333" s="28"/>
    </row>
    <row r="334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28"/>
      <c r="AB334" s="28"/>
      <c r="AC334" s="28"/>
      <c r="AD334" s="28"/>
      <c r="AE334" s="28"/>
    </row>
    <row r="335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28"/>
      <c r="AB335" s="28"/>
      <c r="AC335" s="28"/>
      <c r="AD335" s="28"/>
      <c r="AE335" s="28"/>
    </row>
    <row r="336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28"/>
      <c r="AB336" s="28"/>
      <c r="AC336" s="28"/>
      <c r="AD336" s="28"/>
      <c r="AE336" s="28"/>
    </row>
    <row r="337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28"/>
      <c r="AB337" s="28"/>
      <c r="AC337" s="28"/>
      <c r="AD337" s="28"/>
      <c r="AE337" s="28"/>
    </row>
    <row r="338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28"/>
      <c r="AB338" s="28"/>
      <c r="AC338" s="28"/>
      <c r="AD338" s="28"/>
      <c r="AE338" s="28"/>
    </row>
    <row r="339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28"/>
      <c r="AB339" s="28"/>
      <c r="AC339" s="28"/>
      <c r="AD339" s="28"/>
      <c r="AE339" s="28"/>
    </row>
    <row r="340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28"/>
      <c r="AB340" s="28"/>
      <c r="AC340" s="28"/>
      <c r="AD340" s="28"/>
      <c r="AE340" s="28"/>
    </row>
    <row r="34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28"/>
      <c r="AB341" s="28"/>
      <c r="AC341" s="28"/>
      <c r="AD341" s="28"/>
      <c r="AE341" s="28"/>
    </row>
    <row r="342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28"/>
      <c r="AB342" s="28"/>
      <c r="AC342" s="28"/>
      <c r="AD342" s="28"/>
      <c r="AE342" s="28"/>
    </row>
    <row r="343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28"/>
      <c r="AB343" s="28"/>
      <c r="AC343" s="28"/>
      <c r="AD343" s="28"/>
      <c r="AE343" s="28"/>
    </row>
    <row r="344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28"/>
      <c r="AB344" s="28"/>
      <c r="AC344" s="28"/>
      <c r="AD344" s="28"/>
      <c r="AE344" s="28"/>
    </row>
    <row r="345">
      <c r="A345" s="27"/>
      <c r="B345" s="28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28"/>
      <c r="AB345" s="28"/>
      <c r="AC345" s="28"/>
      <c r="AD345" s="28"/>
      <c r="AE345" s="28"/>
    </row>
    <row r="346">
      <c r="A346" s="27"/>
      <c r="B346" s="28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28"/>
      <c r="AB346" s="28"/>
      <c r="AC346" s="28"/>
      <c r="AD346" s="28"/>
      <c r="AE346" s="28"/>
    </row>
    <row r="347">
      <c r="A347" s="27"/>
      <c r="B347" s="28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28"/>
      <c r="AB347" s="28"/>
      <c r="AC347" s="28"/>
      <c r="AD347" s="28"/>
      <c r="AE347" s="28"/>
    </row>
    <row r="348">
      <c r="A348" s="27"/>
      <c r="B348" s="28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28"/>
      <c r="AB348" s="28"/>
      <c r="AC348" s="28"/>
      <c r="AD348" s="28"/>
      <c r="AE348" s="28"/>
    </row>
    <row r="349">
      <c r="A349" s="27"/>
      <c r="B349" s="28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28"/>
      <c r="AB349" s="28"/>
      <c r="AC349" s="28"/>
      <c r="AD349" s="28"/>
      <c r="AE349" s="28"/>
    </row>
    <row r="350">
      <c r="A350" s="27"/>
      <c r="B350" s="28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28"/>
      <c r="AB350" s="28"/>
      <c r="AC350" s="28"/>
      <c r="AD350" s="28"/>
      <c r="AE350" s="28"/>
    </row>
    <row r="351">
      <c r="A351" s="27"/>
      <c r="B351" s="28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28"/>
      <c r="AB351" s="28"/>
      <c r="AC351" s="28"/>
      <c r="AD351" s="28"/>
      <c r="AE351" s="28"/>
    </row>
    <row r="352">
      <c r="A352" s="27"/>
      <c r="B352" s="28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28"/>
      <c r="AB352" s="28"/>
      <c r="AC352" s="28"/>
      <c r="AD352" s="28"/>
      <c r="AE352" s="28"/>
    </row>
    <row r="353">
      <c r="A353" s="27"/>
      <c r="B353" s="28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28"/>
      <c r="AB353" s="28"/>
      <c r="AC353" s="28"/>
      <c r="AD353" s="28"/>
      <c r="AE353" s="28"/>
    </row>
    <row r="354">
      <c r="A354" s="27"/>
      <c r="B354" s="28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28"/>
      <c r="AB354" s="28"/>
      <c r="AC354" s="28"/>
      <c r="AD354" s="28"/>
      <c r="AE354" s="28"/>
    </row>
    <row r="355">
      <c r="A355" s="27"/>
      <c r="B355" s="28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28"/>
      <c r="AB355" s="28"/>
      <c r="AC355" s="28"/>
      <c r="AD355" s="28"/>
      <c r="AE355" s="28"/>
    </row>
    <row r="356">
      <c r="A356" s="27"/>
      <c r="B356" s="28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28"/>
      <c r="AB356" s="28"/>
      <c r="AC356" s="28"/>
      <c r="AD356" s="28"/>
      <c r="AE356" s="28"/>
    </row>
    <row r="357">
      <c r="A357" s="27"/>
      <c r="B357" s="28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28"/>
      <c r="AB357" s="28"/>
      <c r="AC357" s="28"/>
      <c r="AD357" s="28"/>
      <c r="AE357" s="28"/>
    </row>
    <row r="358">
      <c r="A358" s="27"/>
      <c r="B358" s="28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28"/>
      <c r="AB358" s="28"/>
      <c r="AC358" s="28"/>
      <c r="AD358" s="28"/>
      <c r="AE358" s="28"/>
    </row>
    <row r="359">
      <c r="A359" s="27"/>
      <c r="B359" s="28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28"/>
      <c r="AB359" s="28"/>
      <c r="AC359" s="28"/>
      <c r="AD359" s="28"/>
      <c r="AE359" s="28"/>
    </row>
    <row r="360">
      <c r="A360" s="27"/>
      <c r="B360" s="28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28"/>
      <c r="AB360" s="28"/>
      <c r="AC360" s="28"/>
      <c r="AD360" s="28"/>
      <c r="AE360" s="28"/>
    </row>
    <row r="361">
      <c r="A361" s="27"/>
      <c r="B361" s="28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28"/>
      <c r="AB361" s="28"/>
      <c r="AC361" s="28"/>
      <c r="AD361" s="28"/>
      <c r="AE361" s="28"/>
    </row>
    <row r="362">
      <c r="A362" s="27"/>
      <c r="B362" s="28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28"/>
      <c r="AB362" s="28"/>
      <c r="AC362" s="28"/>
      <c r="AD362" s="28"/>
      <c r="AE362" s="28"/>
    </row>
    <row r="363">
      <c r="A363" s="27"/>
      <c r="B363" s="28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28"/>
      <c r="AB363" s="28"/>
      <c r="AC363" s="28"/>
      <c r="AD363" s="28"/>
      <c r="AE363" s="28"/>
    </row>
    <row r="364">
      <c r="A364" s="27"/>
      <c r="B364" s="28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28"/>
      <c r="AB364" s="28"/>
      <c r="AC364" s="28"/>
      <c r="AD364" s="28"/>
      <c r="AE364" s="28"/>
    </row>
    <row r="365">
      <c r="A365" s="27"/>
      <c r="B365" s="28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28"/>
      <c r="AB365" s="28"/>
      <c r="AC365" s="28"/>
      <c r="AD365" s="28"/>
      <c r="AE365" s="28"/>
    </row>
    <row r="366">
      <c r="A366" s="27"/>
      <c r="B366" s="28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28"/>
      <c r="AB366" s="28"/>
      <c r="AC366" s="28"/>
      <c r="AD366" s="28"/>
      <c r="AE366" s="28"/>
    </row>
    <row r="367">
      <c r="A367" s="27"/>
      <c r="B367" s="28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28"/>
      <c r="AB367" s="28"/>
      <c r="AC367" s="28"/>
      <c r="AD367" s="28"/>
      <c r="AE367" s="28"/>
    </row>
    <row r="368">
      <c r="A368" s="27"/>
      <c r="B368" s="28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28"/>
      <c r="AB368" s="28"/>
      <c r="AC368" s="28"/>
      <c r="AD368" s="28"/>
      <c r="AE368" s="28"/>
    </row>
    <row r="369">
      <c r="A369" s="27"/>
      <c r="B369" s="28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28"/>
      <c r="AB369" s="28"/>
      <c r="AC369" s="28"/>
      <c r="AD369" s="28"/>
      <c r="AE369" s="28"/>
    </row>
    <row r="370">
      <c r="A370" s="27"/>
      <c r="B370" s="28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28"/>
      <c r="AB370" s="28"/>
      <c r="AC370" s="28"/>
      <c r="AD370" s="28"/>
      <c r="AE370" s="28"/>
    </row>
    <row r="371">
      <c r="A371" s="27"/>
      <c r="B371" s="28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28"/>
      <c r="AB371" s="28"/>
      <c r="AC371" s="28"/>
      <c r="AD371" s="28"/>
      <c r="AE371" s="28"/>
    </row>
    <row r="372">
      <c r="A372" s="27"/>
      <c r="B372" s="28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28"/>
      <c r="AB372" s="28"/>
      <c r="AC372" s="28"/>
      <c r="AD372" s="28"/>
      <c r="AE372" s="28"/>
    </row>
    <row r="373">
      <c r="A373" s="27"/>
      <c r="B373" s="28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28"/>
      <c r="AB373" s="28"/>
      <c r="AC373" s="28"/>
      <c r="AD373" s="28"/>
      <c r="AE373" s="28"/>
    </row>
    <row r="374">
      <c r="A374" s="27"/>
      <c r="B374" s="28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28"/>
      <c r="AB374" s="28"/>
      <c r="AC374" s="28"/>
      <c r="AD374" s="28"/>
      <c r="AE374" s="28"/>
    </row>
    <row r="375">
      <c r="A375" s="27"/>
      <c r="B375" s="28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28"/>
      <c r="AB375" s="28"/>
      <c r="AC375" s="28"/>
      <c r="AD375" s="28"/>
      <c r="AE375" s="28"/>
    </row>
    <row r="376">
      <c r="A376" s="27"/>
      <c r="B376" s="28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28"/>
      <c r="AB376" s="28"/>
      <c r="AC376" s="28"/>
      <c r="AD376" s="28"/>
      <c r="AE376" s="28"/>
    </row>
    <row r="377">
      <c r="A377" s="27"/>
      <c r="B377" s="28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28"/>
      <c r="AB377" s="28"/>
      <c r="AC377" s="28"/>
      <c r="AD377" s="28"/>
      <c r="AE377" s="28"/>
    </row>
    <row r="378">
      <c r="A378" s="27"/>
      <c r="B378" s="28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28"/>
      <c r="AB378" s="28"/>
      <c r="AC378" s="28"/>
      <c r="AD378" s="28"/>
      <c r="AE378" s="28"/>
    </row>
    <row r="379">
      <c r="A379" s="27"/>
      <c r="B379" s="28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28"/>
      <c r="AB379" s="28"/>
      <c r="AC379" s="28"/>
      <c r="AD379" s="28"/>
      <c r="AE379" s="28"/>
    </row>
    <row r="380">
      <c r="A380" s="27"/>
      <c r="B380" s="28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28"/>
      <c r="AB380" s="28"/>
      <c r="AC380" s="28"/>
      <c r="AD380" s="28"/>
      <c r="AE380" s="28"/>
    </row>
    <row r="381">
      <c r="A381" s="27"/>
      <c r="B381" s="28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28"/>
      <c r="AB381" s="28"/>
      <c r="AC381" s="28"/>
      <c r="AD381" s="28"/>
      <c r="AE381" s="28"/>
    </row>
    <row r="382">
      <c r="A382" s="27"/>
      <c r="B382" s="28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28"/>
      <c r="AB382" s="28"/>
      <c r="AC382" s="28"/>
      <c r="AD382" s="28"/>
      <c r="AE382" s="28"/>
    </row>
    <row r="383">
      <c r="A383" s="27"/>
      <c r="B383" s="28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28"/>
      <c r="AB383" s="28"/>
      <c r="AC383" s="28"/>
      <c r="AD383" s="28"/>
      <c r="AE383" s="28"/>
    </row>
    <row r="384">
      <c r="A384" s="27"/>
      <c r="B384" s="28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28"/>
      <c r="AB384" s="28"/>
      <c r="AC384" s="28"/>
      <c r="AD384" s="28"/>
      <c r="AE384" s="28"/>
    </row>
    <row r="385">
      <c r="A385" s="27"/>
      <c r="B385" s="28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28"/>
      <c r="AB385" s="28"/>
      <c r="AC385" s="28"/>
      <c r="AD385" s="28"/>
      <c r="AE385" s="28"/>
    </row>
    <row r="386">
      <c r="A386" s="27"/>
      <c r="B386" s="28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28"/>
      <c r="AB386" s="28"/>
      <c r="AC386" s="28"/>
      <c r="AD386" s="28"/>
      <c r="AE386" s="28"/>
    </row>
    <row r="387">
      <c r="A387" s="27"/>
      <c r="B387" s="28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28"/>
      <c r="AB387" s="28"/>
      <c r="AC387" s="28"/>
      <c r="AD387" s="28"/>
      <c r="AE387" s="28"/>
    </row>
    <row r="388">
      <c r="A388" s="27"/>
      <c r="B388" s="28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28"/>
      <c r="AB388" s="28"/>
      <c r="AC388" s="28"/>
      <c r="AD388" s="28"/>
      <c r="AE388" s="28"/>
    </row>
    <row r="389">
      <c r="A389" s="27"/>
      <c r="B389" s="28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28"/>
      <c r="AB389" s="28"/>
      <c r="AC389" s="28"/>
      <c r="AD389" s="28"/>
      <c r="AE389" s="28"/>
    </row>
    <row r="390">
      <c r="A390" s="27"/>
      <c r="B390" s="28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28"/>
      <c r="AB390" s="28"/>
      <c r="AC390" s="28"/>
      <c r="AD390" s="28"/>
      <c r="AE390" s="28"/>
    </row>
    <row r="391">
      <c r="A391" s="27"/>
      <c r="B391" s="28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28"/>
      <c r="AB391" s="28"/>
      <c r="AC391" s="28"/>
      <c r="AD391" s="28"/>
      <c r="AE391" s="28"/>
    </row>
    <row r="392">
      <c r="A392" s="27"/>
      <c r="B392" s="28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28"/>
      <c r="AB392" s="28"/>
      <c r="AC392" s="28"/>
      <c r="AD392" s="28"/>
      <c r="AE392" s="28"/>
    </row>
    <row r="393">
      <c r="A393" s="27"/>
      <c r="B393" s="28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28"/>
      <c r="AB393" s="28"/>
      <c r="AC393" s="28"/>
      <c r="AD393" s="28"/>
      <c r="AE393" s="28"/>
    </row>
    <row r="394">
      <c r="A394" s="27"/>
      <c r="B394" s="28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28"/>
      <c r="AB394" s="28"/>
      <c r="AC394" s="28"/>
      <c r="AD394" s="28"/>
      <c r="AE394" s="28"/>
    </row>
    <row r="395">
      <c r="A395" s="27"/>
      <c r="B395" s="28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28"/>
      <c r="AB395" s="28"/>
      <c r="AC395" s="28"/>
      <c r="AD395" s="28"/>
      <c r="AE395" s="28"/>
    </row>
    <row r="396">
      <c r="A396" s="27"/>
      <c r="B396" s="28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28"/>
      <c r="AB396" s="28"/>
      <c r="AC396" s="28"/>
      <c r="AD396" s="28"/>
      <c r="AE396" s="28"/>
    </row>
    <row r="397">
      <c r="A397" s="27"/>
      <c r="B397" s="28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28"/>
      <c r="AB397" s="28"/>
      <c r="AC397" s="28"/>
      <c r="AD397" s="28"/>
      <c r="AE397" s="28"/>
    </row>
    <row r="398">
      <c r="A398" s="27"/>
      <c r="B398" s="28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28"/>
      <c r="AB398" s="28"/>
      <c r="AC398" s="28"/>
      <c r="AD398" s="28"/>
      <c r="AE398" s="28"/>
    </row>
    <row r="399">
      <c r="A399" s="27"/>
      <c r="B399" s="28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28"/>
      <c r="AB399" s="28"/>
      <c r="AC399" s="28"/>
      <c r="AD399" s="28"/>
      <c r="AE399" s="28"/>
    </row>
    <row r="400">
      <c r="A400" s="27"/>
      <c r="B400" s="28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28"/>
      <c r="AB400" s="28"/>
      <c r="AC400" s="28"/>
      <c r="AD400" s="28"/>
      <c r="AE400" s="28"/>
    </row>
    <row r="401">
      <c r="A401" s="27"/>
      <c r="B401" s="28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28"/>
      <c r="AB401" s="28"/>
      <c r="AC401" s="28"/>
      <c r="AD401" s="28"/>
      <c r="AE401" s="28"/>
    </row>
    <row r="402">
      <c r="A402" s="27"/>
      <c r="B402" s="28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28"/>
      <c r="AB402" s="28"/>
      <c r="AC402" s="28"/>
      <c r="AD402" s="28"/>
      <c r="AE402" s="28"/>
    </row>
    <row r="403">
      <c r="A403" s="27"/>
      <c r="B403" s="28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28"/>
      <c r="AB403" s="28"/>
      <c r="AC403" s="28"/>
      <c r="AD403" s="28"/>
      <c r="AE403" s="28"/>
    </row>
    <row r="404">
      <c r="A404" s="27"/>
      <c r="B404" s="28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28"/>
      <c r="AB404" s="28"/>
      <c r="AC404" s="28"/>
      <c r="AD404" s="28"/>
      <c r="AE404" s="28"/>
    </row>
    <row r="405">
      <c r="A405" s="27"/>
      <c r="B405" s="28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28"/>
      <c r="AB405" s="28"/>
      <c r="AC405" s="28"/>
      <c r="AD405" s="28"/>
      <c r="AE405" s="28"/>
    </row>
    <row r="406">
      <c r="A406" s="27"/>
      <c r="B406" s="28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28"/>
      <c r="AB406" s="28"/>
      <c r="AC406" s="28"/>
      <c r="AD406" s="28"/>
      <c r="AE406" s="28"/>
    </row>
    <row r="407">
      <c r="A407" s="27"/>
      <c r="B407" s="28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28"/>
      <c r="AB407" s="28"/>
      <c r="AC407" s="28"/>
      <c r="AD407" s="28"/>
      <c r="AE407" s="28"/>
    </row>
    <row r="408">
      <c r="A408" s="27"/>
      <c r="B408" s="28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28"/>
      <c r="AB408" s="28"/>
      <c r="AC408" s="28"/>
      <c r="AD408" s="28"/>
      <c r="AE408" s="28"/>
    </row>
    <row r="409">
      <c r="A409" s="27"/>
      <c r="B409" s="28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28"/>
      <c r="AB409" s="28"/>
      <c r="AC409" s="28"/>
      <c r="AD409" s="28"/>
      <c r="AE409" s="28"/>
    </row>
    <row r="410">
      <c r="A410" s="27"/>
      <c r="B410" s="28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28"/>
      <c r="AB410" s="28"/>
      <c r="AC410" s="28"/>
      <c r="AD410" s="28"/>
      <c r="AE410" s="28"/>
    </row>
    <row r="411">
      <c r="A411" s="27"/>
      <c r="B411" s="28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28"/>
      <c r="AB411" s="28"/>
      <c r="AC411" s="28"/>
      <c r="AD411" s="28"/>
      <c r="AE411" s="28"/>
    </row>
    <row r="412">
      <c r="A412" s="27"/>
      <c r="B412" s="28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28"/>
      <c r="AB412" s="28"/>
      <c r="AC412" s="28"/>
      <c r="AD412" s="28"/>
      <c r="AE412" s="28"/>
    </row>
    <row r="413">
      <c r="A413" s="27"/>
      <c r="B413" s="28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28"/>
      <c r="AB413" s="28"/>
      <c r="AC413" s="28"/>
      <c r="AD413" s="28"/>
      <c r="AE413" s="28"/>
    </row>
    <row r="414">
      <c r="A414" s="27"/>
      <c r="B414" s="28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28"/>
      <c r="AB414" s="28"/>
      <c r="AC414" s="28"/>
      <c r="AD414" s="28"/>
      <c r="AE414" s="28"/>
    </row>
    <row r="415">
      <c r="A415" s="27"/>
      <c r="B415" s="28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28"/>
      <c r="AB415" s="28"/>
      <c r="AC415" s="28"/>
      <c r="AD415" s="28"/>
      <c r="AE415" s="28"/>
    </row>
    <row r="416">
      <c r="A416" s="27"/>
      <c r="B416" s="28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28"/>
      <c r="AB416" s="28"/>
      <c r="AC416" s="28"/>
      <c r="AD416" s="28"/>
      <c r="AE416" s="28"/>
    </row>
    <row r="417">
      <c r="A417" s="27"/>
      <c r="B417" s="28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28"/>
      <c r="AB417" s="28"/>
      <c r="AC417" s="28"/>
      <c r="AD417" s="28"/>
      <c r="AE417" s="28"/>
    </row>
    <row r="418">
      <c r="A418" s="27"/>
      <c r="B418" s="28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28"/>
      <c r="AB418" s="28"/>
      <c r="AC418" s="28"/>
      <c r="AD418" s="28"/>
      <c r="AE418" s="28"/>
    </row>
    <row r="419">
      <c r="A419" s="27"/>
      <c r="B419" s="28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28"/>
      <c r="AB419" s="28"/>
      <c r="AC419" s="28"/>
      <c r="AD419" s="28"/>
      <c r="AE419" s="28"/>
    </row>
    <row r="420">
      <c r="A420" s="27"/>
      <c r="B420" s="28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28"/>
      <c r="AB420" s="28"/>
      <c r="AC420" s="28"/>
      <c r="AD420" s="28"/>
      <c r="AE420" s="28"/>
    </row>
    <row r="421">
      <c r="A421" s="27"/>
      <c r="B421" s="28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28"/>
      <c r="AB421" s="28"/>
      <c r="AC421" s="28"/>
      <c r="AD421" s="28"/>
      <c r="AE421" s="28"/>
    </row>
    <row r="422">
      <c r="A422" s="27"/>
      <c r="B422" s="28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28"/>
      <c r="AB422" s="28"/>
      <c r="AC422" s="28"/>
      <c r="AD422" s="28"/>
      <c r="AE422" s="28"/>
    </row>
    <row r="423">
      <c r="A423" s="27"/>
      <c r="B423" s="28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28"/>
      <c r="AB423" s="28"/>
      <c r="AC423" s="28"/>
      <c r="AD423" s="28"/>
      <c r="AE423" s="28"/>
    </row>
    <row r="424">
      <c r="A424" s="27"/>
      <c r="B424" s="28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28"/>
      <c r="AB424" s="28"/>
      <c r="AC424" s="28"/>
      <c r="AD424" s="28"/>
      <c r="AE424" s="28"/>
    </row>
    <row r="425">
      <c r="A425" s="27"/>
      <c r="B425" s="28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28"/>
      <c r="AB425" s="28"/>
      <c r="AC425" s="28"/>
      <c r="AD425" s="28"/>
      <c r="AE425" s="28"/>
    </row>
    <row r="426">
      <c r="A426" s="27"/>
      <c r="B426" s="28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28"/>
      <c r="AB426" s="28"/>
      <c r="AC426" s="28"/>
      <c r="AD426" s="28"/>
      <c r="AE426" s="28"/>
    </row>
    <row r="427">
      <c r="A427" s="27"/>
      <c r="B427" s="28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28"/>
      <c r="AB427" s="28"/>
      <c r="AC427" s="28"/>
      <c r="AD427" s="28"/>
      <c r="AE427" s="28"/>
    </row>
    <row r="428">
      <c r="A428" s="27"/>
      <c r="B428" s="28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28"/>
      <c r="AB428" s="28"/>
      <c r="AC428" s="28"/>
      <c r="AD428" s="28"/>
      <c r="AE428" s="28"/>
    </row>
    <row r="429">
      <c r="A429" s="27"/>
      <c r="B429" s="28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28"/>
      <c r="AB429" s="28"/>
      <c r="AC429" s="28"/>
      <c r="AD429" s="28"/>
      <c r="AE429" s="28"/>
    </row>
    <row r="430">
      <c r="A430" s="27"/>
      <c r="B430" s="28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28"/>
      <c r="AB430" s="28"/>
      <c r="AC430" s="28"/>
      <c r="AD430" s="28"/>
      <c r="AE430" s="28"/>
    </row>
    <row r="431">
      <c r="A431" s="27"/>
      <c r="B431" s="28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28"/>
      <c r="AB431" s="28"/>
      <c r="AC431" s="28"/>
      <c r="AD431" s="28"/>
      <c r="AE431" s="28"/>
    </row>
    <row r="432">
      <c r="A432" s="27"/>
      <c r="B432" s="28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28"/>
      <c r="AB432" s="28"/>
      <c r="AC432" s="28"/>
      <c r="AD432" s="28"/>
      <c r="AE432" s="28"/>
    </row>
    <row r="433">
      <c r="A433" s="27"/>
      <c r="B433" s="28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28"/>
      <c r="AB433" s="28"/>
      <c r="AC433" s="28"/>
      <c r="AD433" s="28"/>
      <c r="AE433" s="28"/>
    </row>
    <row r="434">
      <c r="A434" s="27"/>
      <c r="B434" s="28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28"/>
      <c r="AB434" s="28"/>
      <c r="AC434" s="28"/>
      <c r="AD434" s="28"/>
      <c r="AE434" s="28"/>
    </row>
    <row r="435">
      <c r="A435" s="27"/>
      <c r="B435" s="28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28"/>
      <c r="AB435" s="28"/>
      <c r="AC435" s="28"/>
      <c r="AD435" s="28"/>
      <c r="AE435" s="28"/>
    </row>
    <row r="436">
      <c r="A436" s="27"/>
      <c r="B436" s="28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28"/>
      <c r="AB436" s="28"/>
      <c r="AC436" s="28"/>
      <c r="AD436" s="28"/>
      <c r="AE436" s="28"/>
    </row>
    <row r="437">
      <c r="A437" s="27"/>
      <c r="B437" s="28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28"/>
      <c r="AB437" s="28"/>
      <c r="AC437" s="28"/>
      <c r="AD437" s="28"/>
      <c r="AE437" s="28"/>
    </row>
    <row r="438">
      <c r="A438" s="27"/>
      <c r="B438" s="28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28"/>
      <c r="AB438" s="28"/>
      <c r="AC438" s="28"/>
      <c r="AD438" s="28"/>
      <c r="AE438" s="28"/>
    </row>
    <row r="439">
      <c r="A439" s="27"/>
      <c r="B439" s="28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28"/>
      <c r="AB439" s="28"/>
      <c r="AC439" s="28"/>
      <c r="AD439" s="28"/>
      <c r="AE439" s="28"/>
    </row>
    <row r="440">
      <c r="A440" s="27"/>
      <c r="B440" s="28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28"/>
      <c r="AB440" s="28"/>
      <c r="AC440" s="28"/>
      <c r="AD440" s="28"/>
      <c r="AE440" s="28"/>
    </row>
    <row r="441">
      <c r="A441" s="27"/>
      <c r="B441" s="28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28"/>
      <c r="AB441" s="28"/>
      <c r="AC441" s="28"/>
      <c r="AD441" s="28"/>
      <c r="AE441" s="28"/>
    </row>
    <row r="442">
      <c r="A442" s="27"/>
      <c r="B442" s="28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28"/>
      <c r="AB442" s="28"/>
      <c r="AC442" s="28"/>
      <c r="AD442" s="28"/>
      <c r="AE442" s="28"/>
    </row>
    <row r="443">
      <c r="A443" s="27"/>
      <c r="B443" s="28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28"/>
      <c r="AB443" s="28"/>
      <c r="AC443" s="28"/>
      <c r="AD443" s="28"/>
      <c r="AE443" s="28"/>
    </row>
    <row r="444">
      <c r="A444" s="27"/>
      <c r="B444" s="28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28"/>
      <c r="AB444" s="28"/>
      <c r="AC444" s="28"/>
      <c r="AD444" s="28"/>
      <c r="AE444" s="28"/>
    </row>
    <row r="445">
      <c r="A445" s="27"/>
      <c r="B445" s="28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28"/>
      <c r="AB445" s="28"/>
      <c r="AC445" s="28"/>
      <c r="AD445" s="28"/>
      <c r="AE445" s="28"/>
    </row>
    <row r="446">
      <c r="A446" s="27"/>
      <c r="B446" s="28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28"/>
      <c r="AB446" s="28"/>
      <c r="AC446" s="28"/>
      <c r="AD446" s="28"/>
      <c r="AE446" s="28"/>
    </row>
    <row r="447">
      <c r="A447" s="27"/>
      <c r="B447" s="28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28"/>
      <c r="AB447" s="28"/>
      <c r="AC447" s="28"/>
      <c r="AD447" s="28"/>
      <c r="AE447" s="28"/>
    </row>
    <row r="448">
      <c r="A448" s="27"/>
      <c r="B448" s="28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28"/>
      <c r="AB448" s="28"/>
      <c r="AC448" s="28"/>
      <c r="AD448" s="28"/>
      <c r="AE448" s="28"/>
    </row>
    <row r="449">
      <c r="A449" s="27"/>
      <c r="B449" s="28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28"/>
      <c r="AB449" s="28"/>
      <c r="AC449" s="28"/>
      <c r="AD449" s="28"/>
      <c r="AE449" s="28"/>
    </row>
    <row r="450">
      <c r="A450" s="27"/>
      <c r="B450" s="28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28"/>
      <c r="AB450" s="28"/>
      <c r="AC450" s="28"/>
      <c r="AD450" s="28"/>
      <c r="AE450" s="28"/>
    </row>
    <row r="451">
      <c r="A451" s="27"/>
      <c r="B451" s="28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28"/>
      <c r="AB451" s="28"/>
      <c r="AC451" s="28"/>
      <c r="AD451" s="28"/>
      <c r="AE451" s="28"/>
    </row>
    <row r="452">
      <c r="A452" s="27"/>
      <c r="B452" s="28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28"/>
      <c r="AB452" s="28"/>
      <c r="AC452" s="28"/>
      <c r="AD452" s="28"/>
      <c r="AE452" s="28"/>
    </row>
    <row r="453">
      <c r="A453" s="27"/>
      <c r="B453" s="28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28"/>
      <c r="AB453" s="28"/>
      <c r="AC453" s="28"/>
      <c r="AD453" s="28"/>
      <c r="AE453" s="28"/>
    </row>
    <row r="454">
      <c r="A454" s="27"/>
      <c r="B454" s="28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28"/>
      <c r="AB454" s="28"/>
      <c r="AC454" s="28"/>
      <c r="AD454" s="28"/>
      <c r="AE454" s="28"/>
    </row>
    <row r="455">
      <c r="A455" s="27"/>
      <c r="B455" s="28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28"/>
      <c r="AB455" s="28"/>
      <c r="AC455" s="28"/>
      <c r="AD455" s="28"/>
      <c r="AE455" s="28"/>
    </row>
    <row r="456">
      <c r="A456" s="27"/>
      <c r="B456" s="28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28"/>
      <c r="AB456" s="28"/>
      <c r="AC456" s="28"/>
      <c r="AD456" s="28"/>
      <c r="AE456" s="28"/>
    </row>
    <row r="457">
      <c r="A457" s="27"/>
      <c r="B457" s="28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28"/>
      <c r="AB457" s="28"/>
      <c r="AC457" s="28"/>
      <c r="AD457" s="28"/>
      <c r="AE457" s="28"/>
    </row>
    <row r="458">
      <c r="A458" s="27"/>
      <c r="B458" s="28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28"/>
      <c r="AB458" s="28"/>
      <c r="AC458" s="28"/>
      <c r="AD458" s="28"/>
      <c r="AE458" s="28"/>
    </row>
    <row r="459">
      <c r="A459" s="27"/>
      <c r="B459" s="28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28"/>
      <c r="AB459" s="28"/>
      <c r="AC459" s="28"/>
      <c r="AD459" s="28"/>
      <c r="AE459" s="28"/>
    </row>
    <row r="460">
      <c r="A460" s="27"/>
      <c r="B460" s="28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28"/>
      <c r="AB460" s="28"/>
      <c r="AC460" s="28"/>
      <c r="AD460" s="28"/>
      <c r="AE460" s="28"/>
    </row>
    <row r="461">
      <c r="A461" s="27"/>
      <c r="B461" s="28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28"/>
      <c r="AB461" s="28"/>
      <c r="AC461" s="28"/>
      <c r="AD461" s="28"/>
      <c r="AE461" s="28"/>
    </row>
    <row r="462">
      <c r="A462" s="27"/>
      <c r="B462" s="28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28"/>
      <c r="AB462" s="28"/>
      <c r="AC462" s="28"/>
      <c r="AD462" s="28"/>
      <c r="AE462" s="28"/>
    </row>
    <row r="463">
      <c r="A463" s="27"/>
      <c r="B463" s="28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28"/>
      <c r="AB463" s="28"/>
      <c r="AC463" s="28"/>
      <c r="AD463" s="28"/>
      <c r="AE463" s="28"/>
    </row>
    <row r="464">
      <c r="A464" s="27"/>
      <c r="B464" s="28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28"/>
      <c r="AB464" s="28"/>
      <c r="AC464" s="28"/>
      <c r="AD464" s="28"/>
      <c r="AE464" s="28"/>
    </row>
    <row r="465">
      <c r="A465" s="27"/>
      <c r="B465" s="28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28"/>
      <c r="AB465" s="28"/>
      <c r="AC465" s="28"/>
      <c r="AD465" s="28"/>
      <c r="AE465" s="28"/>
    </row>
    <row r="466">
      <c r="A466" s="27"/>
      <c r="B466" s="28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28"/>
      <c r="AB466" s="28"/>
      <c r="AC466" s="28"/>
      <c r="AD466" s="28"/>
      <c r="AE466" s="28"/>
    </row>
    <row r="467">
      <c r="A467" s="27"/>
      <c r="B467" s="28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28"/>
      <c r="AB467" s="28"/>
      <c r="AC467" s="28"/>
      <c r="AD467" s="28"/>
      <c r="AE467" s="28"/>
    </row>
    <row r="468">
      <c r="A468" s="27"/>
      <c r="B468" s="28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28"/>
      <c r="AB468" s="28"/>
      <c r="AC468" s="28"/>
      <c r="AD468" s="28"/>
      <c r="AE468" s="28"/>
    </row>
    <row r="469">
      <c r="A469" s="27"/>
      <c r="B469" s="28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28"/>
      <c r="AB469" s="28"/>
      <c r="AC469" s="28"/>
      <c r="AD469" s="28"/>
      <c r="AE469" s="28"/>
    </row>
    <row r="470">
      <c r="A470" s="27"/>
      <c r="B470" s="28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28"/>
      <c r="AB470" s="28"/>
      <c r="AC470" s="28"/>
      <c r="AD470" s="28"/>
      <c r="AE470" s="28"/>
    </row>
    <row r="471">
      <c r="A471" s="27"/>
      <c r="B471" s="28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28"/>
      <c r="AB471" s="28"/>
      <c r="AC471" s="28"/>
      <c r="AD471" s="28"/>
      <c r="AE471" s="28"/>
    </row>
    <row r="472">
      <c r="A472" s="27"/>
      <c r="B472" s="28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28"/>
      <c r="AB472" s="28"/>
      <c r="AC472" s="28"/>
      <c r="AD472" s="28"/>
      <c r="AE472" s="28"/>
    </row>
    <row r="473">
      <c r="A473" s="27"/>
      <c r="B473" s="28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28"/>
      <c r="AB473" s="28"/>
      <c r="AC473" s="28"/>
      <c r="AD473" s="28"/>
      <c r="AE473" s="28"/>
    </row>
    <row r="474">
      <c r="A474" s="27"/>
      <c r="B474" s="28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28"/>
      <c r="AB474" s="28"/>
      <c r="AC474" s="28"/>
      <c r="AD474" s="28"/>
      <c r="AE474" s="28"/>
    </row>
    <row r="475">
      <c r="A475" s="27"/>
      <c r="B475" s="28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28"/>
      <c r="AB475" s="28"/>
      <c r="AC475" s="28"/>
      <c r="AD475" s="28"/>
      <c r="AE475" s="28"/>
    </row>
    <row r="476">
      <c r="A476" s="27"/>
      <c r="B476" s="28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28"/>
      <c r="AB476" s="28"/>
      <c r="AC476" s="28"/>
      <c r="AD476" s="28"/>
      <c r="AE476" s="28"/>
    </row>
    <row r="477">
      <c r="A477" s="27"/>
      <c r="B477" s="28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28"/>
      <c r="AB477" s="28"/>
      <c r="AC477" s="28"/>
      <c r="AD477" s="28"/>
      <c r="AE477" s="28"/>
    </row>
    <row r="478">
      <c r="A478" s="27"/>
      <c r="B478" s="28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28"/>
      <c r="AB478" s="28"/>
      <c r="AC478" s="28"/>
      <c r="AD478" s="28"/>
      <c r="AE478" s="28"/>
    </row>
    <row r="479">
      <c r="A479" s="27"/>
      <c r="B479" s="28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28"/>
      <c r="AB479" s="28"/>
      <c r="AC479" s="28"/>
      <c r="AD479" s="28"/>
      <c r="AE479" s="28"/>
    </row>
    <row r="480">
      <c r="A480" s="27"/>
      <c r="B480" s="28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28"/>
      <c r="AB480" s="28"/>
      <c r="AC480" s="28"/>
      <c r="AD480" s="28"/>
      <c r="AE480" s="28"/>
    </row>
    <row r="481">
      <c r="A481" s="27"/>
      <c r="B481" s="28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28"/>
      <c r="AB481" s="28"/>
      <c r="AC481" s="28"/>
      <c r="AD481" s="28"/>
      <c r="AE481" s="28"/>
    </row>
    <row r="482">
      <c r="A482" s="27"/>
      <c r="B482" s="28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28"/>
      <c r="AB482" s="28"/>
      <c r="AC482" s="28"/>
      <c r="AD482" s="28"/>
      <c r="AE482" s="28"/>
    </row>
    <row r="483">
      <c r="A483" s="27"/>
      <c r="B483" s="28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28"/>
      <c r="AB483" s="28"/>
      <c r="AC483" s="28"/>
      <c r="AD483" s="28"/>
      <c r="AE483" s="28"/>
    </row>
    <row r="484">
      <c r="A484" s="27"/>
      <c r="B484" s="28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28"/>
      <c r="AB484" s="28"/>
      <c r="AC484" s="28"/>
      <c r="AD484" s="28"/>
      <c r="AE484" s="28"/>
    </row>
    <row r="485">
      <c r="A485" s="27"/>
      <c r="B485" s="28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28"/>
      <c r="AB485" s="28"/>
      <c r="AC485" s="28"/>
      <c r="AD485" s="28"/>
      <c r="AE485" s="28"/>
    </row>
    <row r="486">
      <c r="A486" s="27"/>
      <c r="B486" s="28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28"/>
      <c r="AB486" s="28"/>
      <c r="AC486" s="28"/>
      <c r="AD486" s="28"/>
      <c r="AE486" s="28"/>
    </row>
    <row r="487">
      <c r="A487" s="27"/>
      <c r="B487" s="28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28"/>
      <c r="AB487" s="28"/>
      <c r="AC487" s="28"/>
      <c r="AD487" s="28"/>
      <c r="AE487" s="28"/>
    </row>
    <row r="488">
      <c r="A488" s="27"/>
      <c r="B488" s="28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28"/>
      <c r="AB488" s="28"/>
      <c r="AC488" s="28"/>
      <c r="AD488" s="28"/>
      <c r="AE488" s="28"/>
    </row>
    <row r="489">
      <c r="A489" s="27"/>
      <c r="B489" s="28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28"/>
      <c r="AB489" s="28"/>
      <c r="AC489" s="28"/>
      <c r="AD489" s="28"/>
      <c r="AE489" s="28"/>
    </row>
    <row r="490">
      <c r="A490" s="27"/>
      <c r="B490" s="28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28"/>
      <c r="AB490" s="28"/>
      <c r="AC490" s="28"/>
      <c r="AD490" s="28"/>
      <c r="AE490" s="28"/>
    </row>
    <row r="491">
      <c r="A491" s="27"/>
      <c r="B491" s="28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28"/>
      <c r="AB491" s="28"/>
      <c r="AC491" s="28"/>
      <c r="AD491" s="28"/>
      <c r="AE491" s="28"/>
    </row>
    <row r="492">
      <c r="A492" s="27"/>
      <c r="B492" s="28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28"/>
      <c r="AB492" s="28"/>
      <c r="AC492" s="28"/>
      <c r="AD492" s="28"/>
      <c r="AE492" s="28"/>
    </row>
    <row r="493">
      <c r="A493" s="27"/>
      <c r="B493" s="28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28"/>
      <c r="AB493" s="28"/>
      <c r="AC493" s="28"/>
      <c r="AD493" s="28"/>
      <c r="AE493" s="28"/>
    </row>
    <row r="494">
      <c r="A494" s="27"/>
      <c r="B494" s="28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28"/>
      <c r="AB494" s="28"/>
      <c r="AC494" s="28"/>
      <c r="AD494" s="28"/>
      <c r="AE494" s="28"/>
    </row>
    <row r="495">
      <c r="A495" s="27"/>
      <c r="B495" s="28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28"/>
      <c r="AB495" s="28"/>
      <c r="AC495" s="28"/>
      <c r="AD495" s="28"/>
      <c r="AE495" s="28"/>
    </row>
    <row r="496">
      <c r="A496" s="27"/>
      <c r="B496" s="28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28"/>
      <c r="AB496" s="28"/>
      <c r="AC496" s="28"/>
      <c r="AD496" s="28"/>
      <c r="AE496" s="28"/>
    </row>
    <row r="497">
      <c r="A497" s="27"/>
      <c r="B497" s="28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28"/>
      <c r="AB497" s="28"/>
      <c r="AC497" s="28"/>
      <c r="AD497" s="28"/>
      <c r="AE497" s="28"/>
    </row>
    <row r="498">
      <c r="A498" s="27"/>
      <c r="B498" s="28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28"/>
      <c r="AB498" s="28"/>
      <c r="AC498" s="28"/>
      <c r="AD498" s="28"/>
      <c r="AE498" s="28"/>
    </row>
    <row r="499">
      <c r="A499" s="27"/>
      <c r="B499" s="28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28"/>
      <c r="AB499" s="28"/>
      <c r="AC499" s="28"/>
      <c r="AD499" s="28"/>
      <c r="AE499" s="28"/>
    </row>
    <row r="500">
      <c r="A500" s="27"/>
      <c r="B500" s="28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28"/>
      <c r="AB500" s="28"/>
      <c r="AC500" s="28"/>
      <c r="AD500" s="28"/>
      <c r="AE500" s="28"/>
    </row>
    <row r="501">
      <c r="A501" s="27"/>
      <c r="B501" s="28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28"/>
      <c r="AB501" s="28"/>
      <c r="AC501" s="28"/>
      <c r="AD501" s="28"/>
      <c r="AE501" s="28"/>
    </row>
    <row r="502">
      <c r="A502" s="27"/>
      <c r="B502" s="28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28"/>
      <c r="AB502" s="28"/>
      <c r="AC502" s="28"/>
      <c r="AD502" s="28"/>
      <c r="AE502" s="28"/>
    </row>
    <row r="503">
      <c r="A503" s="27"/>
      <c r="B503" s="28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28"/>
      <c r="AB503" s="28"/>
      <c r="AC503" s="28"/>
      <c r="AD503" s="28"/>
      <c r="AE503" s="28"/>
    </row>
    <row r="504">
      <c r="A504" s="27"/>
      <c r="B504" s="28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28"/>
      <c r="AB504" s="28"/>
      <c r="AC504" s="28"/>
      <c r="AD504" s="28"/>
      <c r="AE504" s="28"/>
    </row>
    <row r="505">
      <c r="A505" s="27"/>
      <c r="B505" s="28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28"/>
      <c r="AB505" s="28"/>
      <c r="AC505" s="28"/>
      <c r="AD505" s="28"/>
      <c r="AE505" s="28"/>
    </row>
    <row r="506">
      <c r="A506" s="27"/>
      <c r="B506" s="28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28"/>
      <c r="AB506" s="28"/>
      <c r="AC506" s="28"/>
      <c r="AD506" s="28"/>
      <c r="AE506" s="28"/>
    </row>
    <row r="507">
      <c r="A507" s="27"/>
      <c r="B507" s="28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28"/>
      <c r="AB507" s="28"/>
      <c r="AC507" s="28"/>
      <c r="AD507" s="28"/>
      <c r="AE507" s="28"/>
    </row>
    <row r="508">
      <c r="A508" s="27"/>
      <c r="B508" s="28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28"/>
      <c r="AB508" s="28"/>
      <c r="AC508" s="28"/>
      <c r="AD508" s="28"/>
      <c r="AE508" s="28"/>
    </row>
    <row r="509">
      <c r="A509" s="27"/>
      <c r="B509" s="28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28"/>
      <c r="AB509" s="28"/>
      <c r="AC509" s="28"/>
      <c r="AD509" s="28"/>
      <c r="AE509" s="28"/>
    </row>
    <row r="510">
      <c r="A510" s="27"/>
      <c r="B510" s="28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28"/>
      <c r="AB510" s="28"/>
      <c r="AC510" s="28"/>
      <c r="AD510" s="28"/>
      <c r="AE510" s="28"/>
    </row>
    <row r="511">
      <c r="A511" s="27"/>
      <c r="B511" s="28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28"/>
      <c r="AB511" s="28"/>
      <c r="AC511" s="28"/>
      <c r="AD511" s="28"/>
      <c r="AE511" s="28"/>
    </row>
    <row r="512">
      <c r="A512" s="27"/>
      <c r="B512" s="28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28"/>
      <c r="AB512" s="28"/>
      <c r="AC512" s="28"/>
      <c r="AD512" s="28"/>
      <c r="AE512" s="28"/>
    </row>
    <row r="513">
      <c r="A513" s="27"/>
      <c r="B513" s="28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28"/>
      <c r="AB513" s="28"/>
      <c r="AC513" s="28"/>
      <c r="AD513" s="28"/>
      <c r="AE513" s="28"/>
    </row>
    <row r="514">
      <c r="A514" s="27"/>
      <c r="B514" s="28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28"/>
      <c r="AB514" s="28"/>
      <c r="AC514" s="28"/>
      <c r="AD514" s="28"/>
      <c r="AE514" s="28"/>
    </row>
    <row r="515">
      <c r="A515" s="27"/>
      <c r="B515" s="28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28"/>
      <c r="AB515" s="28"/>
      <c r="AC515" s="28"/>
      <c r="AD515" s="28"/>
      <c r="AE515" s="28"/>
    </row>
    <row r="516">
      <c r="A516" s="27"/>
      <c r="B516" s="28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28"/>
      <c r="AB516" s="28"/>
      <c r="AC516" s="28"/>
      <c r="AD516" s="28"/>
      <c r="AE516" s="28"/>
    </row>
    <row r="517">
      <c r="A517" s="27"/>
      <c r="B517" s="28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28"/>
      <c r="AB517" s="28"/>
      <c r="AC517" s="28"/>
      <c r="AD517" s="28"/>
      <c r="AE517" s="28"/>
    </row>
    <row r="518">
      <c r="A518" s="27"/>
      <c r="B518" s="28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28"/>
      <c r="AB518" s="28"/>
      <c r="AC518" s="28"/>
      <c r="AD518" s="28"/>
      <c r="AE518" s="28"/>
    </row>
    <row r="519">
      <c r="A519" s="27"/>
      <c r="B519" s="28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28"/>
      <c r="AB519" s="28"/>
      <c r="AC519" s="28"/>
      <c r="AD519" s="28"/>
      <c r="AE519" s="28"/>
    </row>
    <row r="520">
      <c r="A520" s="27"/>
      <c r="B520" s="28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28"/>
      <c r="AB520" s="28"/>
      <c r="AC520" s="28"/>
      <c r="AD520" s="28"/>
      <c r="AE520" s="28"/>
    </row>
    <row r="521">
      <c r="A521" s="27"/>
      <c r="B521" s="28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28"/>
      <c r="AB521" s="28"/>
      <c r="AC521" s="28"/>
      <c r="AD521" s="28"/>
      <c r="AE521" s="28"/>
    </row>
    <row r="522">
      <c r="A522" s="27"/>
      <c r="B522" s="28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28"/>
      <c r="AB522" s="28"/>
      <c r="AC522" s="28"/>
      <c r="AD522" s="28"/>
      <c r="AE522" s="28"/>
    </row>
    <row r="523">
      <c r="A523" s="27"/>
      <c r="B523" s="28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28"/>
      <c r="AB523" s="28"/>
      <c r="AC523" s="28"/>
      <c r="AD523" s="28"/>
      <c r="AE523" s="28"/>
    </row>
    <row r="524">
      <c r="A524" s="27"/>
      <c r="B524" s="28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28"/>
      <c r="AB524" s="28"/>
      <c r="AC524" s="28"/>
      <c r="AD524" s="28"/>
      <c r="AE524" s="28"/>
    </row>
    <row r="525">
      <c r="A525" s="27"/>
      <c r="B525" s="28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28"/>
      <c r="AB525" s="28"/>
      <c r="AC525" s="28"/>
      <c r="AD525" s="28"/>
      <c r="AE525" s="28"/>
    </row>
    <row r="526">
      <c r="A526" s="27"/>
      <c r="B526" s="28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28"/>
      <c r="AB526" s="28"/>
      <c r="AC526" s="28"/>
      <c r="AD526" s="28"/>
      <c r="AE526" s="28"/>
    </row>
    <row r="527">
      <c r="A527" s="27"/>
      <c r="B527" s="28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28"/>
      <c r="AB527" s="28"/>
      <c r="AC527" s="28"/>
      <c r="AD527" s="28"/>
      <c r="AE527" s="28"/>
    </row>
    <row r="528">
      <c r="A528" s="27"/>
      <c r="B528" s="28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28"/>
      <c r="AB528" s="28"/>
      <c r="AC528" s="28"/>
      <c r="AD528" s="28"/>
      <c r="AE528" s="28"/>
    </row>
    <row r="529">
      <c r="A529" s="27"/>
      <c r="B529" s="28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28"/>
      <c r="AB529" s="28"/>
      <c r="AC529" s="28"/>
      <c r="AD529" s="28"/>
      <c r="AE529" s="28"/>
    </row>
    <row r="530">
      <c r="A530" s="27"/>
      <c r="B530" s="28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28"/>
      <c r="AB530" s="28"/>
      <c r="AC530" s="28"/>
      <c r="AD530" s="28"/>
      <c r="AE530" s="28"/>
    </row>
    <row r="531">
      <c r="A531" s="27"/>
      <c r="B531" s="28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28"/>
      <c r="AB531" s="28"/>
      <c r="AC531" s="28"/>
      <c r="AD531" s="28"/>
      <c r="AE531" s="28"/>
    </row>
    <row r="532">
      <c r="A532" s="27"/>
      <c r="B532" s="28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28"/>
      <c r="AB532" s="28"/>
      <c r="AC532" s="28"/>
      <c r="AD532" s="28"/>
      <c r="AE532" s="28"/>
    </row>
    <row r="533">
      <c r="A533" s="27"/>
      <c r="B533" s="28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28"/>
      <c r="AB533" s="28"/>
      <c r="AC533" s="28"/>
      <c r="AD533" s="28"/>
      <c r="AE533" s="28"/>
    </row>
    <row r="534">
      <c r="A534" s="27"/>
      <c r="B534" s="28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28"/>
      <c r="AB534" s="28"/>
      <c r="AC534" s="28"/>
      <c r="AD534" s="28"/>
      <c r="AE534" s="28"/>
    </row>
    <row r="535">
      <c r="A535" s="27"/>
      <c r="B535" s="28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28"/>
      <c r="AB535" s="28"/>
      <c r="AC535" s="28"/>
      <c r="AD535" s="28"/>
      <c r="AE535" s="28"/>
    </row>
    <row r="536">
      <c r="A536" s="27"/>
      <c r="B536" s="28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28"/>
      <c r="AB536" s="28"/>
      <c r="AC536" s="28"/>
      <c r="AD536" s="28"/>
      <c r="AE536" s="28"/>
    </row>
    <row r="537">
      <c r="A537" s="27"/>
      <c r="B537" s="28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28"/>
      <c r="AB537" s="28"/>
      <c r="AC537" s="28"/>
      <c r="AD537" s="28"/>
      <c r="AE537" s="28"/>
    </row>
    <row r="538">
      <c r="A538" s="27"/>
      <c r="B538" s="28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28"/>
      <c r="AB538" s="28"/>
      <c r="AC538" s="28"/>
      <c r="AD538" s="28"/>
      <c r="AE538" s="28"/>
    </row>
    <row r="539">
      <c r="A539" s="27"/>
      <c r="B539" s="28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28"/>
      <c r="AB539" s="28"/>
      <c r="AC539" s="28"/>
      <c r="AD539" s="28"/>
      <c r="AE539" s="28"/>
    </row>
    <row r="540">
      <c r="A540" s="27"/>
      <c r="B540" s="28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28"/>
      <c r="AB540" s="28"/>
      <c r="AC540" s="28"/>
      <c r="AD540" s="28"/>
      <c r="AE540" s="28"/>
    </row>
    <row r="541">
      <c r="A541" s="27"/>
      <c r="B541" s="28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28"/>
      <c r="AB541" s="28"/>
      <c r="AC541" s="28"/>
      <c r="AD541" s="28"/>
      <c r="AE541" s="28"/>
    </row>
    <row r="542">
      <c r="A542" s="27"/>
      <c r="B542" s="28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28"/>
      <c r="AB542" s="28"/>
      <c r="AC542" s="28"/>
      <c r="AD542" s="28"/>
      <c r="AE542" s="28"/>
    </row>
    <row r="543">
      <c r="A543" s="27"/>
      <c r="B543" s="28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28"/>
      <c r="AB543" s="28"/>
      <c r="AC543" s="28"/>
      <c r="AD543" s="28"/>
      <c r="AE543" s="28"/>
    </row>
    <row r="544">
      <c r="A544" s="27"/>
      <c r="B544" s="28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28"/>
      <c r="AB544" s="28"/>
      <c r="AC544" s="28"/>
      <c r="AD544" s="28"/>
      <c r="AE544" s="28"/>
    </row>
    <row r="545">
      <c r="A545" s="27"/>
      <c r="B545" s="28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28"/>
      <c r="AB545" s="28"/>
      <c r="AC545" s="28"/>
      <c r="AD545" s="28"/>
      <c r="AE545" s="28"/>
    </row>
    <row r="546">
      <c r="A546" s="27"/>
      <c r="B546" s="28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28"/>
      <c r="AB546" s="28"/>
      <c r="AC546" s="28"/>
      <c r="AD546" s="28"/>
      <c r="AE546" s="28"/>
    </row>
    <row r="547">
      <c r="A547" s="27"/>
      <c r="B547" s="28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28"/>
      <c r="AB547" s="28"/>
      <c r="AC547" s="28"/>
      <c r="AD547" s="28"/>
      <c r="AE547" s="28"/>
    </row>
    <row r="548">
      <c r="A548" s="27"/>
      <c r="B548" s="28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28"/>
      <c r="AB548" s="28"/>
      <c r="AC548" s="28"/>
      <c r="AD548" s="28"/>
      <c r="AE548" s="28"/>
    </row>
    <row r="549">
      <c r="A549" s="27"/>
      <c r="B549" s="28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28"/>
      <c r="AB549" s="28"/>
      <c r="AC549" s="28"/>
      <c r="AD549" s="28"/>
      <c r="AE549" s="28"/>
    </row>
    <row r="550">
      <c r="A550" s="27"/>
      <c r="B550" s="28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28"/>
      <c r="AB550" s="28"/>
      <c r="AC550" s="28"/>
      <c r="AD550" s="28"/>
      <c r="AE550" s="28"/>
    </row>
    <row r="551">
      <c r="A551" s="27"/>
      <c r="B551" s="28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28"/>
      <c r="AB551" s="28"/>
      <c r="AC551" s="28"/>
      <c r="AD551" s="28"/>
      <c r="AE551" s="28"/>
    </row>
    <row r="552">
      <c r="A552" s="27"/>
      <c r="B552" s="28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28"/>
      <c r="AB552" s="28"/>
      <c r="AC552" s="28"/>
      <c r="AD552" s="28"/>
      <c r="AE552" s="28"/>
    </row>
    <row r="553">
      <c r="A553" s="27"/>
      <c r="B553" s="28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28"/>
      <c r="AB553" s="28"/>
      <c r="AC553" s="28"/>
      <c r="AD553" s="28"/>
      <c r="AE553" s="28"/>
    </row>
    <row r="554">
      <c r="A554" s="27"/>
      <c r="B554" s="28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28"/>
      <c r="AB554" s="28"/>
      <c r="AC554" s="28"/>
      <c r="AD554" s="28"/>
      <c r="AE554" s="28"/>
    </row>
    <row r="555">
      <c r="A555" s="27"/>
      <c r="B555" s="28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28"/>
      <c r="AB555" s="28"/>
      <c r="AC555" s="28"/>
      <c r="AD555" s="28"/>
      <c r="AE555" s="28"/>
    </row>
    <row r="556">
      <c r="A556" s="27"/>
      <c r="B556" s="28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28"/>
      <c r="AB556" s="28"/>
      <c r="AC556" s="28"/>
      <c r="AD556" s="28"/>
      <c r="AE556" s="28"/>
    </row>
    <row r="557">
      <c r="A557" s="27"/>
      <c r="B557" s="28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28"/>
      <c r="AB557" s="28"/>
      <c r="AC557" s="28"/>
      <c r="AD557" s="28"/>
      <c r="AE557" s="28"/>
    </row>
    <row r="558">
      <c r="A558" s="27"/>
      <c r="B558" s="28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28"/>
      <c r="AB558" s="28"/>
      <c r="AC558" s="28"/>
      <c r="AD558" s="28"/>
      <c r="AE558" s="28"/>
    </row>
    <row r="559">
      <c r="A559" s="27"/>
      <c r="B559" s="28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28"/>
      <c r="AB559" s="28"/>
      <c r="AC559" s="28"/>
      <c r="AD559" s="28"/>
      <c r="AE559" s="28"/>
    </row>
    <row r="560">
      <c r="A560" s="27"/>
      <c r="B560" s="28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28"/>
      <c r="AB560" s="28"/>
      <c r="AC560" s="28"/>
      <c r="AD560" s="28"/>
      <c r="AE560" s="28"/>
    </row>
    <row r="561">
      <c r="A561" s="27"/>
      <c r="B561" s="28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28"/>
      <c r="AB561" s="28"/>
      <c r="AC561" s="28"/>
      <c r="AD561" s="28"/>
      <c r="AE561" s="28"/>
    </row>
    <row r="562">
      <c r="A562" s="27"/>
      <c r="B562" s="28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28"/>
      <c r="AB562" s="28"/>
      <c r="AC562" s="28"/>
      <c r="AD562" s="28"/>
      <c r="AE562" s="28"/>
    </row>
    <row r="563">
      <c r="A563" s="27"/>
      <c r="B563" s="28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28"/>
      <c r="AB563" s="28"/>
      <c r="AC563" s="28"/>
      <c r="AD563" s="28"/>
      <c r="AE563" s="28"/>
    </row>
    <row r="564">
      <c r="A564" s="27"/>
      <c r="B564" s="28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28"/>
      <c r="AB564" s="28"/>
      <c r="AC564" s="28"/>
      <c r="AD564" s="28"/>
      <c r="AE564" s="28"/>
    </row>
    <row r="565">
      <c r="A565" s="27"/>
      <c r="B565" s="28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28"/>
      <c r="AB565" s="28"/>
      <c r="AC565" s="28"/>
      <c r="AD565" s="28"/>
      <c r="AE565" s="28"/>
    </row>
    <row r="566">
      <c r="A566" s="27"/>
      <c r="B566" s="28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28"/>
      <c r="AB566" s="28"/>
      <c r="AC566" s="28"/>
      <c r="AD566" s="28"/>
      <c r="AE566" s="28"/>
    </row>
    <row r="567">
      <c r="A567" s="27"/>
      <c r="B567" s="28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28"/>
      <c r="AB567" s="28"/>
      <c r="AC567" s="28"/>
      <c r="AD567" s="28"/>
      <c r="AE567" s="28"/>
    </row>
    <row r="568">
      <c r="A568" s="27"/>
      <c r="B568" s="28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28"/>
      <c r="AB568" s="28"/>
      <c r="AC568" s="28"/>
      <c r="AD568" s="28"/>
      <c r="AE568" s="28"/>
    </row>
    <row r="569">
      <c r="A569" s="27"/>
      <c r="B569" s="28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28"/>
      <c r="AB569" s="28"/>
      <c r="AC569" s="28"/>
      <c r="AD569" s="28"/>
      <c r="AE569" s="28"/>
    </row>
    <row r="570">
      <c r="A570" s="27"/>
      <c r="B570" s="28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28"/>
      <c r="AB570" s="28"/>
      <c r="AC570" s="28"/>
      <c r="AD570" s="28"/>
      <c r="AE570" s="28"/>
    </row>
    <row r="571">
      <c r="A571" s="27"/>
      <c r="B571" s="28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28"/>
      <c r="AB571" s="28"/>
      <c r="AC571" s="28"/>
      <c r="AD571" s="28"/>
      <c r="AE571" s="28"/>
    </row>
    <row r="572">
      <c r="A572" s="27"/>
      <c r="B572" s="28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28"/>
      <c r="AB572" s="28"/>
      <c r="AC572" s="28"/>
      <c r="AD572" s="28"/>
      <c r="AE572" s="28"/>
    </row>
    <row r="573">
      <c r="A573" s="27"/>
      <c r="B573" s="28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28"/>
      <c r="AB573" s="28"/>
      <c r="AC573" s="28"/>
      <c r="AD573" s="28"/>
      <c r="AE573" s="28"/>
    </row>
    <row r="574">
      <c r="A574" s="27"/>
      <c r="B574" s="28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28"/>
      <c r="AB574" s="28"/>
      <c r="AC574" s="28"/>
      <c r="AD574" s="28"/>
      <c r="AE574" s="28"/>
    </row>
    <row r="575">
      <c r="A575" s="27"/>
      <c r="B575" s="28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28"/>
      <c r="AB575" s="28"/>
      <c r="AC575" s="28"/>
      <c r="AD575" s="28"/>
      <c r="AE575" s="28"/>
    </row>
    <row r="576">
      <c r="A576" s="27"/>
      <c r="B576" s="28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28"/>
      <c r="AB576" s="28"/>
      <c r="AC576" s="28"/>
      <c r="AD576" s="28"/>
      <c r="AE576" s="28"/>
    </row>
    <row r="577">
      <c r="A577" s="27"/>
      <c r="B577" s="28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28"/>
      <c r="AB577" s="28"/>
      <c r="AC577" s="28"/>
      <c r="AD577" s="28"/>
      <c r="AE577" s="28"/>
    </row>
    <row r="578">
      <c r="A578" s="27"/>
      <c r="B578" s="28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28"/>
      <c r="AB578" s="28"/>
      <c r="AC578" s="28"/>
      <c r="AD578" s="28"/>
      <c r="AE578" s="28"/>
    </row>
    <row r="579">
      <c r="A579" s="27"/>
      <c r="B579" s="28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28"/>
      <c r="AB579" s="28"/>
      <c r="AC579" s="28"/>
      <c r="AD579" s="28"/>
      <c r="AE579" s="28"/>
    </row>
    <row r="580">
      <c r="A580" s="27"/>
      <c r="B580" s="28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28"/>
      <c r="AB580" s="28"/>
      <c r="AC580" s="28"/>
      <c r="AD580" s="28"/>
      <c r="AE580" s="28"/>
    </row>
    <row r="581">
      <c r="A581" s="27"/>
      <c r="B581" s="28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28"/>
      <c r="AB581" s="28"/>
      <c r="AC581" s="28"/>
      <c r="AD581" s="28"/>
      <c r="AE581" s="28"/>
    </row>
    <row r="582">
      <c r="A582" s="27"/>
      <c r="B582" s="28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28"/>
      <c r="AB582" s="28"/>
      <c r="AC582" s="28"/>
      <c r="AD582" s="28"/>
      <c r="AE582" s="28"/>
    </row>
    <row r="583">
      <c r="A583" s="27"/>
      <c r="B583" s="28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28"/>
      <c r="AB583" s="28"/>
      <c r="AC583" s="28"/>
      <c r="AD583" s="28"/>
      <c r="AE583" s="28"/>
    </row>
    <row r="584">
      <c r="A584" s="27"/>
      <c r="B584" s="28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28"/>
      <c r="AB584" s="28"/>
      <c r="AC584" s="28"/>
      <c r="AD584" s="28"/>
      <c r="AE584" s="28"/>
    </row>
    <row r="585">
      <c r="A585" s="27"/>
      <c r="B585" s="28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28"/>
      <c r="AB585" s="28"/>
      <c r="AC585" s="28"/>
      <c r="AD585" s="28"/>
      <c r="AE585" s="28"/>
    </row>
    <row r="586">
      <c r="A586" s="27"/>
      <c r="B586" s="28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28"/>
      <c r="AB586" s="28"/>
      <c r="AC586" s="28"/>
      <c r="AD586" s="28"/>
      <c r="AE586" s="28"/>
    </row>
    <row r="587">
      <c r="A587" s="27"/>
      <c r="B587" s="28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28"/>
      <c r="AB587" s="28"/>
      <c r="AC587" s="28"/>
      <c r="AD587" s="28"/>
      <c r="AE587" s="28"/>
    </row>
    <row r="588">
      <c r="A588" s="27"/>
      <c r="B588" s="28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28"/>
      <c r="AB588" s="28"/>
      <c r="AC588" s="28"/>
      <c r="AD588" s="28"/>
      <c r="AE588" s="28"/>
    </row>
    <row r="589">
      <c r="A589" s="27"/>
      <c r="B589" s="28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28"/>
      <c r="AB589" s="28"/>
      <c r="AC589" s="28"/>
      <c r="AD589" s="28"/>
      <c r="AE589" s="28"/>
    </row>
    <row r="590">
      <c r="A590" s="27"/>
      <c r="B590" s="28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28"/>
      <c r="AB590" s="28"/>
      <c r="AC590" s="28"/>
      <c r="AD590" s="28"/>
      <c r="AE590" s="28"/>
    </row>
    <row r="591">
      <c r="A591" s="27"/>
      <c r="B591" s="28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28"/>
      <c r="AB591" s="28"/>
      <c r="AC591" s="28"/>
      <c r="AD591" s="28"/>
      <c r="AE591" s="28"/>
    </row>
    <row r="592">
      <c r="A592" s="27"/>
      <c r="B592" s="28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28"/>
      <c r="AB592" s="28"/>
      <c r="AC592" s="28"/>
      <c r="AD592" s="28"/>
      <c r="AE592" s="28"/>
    </row>
    <row r="593">
      <c r="A593" s="27"/>
      <c r="B593" s="28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28"/>
      <c r="AB593" s="28"/>
      <c r="AC593" s="28"/>
      <c r="AD593" s="28"/>
      <c r="AE593" s="28"/>
    </row>
    <row r="594">
      <c r="A594" s="27"/>
      <c r="B594" s="28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28"/>
      <c r="AB594" s="28"/>
      <c r="AC594" s="28"/>
      <c r="AD594" s="28"/>
      <c r="AE594" s="28"/>
    </row>
    <row r="595">
      <c r="A595" s="27"/>
      <c r="B595" s="28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28"/>
      <c r="AB595" s="28"/>
      <c r="AC595" s="28"/>
      <c r="AD595" s="28"/>
      <c r="AE595" s="28"/>
    </row>
    <row r="596">
      <c r="A596" s="27"/>
      <c r="B596" s="28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28"/>
      <c r="AB596" s="28"/>
      <c r="AC596" s="28"/>
      <c r="AD596" s="28"/>
      <c r="AE596" s="28"/>
    </row>
    <row r="597">
      <c r="A597" s="27"/>
      <c r="B597" s="28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28"/>
      <c r="AB597" s="28"/>
      <c r="AC597" s="28"/>
      <c r="AD597" s="28"/>
      <c r="AE597" s="28"/>
    </row>
    <row r="598">
      <c r="A598" s="27"/>
      <c r="B598" s="28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28"/>
      <c r="AB598" s="28"/>
      <c r="AC598" s="28"/>
      <c r="AD598" s="28"/>
      <c r="AE598" s="28"/>
    </row>
    <row r="599">
      <c r="A599" s="27"/>
      <c r="B599" s="28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28"/>
      <c r="AB599" s="28"/>
      <c r="AC599" s="28"/>
      <c r="AD599" s="28"/>
      <c r="AE599" s="28"/>
    </row>
    <row r="600">
      <c r="A600" s="27"/>
      <c r="B600" s="28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28"/>
      <c r="AB600" s="28"/>
      <c r="AC600" s="28"/>
      <c r="AD600" s="28"/>
      <c r="AE600" s="28"/>
    </row>
    <row r="601">
      <c r="A601" s="27"/>
      <c r="B601" s="28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28"/>
      <c r="AB601" s="28"/>
      <c r="AC601" s="28"/>
      <c r="AD601" s="28"/>
      <c r="AE601" s="28"/>
    </row>
    <row r="602">
      <c r="A602" s="27"/>
      <c r="B602" s="28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28"/>
      <c r="AB602" s="28"/>
      <c r="AC602" s="28"/>
      <c r="AD602" s="28"/>
      <c r="AE602" s="28"/>
    </row>
    <row r="603">
      <c r="A603" s="27"/>
      <c r="B603" s="28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28"/>
      <c r="AB603" s="28"/>
      <c r="AC603" s="28"/>
      <c r="AD603" s="28"/>
      <c r="AE603" s="28"/>
    </row>
    <row r="604">
      <c r="A604" s="27"/>
      <c r="B604" s="28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28"/>
      <c r="AB604" s="28"/>
      <c r="AC604" s="28"/>
      <c r="AD604" s="28"/>
      <c r="AE604" s="28"/>
    </row>
    <row r="605">
      <c r="A605" s="27"/>
      <c r="B605" s="28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28"/>
      <c r="AB605" s="28"/>
      <c r="AC605" s="28"/>
      <c r="AD605" s="28"/>
      <c r="AE605" s="28"/>
    </row>
    <row r="606">
      <c r="A606" s="27"/>
      <c r="B606" s="28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28"/>
      <c r="AB606" s="28"/>
      <c r="AC606" s="28"/>
      <c r="AD606" s="28"/>
      <c r="AE606" s="28"/>
    </row>
    <row r="607">
      <c r="A607" s="27"/>
      <c r="B607" s="28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28"/>
      <c r="AB607" s="28"/>
      <c r="AC607" s="28"/>
      <c r="AD607" s="28"/>
      <c r="AE607" s="28"/>
    </row>
    <row r="608">
      <c r="A608" s="27"/>
      <c r="B608" s="28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28"/>
      <c r="AB608" s="28"/>
      <c r="AC608" s="28"/>
      <c r="AD608" s="28"/>
      <c r="AE608" s="28"/>
    </row>
    <row r="609">
      <c r="A609" s="27"/>
      <c r="B609" s="28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28"/>
      <c r="AB609" s="28"/>
      <c r="AC609" s="28"/>
      <c r="AD609" s="28"/>
      <c r="AE609" s="28"/>
    </row>
    <row r="610">
      <c r="A610" s="27"/>
      <c r="B610" s="28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28"/>
      <c r="AB610" s="28"/>
      <c r="AC610" s="28"/>
      <c r="AD610" s="28"/>
      <c r="AE610" s="28"/>
    </row>
    <row r="611">
      <c r="A611" s="27"/>
      <c r="B611" s="28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28"/>
      <c r="AB611" s="28"/>
      <c r="AC611" s="28"/>
      <c r="AD611" s="28"/>
      <c r="AE611" s="28"/>
    </row>
    <row r="612">
      <c r="A612" s="27"/>
      <c r="B612" s="28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28"/>
      <c r="AB612" s="28"/>
      <c r="AC612" s="28"/>
      <c r="AD612" s="28"/>
      <c r="AE612" s="28"/>
    </row>
    <row r="613">
      <c r="A613" s="27"/>
      <c r="B613" s="28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28"/>
      <c r="AB613" s="28"/>
      <c r="AC613" s="28"/>
      <c r="AD613" s="28"/>
      <c r="AE613" s="28"/>
    </row>
    <row r="614">
      <c r="A614" s="27"/>
      <c r="B614" s="28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28"/>
      <c r="AB614" s="28"/>
      <c r="AC614" s="28"/>
      <c r="AD614" s="28"/>
      <c r="AE614" s="28"/>
    </row>
    <row r="615">
      <c r="A615" s="27"/>
      <c r="B615" s="28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28"/>
      <c r="AB615" s="28"/>
      <c r="AC615" s="28"/>
      <c r="AD615" s="28"/>
      <c r="AE615" s="28"/>
    </row>
    <row r="616">
      <c r="A616" s="27"/>
      <c r="B616" s="28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28"/>
      <c r="AB616" s="28"/>
      <c r="AC616" s="28"/>
      <c r="AD616" s="28"/>
      <c r="AE616" s="28"/>
    </row>
    <row r="617">
      <c r="A617" s="27"/>
      <c r="B617" s="28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28"/>
      <c r="AB617" s="28"/>
      <c r="AC617" s="28"/>
      <c r="AD617" s="28"/>
      <c r="AE617" s="28"/>
    </row>
    <row r="618">
      <c r="A618" s="27"/>
      <c r="B618" s="28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28"/>
      <c r="AB618" s="28"/>
      <c r="AC618" s="28"/>
      <c r="AD618" s="28"/>
      <c r="AE618" s="28"/>
    </row>
    <row r="619">
      <c r="A619" s="27"/>
      <c r="B619" s="28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28"/>
      <c r="AB619" s="28"/>
      <c r="AC619" s="28"/>
      <c r="AD619" s="28"/>
      <c r="AE619" s="28"/>
    </row>
    <row r="620">
      <c r="A620" s="27"/>
      <c r="B620" s="28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28"/>
      <c r="AB620" s="28"/>
      <c r="AC620" s="28"/>
      <c r="AD620" s="28"/>
      <c r="AE620" s="28"/>
    </row>
    <row r="621">
      <c r="A621" s="27"/>
      <c r="B621" s="28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28"/>
      <c r="AB621" s="28"/>
      <c r="AC621" s="28"/>
      <c r="AD621" s="28"/>
      <c r="AE621" s="28"/>
    </row>
    <row r="622">
      <c r="A622" s="27"/>
      <c r="B622" s="28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28"/>
      <c r="AB622" s="28"/>
      <c r="AC622" s="28"/>
      <c r="AD622" s="28"/>
      <c r="AE622" s="28"/>
    </row>
    <row r="623">
      <c r="A623" s="27"/>
      <c r="B623" s="28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28"/>
      <c r="AB623" s="28"/>
      <c r="AC623" s="28"/>
      <c r="AD623" s="28"/>
      <c r="AE623" s="28"/>
    </row>
    <row r="624">
      <c r="A624" s="27"/>
      <c r="B624" s="28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28"/>
      <c r="AB624" s="28"/>
      <c r="AC624" s="28"/>
      <c r="AD624" s="28"/>
      <c r="AE624" s="28"/>
    </row>
    <row r="625">
      <c r="A625" s="27"/>
      <c r="B625" s="28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28"/>
      <c r="AB625" s="28"/>
      <c r="AC625" s="28"/>
      <c r="AD625" s="28"/>
      <c r="AE625" s="28"/>
    </row>
    <row r="626">
      <c r="A626" s="27"/>
      <c r="B626" s="28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28"/>
      <c r="AB626" s="28"/>
      <c r="AC626" s="28"/>
      <c r="AD626" s="28"/>
      <c r="AE626" s="28"/>
    </row>
    <row r="627">
      <c r="A627" s="27"/>
      <c r="B627" s="28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28"/>
      <c r="AB627" s="28"/>
      <c r="AC627" s="28"/>
      <c r="AD627" s="28"/>
      <c r="AE627" s="28"/>
    </row>
    <row r="628">
      <c r="A628" s="27"/>
      <c r="B628" s="28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28"/>
      <c r="AB628" s="28"/>
      <c r="AC628" s="28"/>
      <c r="AD628" s="28"/>
      <c r="AE628" s="28"/>
    </row>
    <row r="629">
      <c r="A629" s="27"/>
      <c r="B629" s="28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28"/>
      <c r="AB629" s="28"/>
      <c r="AC629" s="28"/>
      <c r="AD629" s="28"/>
      <c r="AE629" s="28"/>
    </row>
    <row r="630">
      <c r="A630" s="27"/>
      <c r="B630" s="28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28"/>
      <c r="AB630" s="28"/>
      <c r="AC630" s="28"/>
      <c r="AD630" s="28"/>
      <c r="AE630" s="28"/>
    </row>
    <row r="631">
      <c r="A631" s="27"/>
      <c r="B631" s="28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28"/>
      <c r="AB631" s="28"/>
      <c r="AC631" s="28"/>
      <c r="AD631" s="28"/>
      <c r="AE631" s="28"/>
    </row>
    <row r="632">
      <c r="A632" s="27"/>
      <c r="B632" s="28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28"/>
      <c r="AB632" s="28"/>
      <c r="AC632" s="28"/>
      <c r="AD632" s="28"/>
      <c r="AE632" s="28"/>
    </row>
    <row r="633">
      <c r="A633" s="27"/>
      <c r="B633" s="28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28"/>
      <c r="AB633" s="28"/>
      <c r="AC633" s="28"/>
      <c r="AD633" s="28"/>
      <c r="AE633" s="28"/>
    </row>
    <row r="634">
      <c r="A634" s="27"/>
      <c r="B634" s="28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28"/>
      <c r="AB634" s="28"/>
      <c r="AC634" s="28"/>
      <c r="AD634" s="28"/>
      <c r="AE634" s="28"/>
    </row>
    <row r="635">
      <c r="A635" s="27"/>
      <c r="B635" s="28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28"/>
      <c r="AB635" s="28"/>
      <c r="AC635" s="28"/>
      <c r="AD635" s="28"/>
      <c r="AE635" s="28"/>
    </row>
    <row r="636">
      <c r="A636" s="27"/>
      <c r="B636" s="28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28"/>
      <c r="AB636" s="28"/>
      <c r="AC636" s="28"/>
      <c r="AD636" s="28"/>
      <c r="AE636" s="28"/>
    </row>
    <row r="637">
      <c r="A637" s="27"/>
      <c r="B637" s="28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28"/>
      <c r="AB637" s="28"/>
      <c r="AC637" s="28"/>
      <c r="AD637" s="28"/>
      <c r="AE637" s="28"/>
    </row>
    <row r="638">
      <c r="A638" s="27"/>
      <c r="B638" s="28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28"/>
      <c r="AB638" s="28"/>
      <c r="AC638" s="28"/>
      <c r="AD638" s="28"/>
      <c r="AE638" s="28"/>
    </row>
    <row r="639">
      <c r="A639" s="27"/>
      <c r="B639" s="28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28"/>
      <c r="AB639" s="28"/>
      <c r="AC639" s="28"/>
      <c r="AD639" s="28"/>
      <c r="AE639" s="28"/>
    </row>
    <row r="640">
      <c r="A640" s="27"/>
      <c r="B640" s="28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28"/>
      <c r="AB640" s="28"/>
      <c r="AC640" s="28"/>
      <c r="AD640" s="28"/>
      <c r="AE640" s="28"/>
    </row>
    <row r="641">
      <c r="A641" s="27"/>
      <c r="B641" s="28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28"/>
      <c r="AB641" s="28"/>
      <c r="AC641" s="28"/>
      <c r="AD641" s="28"/>
      <c r="AE641" s="28"/>
    </row>
    <row r="642">
      <c r="A642" s="27"/>
      <c r="B642" s="28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28"/>
      <c r="AB642" s="28"/>
      <c r="AC642" s="28"/>
      <c r="AD642" s="28"/>
      <c r="AE642" s="28"/>
    </row>
    <row r="643">
      <c r="A643" s="27"/>
      <c r="B643" s="28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28"/>
      <c r="AB643" s="28"/>
      <c r="AC643" s="28"/>
      <c r="AD643" s="28"/>
      <c r="AE643" s="28"/>
    </row>
    <row r="644">
      <c r="A644" s="27"/>
      <c r="B644" s="28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28"/>
      <c r="AB644" s="28"/>
      <c r="AC644" s="28"/>
      <c r="AD644" s="28"/>
      <c r="AE644" s="28"/>
    </row>
    <row r="645">
      <c r="A645" s="27"/>
      <c r="B645" s="28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28"/>
      <c r="AB645" s="28"/>
      <c r="AC645" s="28"/>
      <c r="AD645" s="28"/>
      <c r="AE645" s="28"/>
    </row>
    <row r="646">
      <c r="A646" s="27"/>
      <c r="B646" s="28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28"/>
      <c r="AB646" s="28"/>
      <c r="AC646" s="28"/>
      <c r="AD646" s="28"/>
      <c r="AE646" s="28"/>
    </row>
    <row r="647">
      <c r="A647" s="27"/>
      <c r="B647" s="28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28"/>
      <c r="AB647" s="28"/>
      <c r="AC647" s="28"/>
      <c r="AD647" s="28"/>
      <c r="AE647" s="28"/>
    </row>
    <row r="648">
      <c r="A648" s="27"/>
      <c r="B648" s="28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28"/>
      <c r="AB648" s="28"/>
      <c r="AC648" s="28"/>
      <c r="AD648" s="28"/>
      <c r="AE648" s="28"/>
    </row>
    <row r="649">
      <c r="A649" s="27"/>
      <c r="B649" s="28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28"/>
      <c r="AB649" s="28"/>
      <c r="AC649" s="28"/>
      <c r="AD649" s="28"/>
      <c r="AE649" s="28"/>
    </row>
    <row r="650">
      <c r="A650" s="27"/>
      <c r="B650" s="28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28"/>
      <c r="AB650" s="28"/>
      <c r="AC650" s="28"/>
      <c r="AD650" s="28"/>
      <c r="AE650" s="28"/>
    </row>
    <row r="651">
      <c r="A651" s="27"/>
      <c r="B651" s="28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28"/>
      <c r="AB651" s="28"/>
      <c r="AC651" s="28"/>
      <c r="AD651" s="28"/>
      <c r="AE651" s="28"/>
    </row>
    <row r="652">
      <c r="A652" s="27"/>
      <c r="B652" s="28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28"/>
      <c r="AB652" s="28"/>
      <c r="AC652" s="28"/>
      <c r="AD652" s="28"/>
      <c r="AE652" s="28"/>
    </row>
    <row r="653">
      <c r="A653" s="27"/>
      <c r="B653" s="28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28"/>
      <c r="AB653" s="28"/>
      <c r="AC653" s="28"/>
      <c r="AD653" s="28"/>
      <c r="AE653" s="28"/>
    </row>
    <row r="654">
      <c r="A654" s="27"/>
      <c r="B654" s="28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28"/>
      <c r="AB654" s="28"/>
      <c r="AC654" s="28"/>
      <c r="AD654" s="28"/>
      <c r="AE654" s="28"/>
    </row>
    <row r="655">
      <c r="A655" s="27"/>
      <c r="B655" s="28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28"/>
      <c r="AB655" s="28"/>
      <c r="AC655" s="28"/>
      <c r="AD655" s="28"/>
      <c r="AE655" s="28"/>
    </row>
    <row r="656">
      <c r="A656" s="27"/>
      <c r="B656" s="28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28"/>
      <c r="AB656" s="28"/>
      <c r="AC656" s="28"/>
      <c r="AD656" s="28"/>
      <c r="AE656" s="28"/>
    </row>
    <row r="657">
      <c r="A657" s="27"/>
      <c r="B657" s="28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28"/>
      <c r="AB657" s="28"/>
      <c r="AC657" s="28"/>
      <c r="AD657" s="28"/>
      <c r="AE657" s="28"/>
    </row>
    <row r="658">
      <c r="A658" s="27"/>
      <c r="B658" s="28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28"/>
      <c r="AB658" s="28"/>
      <c r="AC658" s="28"/>
      <c r="AD658" s="28"/>
      <c r="AE658" s="28"/>
    </row>
    <row r="659">
      <c r="A659" s="27"/>
      <c r="B659" s="28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28"/>
      <c r="AB659" s="28"/>
      <c r="AC659" s="28"/>
      <c r="AD659" s="28"/>
      <c r="AE659" s="28"/>
    </row>
    <row r="660">
      <c r="A660" s="27"/>
      <c r="B660" s="28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28"/>
      <c r="AB660" s="28"/>
      <c r="AC660" s="28"/>
      <c r="AD660" s="28"/>
      <c r="AE660" s="28"/>
    </row>
    <row r="661">
      <c r="A661" s="27"/>
      <c r="B661" s="28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28"/>
      <c r="AB661" s="28"/>
      <c r="AC661" s="28"/>
      <c r="AD661" s="28"/>
      <c r="AE661" s="28"/>
    </row>
    <row r="662">
      <c r="A662" s="27"/>
      <c r="B662" s="28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28"/>
      <c r="AB662" s="28"/>
      <c r="AC662" s="28"/>
      <c r="AD662" s="28"/>
      <c r="AE662" s="28"/>
    </row>
    <row r="663">
      <c r="A663" s="27"/>
      <c r="B663" s="28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28"/>
      <c r="AB663" s="28"/>
      <c r="AC663" s="28"/>
      <c r="AD663" s="28"/>
      <c r="AE663" s="28"/>
    </row>
    <row r="664">
      <c r="A664" s="27"/>
      <c r="B664" s="28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28"/>
      <c r="AB664" s="28"/>
      <c r="AC664" s="28"/>
      <c r="AD664" s="28"/>
      <c r="AE664" s="28"/>
    </row>
    <row r="665">
      <c r="A665" s="27"/>
      <c r="B665" s="28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28"/>
      <c r="AB665" s="28"/>
      <c r="AC665" s="28"/>
      <c r="AD665" s="28"/>
      <c r="AE665" s="28"/>
    </row>
    <row r="666">
      <c r="A666" s="27"/>
      <c r="B666" s="28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28"/>
      <c r="AB666" s="28"/>
      <c r="AC666" s="28"/>
      <c r="AD666" s="28"/>
      <c r="AE666" s="28"/>
    </row>
    <row r="667">
      <c r="A667" s="27"/>
      <c r="B667" s="28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28"/>
      <c r="AB667" s="28"/>
      <c r="AC667" s="28"/>
      <c r="AD667" s="28"/>
      <c r="AE667" s="28"/>
    </row>
    <row r="668">
      <c r="A668" s="27"/>
      <c r="B668" s="28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28"/>
      <c r="AB668" s="28"/>
      <c r="AC668" s="28"/>
      <c r="AD668" s="28"/>
      <c r="AE668" s="28"/>
    </row>
    <row r="669">
      <c r="A669" s="27"/>
      <c r="B669" s="28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28"/>
      <c r="AB669" s="28"/>
      <c r="AC669" s="28"/>
      <c r="AD669" s="28"/>
      <c r="AE669" s="28"/>
    </row>
    <row r="670">
      <c r="A670" s="27"/>
      <c r="B670" s="28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28"/>
      <c r="AB670" s="28"/>
      <c r="AC670" s="28"/>
      <c r="AD670" s="28"/>
      <c r="AE670" s="28"/>
    </row>
    <row r="671">
      <c r="A671" s="27"/>
      <c r="B671" s="28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28"/>
      <c r="AB671" s="28"/>
      <c r="AC671" s="28"/>
      <c r="AD671" s="28"/>
      <c r="AE671" s="28"/>
    </row>
    <row r="672">
      <c r="A672" s="27"/>
      <c r="B672" s="28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28"/>
      <c r="AB672" s="28"/>
      <c r="AC672" s="28"/>
      <c r="AD672" s="28"/>
      <c r="AE672" s="28"/>
    </row>
    <row r="673">
      <c r="A673" s="27"/>
      <c r="B673" s="28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28"/>
      <c r="AB673" s="28"/>
      <c r="AC673" s="28"/>
      <c r="AD673" s="28"/>
      <c r="AE673" s="28"/>
    </row>
    <row r="674">
      <c r="A674" s="27"/>
      <c r="B674" s="28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28"/>
      <c r="AB674" s="28"/>
      <c r="AC674" s="28"/>
      <c r="AD674" s="28"/>
      <c r="AE674" s="28"/>
    </row>
    <row r="675">
      <c r="A675" s="27"/>
      <c r="B675" s="28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28"/>
      <c r="AB675" s="28"/>
      <c r="AC675" s="28"/>
      <c r="AD675" s="28"/>
      <c r="AE675" s="28"/>
    </row>
    <row r="676">
      <c r="A676" s="27"/>
      <c r="B676" s="28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28"/>
      <c r="AB676" s="28"/>
      <c r="AC676" s="28"/>
      <c r="AD676" s="28"/>
      <c r="AE676" s="28"/>
    </row>
    <row r="677">
      <c r="A677" s="27"/>
      <c r="B677" s="28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28"/>
      <c r="AB677" s="28"/>
      <c r="AC677" s="28"/>
      <c r="AD677" s="28"/>
      <c r="AE677" s="28"/>
    </row>
    <row r="678">
      <c r="A678" s="27"/>
      <c r="B678" s="28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28"/>
      <c r="AB678" s="28"/>
      <c r="AC678" s="28"/>
      <c r="AD678" s="28"/>
      <c r="AE678" s="28"/>
    </row>
    <row r="679">
      <c r="A679" s="27"/>
      <c r="B679" s="28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28"/>
      <c r="AB679" s="28"/>
      <c r="AC679" s="28"/>
      <c r="AD679" s="28"/>
      <c r="AE679" s="28"/>
    </row>
    <row r="680">
      <c r="A680" s="27"/>
      <c r="B680" s="28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28"/>
      <c r="AB680" s="28"/>
      <c r="AC680" s="28"/>
      <c r="AD680" s="28"/>
      <c r="AE680" s="28"/>
    </row>
    <row r="681">
      <c r="A681" s="27"/>
      <c r="B681" s="28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28"/>
      <c r="AB681" s="28"/>
      <c r="AC681" s="28"/>
      <c r="AD681" s="28"/>
      <c r="AE681" s="28"/>
    </row>
    <row r="682">
      <c r="A682" s="27"/>
      <c r="B682" s="28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28"/>
      <c r="AB682" s="28"/>
      <c r="AC682" s="28"/>
      <c r="AD682" s="28"/>
      <c r="AE682" s="28"/>
    </row>
    <row r="683">
      <c r="A683" s="27"/>
      <c r="B683" s="28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28"/>
      <c r="AB683" s="28"/>
      <c r="AC683" s="28"/>
      <c r="AD683" s="28"/>
      <c r="AE683" s="28"/>
    </row>
    <row r="684">
      <c r="A684" s="27"/>
      <c r="B684" s="28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28"/>
      <c r="AB684" s="28"/>
      <c r="AC684" s="28"/>
      <c r="AD684" s="28"/>
      <c r="AE684" s="28"/>
    </row>
    <row r="685">
      <c r="A685" s="27"/>
      <c r="B685" s="28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28"/>
      <c r="AB685" s="28"/>
      <c r="AC685" s="28"/>
      <c r="AD685" s="28"/>
      <c r="AE685" s="28"/>
    </row>
    <row r="686">
      <c r="A686" s="27"/>
      <c r="B686" s="28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28"/>
      <c r="AB686" s="28"/>
      <c r="AC686" s="28"/>
      <c r="AD686" s="28"/>
      <c r="AE686" s="28"/>
    </row>
    <row r="687">
      <c r="A687" s="27"/>
      <c r="B687" s="28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28"/>
      <c r="AB687" s="28"/>
      <c r="AC687" s="28"/>
      <c r="AD687" s="28"/>
      <c r="AE687" s="28"/>
    </row>
    <row r="688">
      <c r="A688" s="27"/>
      <c r="B688" s="28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28"/>
      <c r="AB688" s="28"/>
      <c r="AC688" s="28"/>
      <c r="AD688" s="28"/>
      <c r="AE688" s="28"/>
    </row>
    <row r="689">
      <c r="A689" s="27"/>
      <c r="B689" s="28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28"/>
      <c r="AB689" s="28"/>
      <c r="AC689" s="28"/>
      <c r="AD689" s="28"/>
      <c r="AE689" s="28"/>
    </row>
    <row r="690">
      <c r="A690" s="27"/>
      <c r="B690" s="28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28"/>
      <c r="AB690" s="28"/>
      <c r="AC690" s="28"/>
      <c r="AD690" s="28"/>
      <c r="AE690" s="28"/>
    </row>
    <row r="691">
      <c r="A691" s="27"/>
      <c r="B691" s="28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28"/>
      <c r="AB691" s="28"/>
      <c r="AC691" s="28"/>
      <c r="AD691" s="28"/>
      <c r="AE691" s="28"/>
    </row>
    <row r="692">
      <c r="A692" s="27"/>
      <c r="B692" s="28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28"/>
      <c r="AB692" s="28"/>
      <c r="AC692" s="28"/>
      <c r="AD692" s="28"/>
      <c r="AE692" s="28"/>
    </row>
    <row r="693">
      <c r="A693" s="27"/>
      <c r="B693" s="28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28"/>
      <c r="AB693" s="28"/>
      <c r="AC693" s="28"/>
      <c r="AD693" s="28"/>
      <c r="AE693" s="28"/>
    </row>
    <row r="694">
      <c r="A694" s="27"/>
      <c r="B694" s="28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28"/>
      <c r="AB694" s="28"/>
      <c r="AC694" s="28"/>
      <c r="AD694" s="28"/>
      <c r="AE694" s="28"/>
    </row>
    <row r="695">
      <c r="A695" s="27"/>
      <c r="B695" s="28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28"/>
      <c r="AB695" s="28"/>
      <c r="AC695" s="28"/>
      <c r="AD695" s="28"/>
      <c r="AE695" s="28"/>
    </row>
    <row r="696">
      <c r="A696" s="27"/>
      <c r="B696" s="28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28"/>
      <c r="AB696" s="28"/>
      <c r="AC696" s="28"/>
      <c r="AD696" s="28"/>
      <c r="AE696" s="28"/>
    </row>
    <row r="697">
      <c r="A697" s="27"/>
      <c r="B697" s="28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28"/>
      <c r="AB697" s="28"/>
      <c r="AC697" s="28"/>
      <c r="AD697" s="28"/>
      <c r="AE697" s="28"/>
    </row>
    <row r="698">
      <c r="A698" s="27"/>
      <c r="B698" s="28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28"/>
      <c r="AB698" s="28"/>
      <c r="AC698" s="28"/>
      <c r="AD698" s="28"/>
      <c r="AE698" s="28"/>
    </row>
    <row r="699">
      <c r="A699" s="27"/>
      <c r="B699" s="28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28"/>
      <c r="AB699" s="28"/>
      <c r="AC699" s="28"/>
      <c r="AD699" s="28"/>
      <c r="AE699" s="28"/>
    </row>
    <row r="700">
      <c r="A700" s="27"/>
      <c r="B700" s="28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28"/>
      <c r="AB700" s="28"/>
      <c r="AC700" s="28"/>
      <c r="AD700" s="28"/>
      <c r="AE700" s="28"/>
    </row>
    <row r="701">
      <c r="A701" s="27"/>
      <c r="B701" s="28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28"/>
      <c r="AB701" s="28"/>
      <c r="AC701" s="28"/>
      <c r="AD701" s="28"/>
      <c r="AE701" s="28"/>
    </row>
    <row r="702">
      <c r="A702" s="27"/>
      <c r="B702" s="28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28"/>
      <c r="AB702" s="28"/>
      <c r="AC702" s="28"/>
      <c r="AD702" s="28"/>
      <c r="AE702" s="28"/>
    </row>
    <row r="703">
      <c r="A703" s="27"/>
      <c r="B703" s="28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28"/>
      <c r="AB703" s="28"/>
      <c r="AC703" s="28"/>
      <c r="AD703" s="28"/>
      <c r="AE703" s="28"/>
    </row>
    <row r="704">
      <c r="A704" s="27"/>
      <c r="B704" s="28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28"/>
      <c r="AB704" s="28"/>
      <c r="AC704" s="28"/>
      <c r="AD704" s="28"/>
      <c r="AE704" s="28"/>
    </row>
    <row r="705">
      <c r="A705" s="27"/>
      <c r="B705" s="28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28"/>
      <c r="AB705" s="28"/>
      <c r="AC705" s="28"/>
      <c r="AD705" s="28"/>
      <c r="AE705" s="28"/>
    </row>
    <row r="706">
      <c r="A706" s="27"/>
      <c r="B706" s="28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28"/>
      <c r="AB706" s="28"/>
      <c r="AC706" s="28"/>
      <c r="AD706" s="28"/>
      <c r="AE706" s="28"/>
    </row>
    <row r="707">
      <c r="A707" s="27"/>
      <c r="B707" s="28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28"/>
      <c r="AB707" s="28"/>
      <c r="AC707" s="28"/>
      <c r="AD707" s="28"/>
      <c r="AE707" s="28"/>
    </row>
    <row r="708">
      <c r="A708" s="27"/>
      <c r="B708" s="28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28"/>
      <c r="AB708" s="28"/>
      <c r="AC708" s="28"/>
      <c r="AD708" s="28"/>
      <c r="AE708" s="28"/>
    </row>
    <row r="709">
      <c r="A709" s="27"/>
      <c r="B709" s="28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28"/>
      <c r="AB709" s="28"/>
      <c r="AC709" s="28"/>
      <c r="AD709" s="28"/>
      <c r="AE709" s="28"/>
    </row>
    <row r="710">
      <c r="A710" s="27"/>
      <c r="B710" s="28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28"/>
      <c r="AB710" s="28"/>
      <c r="AC710" s="28"/>
      <c r="AD710" s="28"/>
      <c r="AE710" s="28"/>
    </row>
    <row r="711">
      <c r="A711" s="27"/>
      <c r="B711" s="28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28"/>
      <c r="AB711" s="28"/>
      <c r="AC711" s="28"/>
      <c r="AD711" s="28"/>
      <c r="AE711" s="28"/>
    </row>
    <row r="712">
      <c r="A712" s="27"/>
      <c r="B712" s="28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28"/>
      <c r="AB712" s="28"/>
      <c r="AC712" s="28"/>
      <c r="AD712" s="28"/>
      <c r="AE712" s="28"/>
    </row>
    <row r="713">
      <c r="A713" s="27"/>
      <c r="B713" s="28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28"/>
      <c r="AB713" s="28"/>
      <c r="AC713" s="28"/>
      <c r="AD713" s="28"/>
      <c r="AE713" s="28"/>
    </row>
    <row r="714">
      <c r="A714" s="27"/>
      <c r="B714" s="28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28"/>
      <c r="AB714" s="28"/>
      <c r="AC714" s="28"/>
      <c r="AD714" s="28"/>
      <c r="AE714" s="28"/>
    </row>
    <row r="715">
      <c r="A715" s="27"/>
      <c r="B715" s="28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28"/>
      <c r="AB715" s="28"/>
      <c r="AC715" s="28"/>
      <c r="AD715" s="28"/>
      <c r="AE715" s="28"/>
    </row>
    <row r="716">
      <c r="A716" s="27"/>
      <c r="B716" s="28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28"/>
      <c r="AB716" s="28"/>
      <c r="AC716" s="28"/>
      <c r="AD716" s="28"/>
      <c r="AE716" s="28"/>
    </row>
    <row r="717">
      <c r="A717" s="27"/>
      <c r="B717" s="28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28"/>
      <c r="AB717" s="28"/>
      <c r="AC717" s="28"/>
      <c r="AD717" s="28"/>
      <c r="AE717" s="28"/>
    </row>
    <row r="718">
      <c r="A718" s="27"/>
      <c r="B718" s="28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28"/>
      <c r="AB718" s="28"/>
      <c r="AC718" s="28"/>
      <c r="AD718" s="28"/>
      <c r="AE718" s="28"/>
    </row>
    <row r="719">
      <c r="A719" s="27"/>
      <c r="B719" s="28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28"/>
      <c r="AB719" s="28"/>
      <c r="AC719" s="28"/>
      <c r="AD719" s="28"/>
      <c r="AE719" s="28"/>
    </row>
    <row r="720">
      <c r="A720" s="27"/>
      <c r="B720" s="28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28"/>
      <c r="AB720" s="28"/>
      <c r="AC720" s="28"/>
      <c r="AD720" s="28"/>
      <c r="AE720" s="28"/>
    </row>
    <row r="721">
      <c r="A721" s="27"/>
      <c r="B721" s="28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28"/>
      <c r="AB721" s="28"/>
      <c r="AC721" s="28"/>
      <c r="AD721" s="28"/>
      <c r="AE721" s="28"/>
    </row>
    <row r="722">
      <c r="A722" s="27"/>
      <c r="B722" s="28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28"/>
      <c r="AB722" s="28"/>
      <c r="AC722" s="28"/>
      <c r="AD722" s="28"/>
      <c r="AE722" s="28"/>
    </row>
    <row r="723">
      <c r="A723" s="27"/>
      <c r="B723" s="28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28"/>
      <c r="AB723" s="28"/>
      <c r="AC723" s="28"/>
      <c r="AD723" s="28"/>
      <c r="AE723" s="28"/>
    </row>
    <row r="724">
      <c r="A724" s="27"/>
      <c r="B724" s="28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28"/>
      <c r="AB724" s="28"/>
      <c r="AC724" s="28"/>
      <c r="AD724" s="28"/>
      <c r="AE724" s="28"/>
    </row>
    <row r="725">
      <c r="A725" s="27"/>
      <c r="B725" s="28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28"/>
      <c r="AB725" s="28"/>
      <c r="AC725" s="28"/>
      <c r="AD725" s="28"/>
      <c r="AE725" s="28"/>
    </row>
    <row r="726">
      <c r="A726" s="27"/>
      <c r="B726" s="28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28"/>
      <c r="AB726" s="28"/>
      <c r="AC726" s="28"/>
      <c r="AD726" s="28"/>
      <c r="AE726" s="28"/>
    </row>
    <row r="727">
      <c r="A727" s="27"/>
      <c r="B727" s="28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28"/>
      <c r="AB727" s="28"/>
      <c r="AC727" s="28"/>
      <c r="AD727" s="28"/>
      <c r="AE727" s="28"/>
    </row>
    <row r="728">
      <c r="A728" s="27"/>
      <c r="B728" s="28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28"/>
      <c r="AB728" s="28"/>
      <c r="AC728" s="28"/>
      <c r="AD728" s="28"/>
      <c r="AE728" s="28"/>
    </row>
    <row r="729">
      <c r="A729" s="27"/>
      <c r="B729" s="28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28"/>
      <c r="AB729" s="28"/>
      <c r="AC729" s="28"/>
      <c r="AD729" s="28"/>
      <c r="AE729" s="28"/>
    </row>
    <row r="730">
      <c r="A730" s="27"/>
      <c r="B730" s="28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28"/>
      <c r="AB730" s="28"/>
      <c r="AC730" s="28"/>
      <c r="AD730" s="28"/>
      <c r="AE730" s="28"/>
    </row>
    <row r="731">
      <c r="A731" s="27"/>
      <c r="B731" s="28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28"/>
      <c r="AB731" s="28"/>
      <c r="AC731" s="28"/>
      <c r="AD731" s="28"/>
      <c r="AE731" s="28"/>
    </row>
    <row r="732">
      <c r="A732" s="27"/>
      <c r="B732" s="28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28"/>
      <c r="AB732" s="28"/>
      <c r="AC732" s="28"/>
      <c r="AD732" s="28"/>
      <c r="AE732" s="28"/>
    </row>
    <row r="733">
      <c r="A733" s="27"/>
      <c r="B733" s="28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28"/>
      <c r="AB733" s="28"/>
      <c r="AC733" s="28"/>
      <c r="AD733" s="28"/>
      <c r="AE733" s="28"/>
    </row>
    <row r="734">
      <c r="A734" s="27"/>
      <c r="B734" s="28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28"/>
      <c r="AB734" s="28"/>
      <c r="AC734" s="28"/>
      <c r="AD734" s="28"/>
      <c r="AE734" s="28"/>
    </row>
    <row r="735">
      <c r="A735" s="27"/>
      <c r="B735" s="28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28"/>
      <c r="AB735" s="28"/>
      <c r="AC735" s="28"/>
      <c r="AD735" s="28"/>
      <c r="AE735" s="28"/>
    </row>
    <row r="736">
      <c r="A736" s="27"/>
      <c r="B736" s="28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28"/>
      <c r="AB736" s="28"/>
      <c r="AC736" s="28"/>
      <c r="AD736" s="28"/>
      <c r="AE736" s="28"/>
    </row>
    <row r="737">
      <c r="A737" s="27"/>
      <c r="B737" s="28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28"/>
      <c r="AB737" s="28"/>
      <c r="AC737" s="28"/>
      <c r="AD737" s="28"/>
      <c r="AE737" s="28"/>
    </row>
    <row r="738">
      <c r="A738" s="27"/>
      <c r="B738" s="28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28"/>
      <c r="AB738" s="28"/>
      <c r="AC738" s="28"/>
      <c r="AD738" s="28"/>
      <c r="AE738" s="28"/>
    </row>
    <row r="739">
      <c r="A739" s="27"/>
      <c r="B739" s="28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28"/>
      <c r="AB739" s="28"/>
      <c r="AC739" s="28"/>
      <c r="AD739" s="28"/>
      <c r="AE739" s="28"/>
    </row>
    <row r="740">
      <c r="A740" s="27"/>
      <c r="B740" s="28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28"/>
      <c r="AB740" s="28"/>
      <c r="AC740" s="28"/>
      <c r="AD740" s="28"/>
      <c r="AE740" s="28"/>
    </row>
    <row r="741">
      <c r="A741" s="27"/>
      <c r="B741" s="28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28"/>
      <c r="AB741" s="28"/>
      <c r="AC741" s="28"/>
      <c r="AD741" s="28"/>
      <c r="AE741" s="28"/>
    </row>
    <row r="742">
      <c r="A742" s="27"/>
      <c r="B742" s="28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28"/>
      <c r="AB742" s="28"/>
      <c r="AC742" s="28"/>
      <c r="AD742" s="28"/>
      <c r="AE742" s="28"/>
    </row>
    <row r="743">
      <c r="A743" s="27"/>
      <c r="B743" s="28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28"/>
      <c r="AB743" s="28"/>
      <c r="AC743" s="28"/>
      <c r="AD743" s="28"/>
      <c r="AE743" s="28"/>
    </row>
    <row r="744">
      <c r="A744" s="27"/>
      <c r="B744" s="28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28"/>
      <c r="AB744" s="28"/>
      <c r="AC744" s="28"/>
      <c r="AD744" s="28"/>
      <c r="AE744" s="28"/>
    </row>
    <row r="745">
      <c r="A745" s="27"/>
      <c r="B745" s="28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28"/>
      <c r="AB745" s="28"/>
      <c r="AC745" s="28"/>
      <c r="AD745" s="28"/>
      <c r="AE745" s="28"/>
    </row>
    <row r="746">
      <c r="A746" s="27"/>
      <c r="B746" s="28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28"/>
      <c r="AB746" s="28"/>
      <c r="AC746" s="28"/>
      <c r="AD746" s="28"/>
      <c r="AE746" s="28"/>
    </row>
    <row r="747">
      <c r="A747" s="27"/>
      <c r="B747" s="28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28"/>
      <c r="AB747" s="28"/>
      <c r="AC747" s="28"/>
      <c r="AD747" s="28"/>
      <c r="AE747" s="28"/>
    </row>
    <row r="748">
      <c r="A748" s="27"/>
      <c r="B748" s="28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28"/>
      <c r="AB748" s="28"/>
      <c r="AC748" s="28"/>
      <c r="AD748" s="28"/>
      <c r="AE748" s="28"/>
    </row>
    <row r="749">
      <c r="A749" s="27"/>
      <c r="B749" s="28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28"/>
      <c r="AB749" s="28"/>
      <c r="AC749" s="28"/>
      <c r="AD749" s="28"/>
      <c r="AE749" s="28"/>
    </row>
    <row r="750">
      <c r="A750" s="27"/>
      <c r="B750" s="28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28"/>
      <c r="AB750" s="28"/>
      <c r="AC750" s="28"/>
      <c r="AD750" s="28"/>
      <c r="AE750" s="28"/>
    </row>
    <row r="751">
      <c r="A751" s="27"/>
      <c r="B751" s="28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28"/>
      <c r="AB751" s="28"/>
      <c r="AC751" s="28"/>
      <c r="AD751" s="28"/>
      <c r="AE751" s="28"/>
    </row>
    <row r="752">
      <c r="A752" s="27"/>
      <c r="B752" s="28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28"/>
      <c r="AB752" s="28"/>
      <c r="AC752" s="28"/>
      <c r="AD752" s="28"/>
      <c r="AE752" s="28"/>
    </row>
    <row r="753">
      <c r="A753" s="27"/>
      <c r="B753" s="28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28"/>
      <c r="AB753" s="28"/>
      <c r="AC753" s="28"/>
      <c r="AD753" s="28"/>
      <c r="AE753" s="28"/>
    </row>
    <row r="754">
      <c r="A754" s="27"/>
      <c r="B754" s="28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28"/>
      <c r="AB754" s="28"/>
      <c r="AC754" s="28"/>
      <c r="AD754" s="28"/>
      <c r="AE754" s="28"/>
    </row>
    <row r="755">
      <c r="A755" s="27"/>
      <c r="B755" s="28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28"/>
      <c r="AB755" s="28"/>
      <c r="AC755" s="28"/>
      <c r="AD755" s="28"/>
      <c r="AE755" s="28"/>
    </row>
    <row r="756">
      <c r="A756" s="27"/>
      <c r="B756" s="28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28"/>
      <c r="AB756" s="28"/>
      <c r="AC756" s="28"/>
      <c r="AD756" s="28"/>
      <c r="AE756" s="28"/>
    </row>
    <row r="757">
      <c r="A757" s="27"/>
      <c r="B757" s="28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28"/>
      <c r="AB757" s="28"/>
      <c r="AC757" s="28"/>
      <c r="AD757" s="28"/>
      <c r="AE757" s="28"/>
    </row>
    <row r="758">
      <c r="A758" s="27"/>
      <c r="B758" s="28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28"/>
      <c r="AB758" s="28"/>
      <c r="AC758" s="28"/>
      <c r="AD758" s="28"/>
      <c r="AE758" s="28"/>
    </row>
    <row r="759">
      <c r="A759" s="27"/>
      <c r="B759" s="28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28"/>
      <c r="AB759" s="28"/>
      <c r="AC759" s="28"/>
      <c r="AD759" s="28"/>
      <c r="AE759" s="28"/>
    </row>
    <row r="760">
      <c r="A760" s="27"/>
      <c r="B760" s="28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28"/>
      <c r="AB760" s="28"/>
      <c r="AC760" s="28"/>
      <c r="AD760" s="28"/>
      <c r="AE760" s="28"/>
    </row>
    <row r="761">
      <c r="A761" s="27"/>
      <c r="B761" s="28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28"/>
      <c r="AB761" s="28"/>
      <c r="AC761" s="28"/>
      <c r="AD761" s="28"/>
      <c r="AE761" s="28"/>
    </row>
    <row r="762">
      <c r="A762" s="27"/>
      <c r="B762" s="28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28"/>
      <c r="AB762" s="28"/>
      <c r="AC762" s="28"/>
      <c r="AD762" s="28"/>
      <c r="AE762" s="28"/>
    </row>
    <row r="763">
      <c r="A763" s="27"/>
      <c r="B763" s="28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28"/>
      <c r="AB763" s="28"/>
      <c r="AC763" s="28"/>
      <c r="AD763" s="28"/>
      <c r="AE763" s="28"/>
    </row>
    <row r="764">
      <c r="A764" s="27"/>
      <c r="B764" s="28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28"/>
      <c r="AB764" s="28"/>
      <c r="AC764" s="28"/>
      <c r="AD764" s="28"/>
      <c r="AE764" s="28"/>
    </row>
    <row r="765">
      <c r="A765" s="27"/>
      <c r="B765" s="28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28"/>
      <c r="AB765" s="28"/>
      <c r="AC765" s="28"/>
      <c r="AD765" s="28"/>
      <c r="AE765" s="28"/>
    </row>
    <row r="766">
      <c r="A766" s="27"/>
      <c r="B766" s="28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28"/>
      <c r="AB766" s="28"/>
      <c r="AC766" s="28"/>
      <c r="AD766" s="28"/>
      <c r="AE766" s="28"/>
    </row>
    <row r="767">
      <c r="A767" s="27"/>
      <c r="B767" s="28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28"/>
      <c r="AB767" s="28"/>
      <c r="AC767" s="28"/>
      <c r="AD767" s="28"/>
      <c r="AE767" s="28"/>
    </row>
    <row r="768">
      <c r="A768" s="27"/>
      <c r="B768" s="28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28"/>
      <c r="AB768" s="28"/>
      <c r="AC768" s="28"/>
      <c r="AD768" s="28"/>
      <c r="AE768" s="28"/>
    </row>
    <row r="769">
      <c r="A769" s="27"/>
      <c r="B769" s="28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28"/>
      <c r="AB769" s="28"/>
      <c r="AC769" s="28"/>
      <c r="AD769" s="28"/>
      <c r="AE769" s="28"/>
    </row>
    <row r="770">
      <c r="A770" s="27"/>
      <c r="B770" s="28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28"/>
      <c r="AB770" s="28"/>
      <c r="AC770" s="28"/>
      <c r="AD770" s="28"/>
      <c r="AE770" s="28"/>
    </row>
    <row r="771">
      <c r="A771" s="27"/>
      <c r="B771" s="28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28"/>
      <c r="AB771" s="28"/>
      <c r="AC771" s="28"/>
      <c r="AD771" s="28"/>
      <c r="AE771" s="28"/>
    </row>
    <row r="772">
      <c r="A772" s="27"/>
      <c r="B772" s="28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28"/>
      <c r="AB772" s="28"/>
      <c r="AC772" s="28"/>
      <c r="AD772" s="28"/>
      <c r="AE772" s="28"/>
    </row>
    <row r="773">
      <c r="A773" s="27"/>
      <c r="B773" s="28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28"/>
      <c r="AB773" s="28"/>
      <c r="AC773" s="28"/>
      <c r="AD773" s="28"/>
      <c r="AE773" s="28"/>
    </row>
    <row r="774">
      <c r="A774" s="27"/>
      <c r="B774" s="28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28"/>
      <c r="AB774" s="28"/>
      <c r="AC774" s="28"/>
      <c r="AD774" s="28"/>
      <c r="AE774" s="28"/>
    </row>
    <row r="775">
      <c r="A775" s="27"/>
      <c r="B775" s="28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28"/>
      <c r="AB775" s="28"/>
      <c r="AC775" s="28"/>
      <c r="AD775" s="28"/>
      <c r="AE775" s="28"/>
    </row>
    <row r="776">
      <c r="A776" s="27"/>
      <c r="B776" s="28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28"/>
      <c r="AB776" s="28"/>
      <c r="AC776" s="28"/>
      <c r="AD776" s="28"/>
      <c r="AE776" s="28"/>
    </row>
    <row r="777">
      <c r="A777" s="27"/>
      <c r="B777" s="28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28"/>
      <c r="AB777" s="28"/>
      <c r="AC777" s="28"/>
      <c r="AD777" s="28"/>
      <c r="AE777" s="28"/>
    </row>
    <row r="778">
      <c r="A778" s="27"/>
      <c r="B778" s="28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28"/>
      <c r="AB778" s="28"/>
      <c r="AC778" s="28"/>
      <c r="AD778" s="28"/>
      <c r="AE778" s="28"/>
    </row>
    <row r="779">
      <c r="A779" s="27"/>
      <c r="B779" s="28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28"/>
      <c r="AB779" s="28"/>
      <c r="AC779" s="28"/>
      <c r="AD779" s="28"/>
      <c r="AE779" s="28"/>
    </row>
    <row r="780">
      <c r="A780" s="27"/>
      <c r="B780" s="28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28"/>
      <c r="AB780" s="28"/>
      <c r="AC780" s="28"/>
      <c r="AD780" s="28"/>
      <c r="AE780" s="28"/>
    </row>
    <row r="781">
      <c r="A781" s="27"/>
      <c r="B781" s="28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28"/>
      <c r="AB781" s="28"/>
      <c r="AC781" s="28"/>
      <c r="AD781" s="28"/>
      <c r="AE781" s="28"/>
    </row>
    <row r="782">
      <c r="A782" s="27"/>
      <c r="B782" s="28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28"/>
      <c r="AB782" s="28"/>
      <c r="AC782" s="28"/>
      <c r="AD782" s="28"/>
      <c r="AE782" s="28"/>
    </row>
    <row r="783">
      <c r="A783" s="27"/>
      <c r="B783" s="28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28"/>
      <c r="AB783" s="28"/>
      <c r="AC783" s="28"/>
      <c r="AD783" s="28"/>
      <c r="AE783" s="28"/>
    </row>
    <row r="784">
      <c r="A784" s="27"/>
      <c r="B784" s="28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28"/>
      <c r="AB784" s="28"/>
      <c r="AC784" s="28"/>
      <c r="AD784" s="28"/>
      <c r="AE784" s="28"/>
    </row>
    <row r="785">
      <c r="A785" s="27"/>
      <c r="B785" s="28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28"/>
      <c r="AB785" s="28"/>
      <c r="AC785" s="28"/>
      <c r="AD785" s="28"/>
      <c r="AE785" s="28"/>
    </row>
    <row r="786">
      <c r="A786" s="27"/>
      <c r="B786" s="28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28"/>
      <c r="AB786" s="28"/>
      <c r="AC786" s="28"/>
      <c r="AD786" s="28"/>
      <c r="AE786" s="28"/>
    </row>
    <row r="787">
      <c r="A787" s="27"/>
      <c r="B787" s="28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28"/>
      <c r="AB787" s="28"/>
      <c r="AC787" s="28"/>
      <c r="AD787" s="28"/>
      <c r="AE787" s="28"/>
    </row>
    <row r="788">
      <c r="A788" s="27"/>
      <c r="B788" s="28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28"/>
      <c r="AB788" s="28"/>
      <c r="AC788" s="28"/>
      <c r="AD788" s="28"/>
      <c r="AE788" s="28"/>
    </row>
    <row r="789">
      <c r="A789" s="27"/>
      <c r="B789" s="28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28"/>
      <c r="AB789" s="28"/>
      <c r="AC789" s="28"/>
      <c r="AD789" s="28"/>
      <c r="AE789" s="28"/>
    </row>
    <row r="790">
      <c r="A790" s="27"/>
      <c r="B790" s="28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28"/>
      <c r="AB790" s="28"/>
      <c r="AC790" s="28"/>
      <c r="AD790" s="28"/>
      <c r="AE790" s="28"/>
    </row>
    <row r="791">
      <c r="A791" s="27"/>
      <c r="B791" s="28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28"/>
      <c r="AB791" s="28"/>
      <c r="AC791" s="28"/>
      <c r="AD791" s="28"/>
      <c r="AE791" s="28"/>
    </row>
    <row r="792">
      <c r="A792" s="27"/>
      <c r="B792" s="28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28"/>
      <c r="AB792" s="28"/>
      <c r="AC792" s="28"/>
      <c r="AD792" s="28"/>
      <c r="AE792" s="28"/>
    </row>
    <row r="793">
      <c r="A793" s="27"/>
      <c r="B793" s="28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28"/>
      <c r="AB793" s="28"/>
      <c r="AC793" s="28"/>
      <c r="AD793" s="28"/>
      <c r="AE793" s="28"/>
    </row>
    <row r="794">
      <c r="A794" s="27"/>
      <c r="B794" s="28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28"/>
      <c r="AB794" s="28"/>
      <c r="AC794" s="28"/>
      <c r="AD794" s="28"/>
      <c r="AE794" s="28"/>
    </row>
    <row r="795">
      <c r="A795" s="27"/>
      <c r="B795" s="28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28"/>
      <c r="AB795" s="28"/>
      <c r="AC795" s="28"/>
      <c r="AD795" s="28"/>
      <c r="AE795" s="28"/>
    </row>
    <row r="796">
      <c r="A796" s="27"/>
      <c r="B796" s="28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28"/>
      <c r="AB796" s="28"/>
      <c r="AC796" s="28"/>
      <c r="AD796" s="28"/>
      <c r="AE796" s="28"/>
    </row>
    <row r="797">
      <c r="A797" s="27"/>
      <c r="B797" s="28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28"/>
      <c r="AB797" s="28"/>
      <c r="AC797" s="28"/>
      <c r="AD797" s="28"/>
      <c r="AE797" s="28"/>
    </row>
    <row r="798">
      <c r="A798" s="27"/>
      <c r="B798" s="28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28"/>
      <c r="AB798" s="28"/>
      <c r="AC798" s="28"/>
      <c r="AD798" s="28"/>
      <c r="AE798" s="28"/>
    </row>
    <row r="799">
      <c r="A799" s="27"/>
      <c r="B799" s="28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28"/>
      <c r="AB799" s="28"/>
      <c r="AC799" s="28"/>
      <c r="AD799" s="28"/>
      <c r="AE799" s="28"/>
    </row>
    <row r="800">
      <c r="A800" s="27"/>
      <c r="B800" s="28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28"/>
      <c r="AB800" s="28"/>
      <c r="AC800" s="28"/>
      <c r="AD800" s="28"/>
      <c r="AE800" s="28"/>
    </row>
    <row r="801">
      <c r="A801" s="27"/>
      <c r="B801" s="28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28"/>
      <c r="AB801" s="28"/>
      <c r="AC801" s="28"/>
      <c r="AD801" s="28"/>
      <c r="AE801" s="28"/>
    </row>
    <row r="802">
      <c r="A802" s="27"/>
      <c r="B802" s="28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28"/>
      <c r="AB802" s="28"/>
      <c r="AC802" s="28"/>
      <c r="AD802" s="28"/>
      <c r="AE802" s="28"/>
    </row>
    <row r="803">
      <c r="A803" s="27"/>
      <c r="B803" s="28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28"/>
      <c r="AB803" s="28"/>
      <c r="AC803" s="28"/>
      <c r="AD803" s="28"/>
      <c r="AE803" s="28"/>
    </row>
    <row r="804">
      <c r="A804" s="27"/>
      <c r="B804" s="28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28"/>
      <c r="AB804" s="28"/>
      <c r="AC804" s="28"/>
      <c r="AD804" s="28"/>
      <c r="AE804" s="28"/>
    </row>
    <row r="805">
      <c r="A805" s="27"/>
      <c r="B805" s="28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28"/>
      <c r="AB805" s="28"/>
      <c r="AC805" s="28"/>
      <c r="AD805" s="28"/>
      <c r="AE805" s="28"/>
    </row>
    <row r="806">
      <c r="A806" s="27"/>
      <c r="B806" s="28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28"/>
      <c r="AB806" s="28"/>
      <c r="AC806" s="28"/>
      <c r="AD806" s="28"/>
      <c r="AE806" s="28"/>
    </row>
    <row r="807">
      <c r="A807" s="27"/>
      <c r="B807" s="28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28"/>
      <c r="AB807" s="28"/>
      <c r="AC807" s="28"/>
      <c r="AD807" s="28"/>
      <c r="AE807" s="28"/>
    </row>
    <row r="808">
      <c r="A808" s="27"/>
      <c r="B808" s="28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28"/>
      <c r="AB808" s="28"/>
      <c r="AC808" s="28"/>
      <c r="AD808" s="28"/>
      <c r="AE808" s="28"/>
    </row>
    <row r="809">
      <c r="A809" s="27"/>
      <c r="B809" s="28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28"/>
      <c r="AB809" s="28"/>
      <c r="AC809" s="28"/>
      <c r="AD809" s="28"/>
      <c r="AE809" s="28"/>
    </row>
    <row r="810">
      <c r="A810" s="27"/>
      <c r="B810" s="28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28"/>
      <c r="AB810" s="28"/>
      <c r="AC810" s="28"/>
      <c r="AD810" s="28"/>
      <c r="AE810" s="28"/>
    </row>
    <row r="811">
      <c r="A811" s="27"/>
      <c r="B811" s="28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28"/>
      <c r="AB811" s="28"/>
      <c r="AC811" s="28"/>
      <c r="AD811" s="28"/>
      <c r="AE811" s="28"/>
    </row>
    <row r="812">
      <c r="A812" s="27"/>
      <c r="B812" s="28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28"/>
      <c r="AB812" s="28"/>
      <c r="AC812" s="28"/>
      <c r="AD812" s="28"/>
      <c r="AE812" s="28"/>
    </row>
    <row r="813">
      <c r="A813" s="27"/>
      <c r="B813" s="28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28"/>
      <c r="AB813" s="28"/>
      <c r="AC813" s="28"/>
      <c r="AD813" s="28"/>
      <c r="AE813" s="28"/>
    </row>
    <row r="814">
      <c r="A814" s="27"/>
      <c r="B814" s="28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28"/>
      <c r="AB814" s="28"/>
      <c r="AC814" s="28"/>
      <c r="AD814" s="28"/>
      <c r="AE814" s="28"/>
    </row>
    <row r="815">
      <c r="A815" s="27"/>
      <c r="B815" s="28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28"/>
      <c r="AB815" s="28"/>
      <c r="AC815" s="28"/>
      <c r="AD815" s="28"/>
      <c r="AE815" s="28"/>
    </row>
    <row r="816">
      <c r="A816" s="27"/>
      <c r="B816" s="28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28"/>
      <c r="AB816" s="28"/>
      <c r="AC816" s="28"/>
      <c r="AD816" s="28"/>
      <c r="AE816" s="28"/>
    </row>
    <row r="817">
      <c r="A817" s="27"/>
      <c r="B817" s="28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28"/>
      <c r="AB817" s="28"/>
      <c r="AC817" s="28"/>
      <c r="AD817" s="28"/>
      <c r="AE817" s="28"/>
    </row>
    <row r="818">
      <c r="A818" s="27"/>
      <c r="B818" s="28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28"/>
      <c r="AB818" s="28"/>
      <c r="AC818" s="28"/>
      <c r="AD818" s="28"/>
      <c r="AE818" s="28"/>
    </row>
    <row r="819">
      <c r="A819" s="27"/>
      <c r="B819" s="28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28"/>
      <c r="AB819" s="28"/>
      <c r="AC819" s="28"/>
      <c r="AD819" s="28"/>
      <c r="AE819" s="28"/>
    </row>
    <row r="820">
      <c r="A820" s="27"/>
      <c r="B820" s="28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28"/>
      <c r="AB820" s="28"/>
      <c r="AC820" s="28"/>
      <c r="AD820" s="28"/>
      <c r="AE820" s="28"/>
    </row>
    <row r="821">
      <c r="A821" s="27"/>
      <c r="B821" s="28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28"/>
      <c r="AB821" s="28"/>
      <c r="AC821" s="28"/>
      <c r="AD821" s="28"/>
      <c r="AE821" s="28"/>
    </row>
    <row r="822">
      <c r="A822" s="27"/>
      <c r="B822" s="28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28"/>
      <c r="AB822" s="28"/>
      <c r="AC822" s="28"/>
      <c r="AD822" s="28"/>
      <c r="AE822" s="28"/>
    </row>
    <row r="823">
      <c r="A823" s="27"/>
      <c r="B823" s="28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28"/>
      <c r="AB823" s="28"/>
      <c r="AC823" s="28"/>
      <c r="AD823" s="28"/>
      <c r="AE823" s="28"/>
    </row>
    <row r="824">
      <c r="A824" s="27"/>
      <c r="B824" s="28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28"/>
      <c r="AB824" s="28"/>
      <c r="AC824" s="28"/>
      <c r="AD824" s="28"/>
      <c r="AE824" s="28"/>
    </row>
    <row r="825">
      <c r="A825" s="27"/>
      <c r="B825" s="28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28"/>
      <c r="AB825" s="28"/>
      <c r="AC825" s="28"/>
      <c r="AD825" s="28"/>
      <c r="AE825" s="28"/>
    </row>
    <row r="826">
      <c r="A826" s="27"/>
      <c r="B826" s="28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28"/>
      <c r="AB826" s="28"/>
      <c r="AC826" s="28"/>
      <c r="AD826" s="28"/>
      <c r="AE826" s="28"/>
    </row>
    <row r="827">
      <c r="A827" s="27"/>
      <c r="B827" s="28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28"/>
      <c r="AB827" s="28"/>
      <c r="AC827" s="28"/>
      <c r="AD827" s="28"/>
      <c r="AE827" s="28"/>
    </row>
    <row r="828">
      <c r="A828" s="27"/>
      <c r="B828" s="28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28"/>
      <c r="AB828" s="28"/>
      <c r="AC828" s="28"/>
      <c r="AD828" s="28"/>
      <c r="AE828" s="28"/>
    </row>
    <row r="829">
      <c r="A829" s="27"/>
      <c r="B829" s="28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28"/>
      <c r="AB829" s="28"/>
      <c r="AC829" s="28"/>
      <c r="AD829" s="28"/>
      <c r="AE829" s="28"/>
    </row>
    <row r="830">
      <c r="A830" s="27"/>
      <c r="B830" s="28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28"/>
      <c r="AB830" s="28"/>
      <c r="AC830" s="28"/>
      <c r="AD830" s="28"/>
      <c r="AE830" s="28"/>
    </row>
    <row r="831">
      <c r="A831" s="27"/>
      <c r="B831" s="28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28"/>
      <c r="AB831" s="28"/>
      <c r="AC831" s="28"/>
      <c r="AD831" s="28"/>
      <c r="AE831" s="28"/>
    </row>
    <row r="832">
      <c r="A832" s="27"/>
      <c r="B832" s="28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28"/>
      <c r="AB832" s="28"/>
      <c r="AC832" s="28"/>
      <c r="AD832" s="28"/>
      <c r="AE832" s="28"/>
    </row>
    <row r="833">
      <c r="A833" s="27"/>
      <c r="B833" s="28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28"/>
      <c r="AB833" s="28"/>
      <c r="AC833" s="28"/>
      <c r="AD833" s="28"/>
      <c r="AE833" s="28"/>
    </row>
    <row r="834">
      <c r="A834" s="27"/>
      <c r="B834" s="28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28"/>
      <c r="AB834" s="28"/>
      <c r="AC834" s="28"/>
      <c r="AD834" s="28"/>
      <c r="AE834" s="28"/>
    </row>
    <row r="835">
      <c r="A835" s="27"/>
      <c r="B835" s="28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28"/>
      <c r="AB835" s="28"/>
      <c r="AC835" s="28"/>
      <c r="AD835" s="28"/>
      <c r="AE835" s="28"/>
    </row>
    <row r="836">
      <c r="A836" s="27"/>
      <c r="B836" s="28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28"/>
      <c r="AB836" s="28"/>
      <c r="AC836" s="28"/>
      <c r="AD836" s="28"/>
      <c r="AE836" s="28"/>
    </row>
    <row r="837">
      <c r="A837" s="27"/>
      <c r="B837" s="28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28"/>
      <c r="AB837" s="28"/>
      <c r="AC837" s="28"/>
      <c r="AD837" s="28"/>
      <c r="AE837" s="28"/>
    </row>
    <row r="838">
      <c r="A838" s="27"/>
      <c r="B838" s="28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28"/>
      <c r="AB838" s="28"/>
      <c r="AC838" s="28"/>
      <c r="AD838" s="28"/>
      <c r="AE838" s="28"/>
    </row>
    <row r="839">
      <c r="A839" s="27"/>
      <c r="B839" s="28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28"/>
      <c r="AB839" s="28"/>
      <c r="AC839" s="28"/>
      <c r="AD839" s="28"/>
      <c r="AE839" s="28"/>
    </row>
    <row r="840">
      <c r="A840" s="27"/>
      <c r="B840" s="28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28"/>
      <c r="AB840" s="28"/>
      <c r="AC840" s="28"/>
      <c r="AD840" s="28"/>
      <c r="AE840" s="28"/>
    </row>
    <row r="841">
      <c r="A841" s="27"/>
      <c r="B841" s="28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28"/>
      <c r="AB841" s="28"/>
      <c r="AC841" s="28"/>
      <c r="AD841" s="28"/>
      <c r="AE841" s="28"/>
    </row>
    <row r="842">
      <c r="A842" s="27"/>
      <c r="B842" s="28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28"/>
      <c r="AB842" s="28"/>
      <c r="AC842" s="28"/>
      <c r="AD842" s="28"/>
      <c r="AE842" s="28"/>
    </row>
    <row r="843">
      <c r="A843" s="27"/>
      <c r="B843" s="28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28"/>
      <c r="AB843" s="28"/>
      <c r="AC843" s="28"/>
      <c r="AD843" s="28"/>
      <c r="AE843" s="28"/>
    </row>
    <row r="844">
      <c r="A844" s="27"/>
      <c r="B844" s="28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28"/>
      <c r="AB844" s="28"/>
      <c r="AC844" s="28"/>
      <c r="AD844" s="28"/>
      <c r="AE844" s="28"/>
    </row>
    <row r="845">
      <c r="A845" s="27"/>
      <c r="B845" s="28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28"/>
      <c r="AB845" s="28"/>
      <c r="AC845" s="28"/>
      <c r="AD845" s="28"/>
      <c r="AE845" s="28"/>
    </row>
    <row r="846">
      <c r="A846" s="27"/>
      <c r="B846" s="28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28"/>
      <c r="AB846" s="28"/>
      <c r="AC846" s="28"/>
      <c r="AD846" s="28"/>
      <c r="AE846" s="28"/>
    </row>
    <row r="847">
      <c r="A847" s="27"/>
      <c r="B847" s="28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28"/>
      <c r="AB847" s="28"/>
      <c r="AC847" s="28"/>
      <c r="AD847" s="28"/>
      <c r="AE847" s="28"/>
    </row>
    <row r="848">
      <c r="A848" s="27"/>
      <c r="B848" s="28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28"/>
      <c r="AB848" s="28"/>
      <c r="AC848" s="28"/>
      <c r="AD848" s="28"/>
      <c r="AE848" s="28"/>
    </row>
    <row r="849">
      <c r="A849" s="27"/>
      <c r="B849" s="28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28"/>
      <c r="AB849" s="28"/>
      <c r="AC849" s="28"/>
      <c r="AD849" s="28"/>
      <c r="AE849" s="28"/>
    </row>
    <row r="850">
      <c r="A850" s="27"/>
      <c r="B850" s="28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28"/>
      <c r="AB850" s="28"/>
      <c r="AC850" s="28"/>
      <c r="AD850" s="28"/>
      <c r="AE850" s="28"/>
    </row>
    <row r="851">
      <c r="A851" s="27"/>
      <c r="B851" s="28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28"/>
      <c r="AB851" s="28"/>
      <c r="AC851" s="28"/>
      <c r="AD851" s="28"/>
      <c r="AE851" s="28"/>
    </row>
    <row r="852">
      <c r="A852" s="27"/>
      <c r="B852" s="28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28"/>
      <c r="AB852" s="28"/>
      <c r="AC852" s="28"/>
      <c r="AD852" s="28"/>
      <c r="AE852" s="28"/>
    </row>
    <row r="853">
      <c r="A853" s="27"/>
      <c r="B853" s="28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28"/>
      <c r="AB853" s="28"/>
      <c r="AC853" s="28"/>
      <c r="AD853" s="28"/>
      <c r="AE853" s="28"/>
    </row>
    <row r="854">
      <c r="A854" s="27"/>
      <c r="B854" s="28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28"/>
      <c r="AB854" s="28"/>
      <c r="AC854" s="28"/>
      <c r="AD854" s="28"/>
      <c r="AE854" s="28"/>
    </row>
    <row r="855">
      <c r="A855" s="27"/>
      <c r="B855" s="28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28"/>
      <c r="AB855" s="28"/>
      <c r="AC855" s="28"/>
      <c r="AD855" s="28"/>
      <c r="AE855" s="28"/>
    </row>
    <row r="856">
      <c r="A856" s="27"/>
      <c r="B856" s="28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28"/>
      <c r="AB856" s="28"/>
      <c r="AC856" s="28"/>
      <c r="AD856" s="28"/>
      <c r="AE856" s="28"/>
    </row>
    <row r="857">
      <c r="A857" s="27"/>
      <c r="B857" s="28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28"/>
      <c r="AB857" s="28"/>
      <c r="AC857" s="28"/>
      <c r="AD857" s="28"/>
      <c r="AE857" s="28"/>
    </row>
    <row r="858">
      <c r="A858" s="27"/>
      <c r="B858" s="28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28"/>
      <c r="AB858" s="28"/>
      <c r="AC858" s="28"/>
      <c r="AD858" s="28"/>
      <c r="AE858" s="28"/>
    </row>
    <row r="859">
      <c r="A859" s="27"/>
      <c r="B859" s="28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28"/>
      <c r="AB859" s="28"/>
      <c r="AC859" s="28"/>
      <c r="AD859" s="28"/>
      <c r="AE859" s="28"/>
    </row>
    <row r="860">
      <c r="A860" s="27"/>
      <c r="B860" s="28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28"/>
      <c r="AB860" s="28"/>
      <c r="AC860" s="28"/>
      <c r="AD860" s="28"/>
      <c r="AE860" s="28"/>
    </row>
    <row r="861">
      <c r="A861" s="27"/>
      <c r="B861" s="28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28"/>
      <c r="AB861" s="28"/>
      <c r="AC861" s="28"/>
      <c r="AD861" s="28"/>
      <c r="AE861" s="28"/>
    </row>
    <row r="862">
      <c r="A862" s="27"/>
      <c r="B862" s="28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28"/>
      <c r="AB862" s="28"/>
      <c r="AC862" s="28"/>
      <c r="AD862" s="28"/>
      <c r="AE862" s="28"/>
    </row>
    <row r="863">
      <c r="A863" s="27"/>
      <c r="B863" s="28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28"/>
      <c r="AB863" s="28"/>
      <c r="AC863" s="28"/>
      <c r="AD863" s="28"/>
      <c r="AE863" s="28"/>
    </row>
    <row r="864">
      <c r="A864" s="27"/>
      <c r="B864" s="28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28"/>
      <c r="AB864" s="28"/>
      <c r="AC864" s="28"/>
      <c r="AD864" s="28"/>
      <c r="AE864" s="28"/>
    </row>
    <row r="865">
      <c r="A865" s="27"/>
      <c r="B865" s="28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28"/>
      <c r="AB865" s="28"/>
      <c r="AC865" s="28"/>
      <c r="AD865" s="28"/>
      <c r="AE865" s="28"/>
    </row>
    <row r="866">
      <c r="A866" s="27"/>
      <c r="B866" s="28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28"/>
      <c r="AB866" s="28"/>
      <c r="AC866" s="28"/>
      <c r="AD866" s="28"/>
      <c r="AE866" s="28"/>
    </row>
    <row r="867">
      <c r="A867" s="27"/>
      <c r="B867" s="28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28"/>
      <c r="AB867" s="28"/>
      <c r="AC867" s="28"/>
      <c r="AD867" s="28"/>
      <c r="AE867" s="28"/>
    </row>
    <row r="868">
      <c r="A868" s="27"/>
      <c r="B868" s="28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28"/>
      <c r="AB868" s="28"/>
      <c r="AC868" s="28"/>
      <c r="AD868" s="28"/>
      <c r="AE868" s="28"/>
    </row>
    <row r="869">
      <c r="A869" s="27"/>
      <c r="B869" s="28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28"/>
      <c r="AB869" s="28"/>
      <c r="AC869" s="28"/>
      <c r="AD869" s="28"/>
      <c r="AE869" s="28"/>
    </row>
    <row r="870">
      <c r="A870" s="27"/>
      <c r="B870" s="28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28"/>
      <c r="AB870" s="28"/>
      <c r="AC870" s="28"/>
      <c r="AD870" s="28"/>
      <c r="AE870" s="28"/>
    </row>
    <row r="871">
      <c r="A871" s="27"/>
      <c r="B871" s="28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28"/>
      <c r="AB871" s="28"/>
      <c r="AC871" s="28"/>
      <c r="AD871" s="28"/>
      <c r="AE871" s="28"/>
    </row>
    <row r="872">
      <c r="A872" s="27"/>
      <c r="B872" s="28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28"/>
      <c r="AB872" s="28"/>
      <c r="AC872" s="28"/>
      <c r="AD872" s="28"/>
      <c r="AE872" s="28"/>
    </row>
    <row r="873">
      <c r="A873" s="27"/>
      <c r="B873" s="28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28"/>
      <c r="AB873" s="28"/>
      <c r="AC873" s="28"/>
      <c r="AD873" s="28"/>
      <c r="AE873" s="28"/>
    </row>
    <row r="874">
      <c r="A874" s="27"/>
      <c r="B874" s="28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28"/>
      <c r="AB874" s="28"/>
      <c r="AC874" s="28"/>
      <c r="AD874" s="28"/>
      <c r="AE874" s="28"/>
    </row>
    <row r="875">
      <c r="A875" s="27"/>
      <c r="B875" s="28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28"/>
      <c r="AB875" s="28"/>
      <c r="AC875" s="28"/>
      <c r="AD875" s="28"/>
      <c r="AE875" s="28"/>
    </row>
    <row r="876">
      <c r="A876" s="27"/>
      <c r="B876" s="28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28"/>
      <c r="AB876" s="28"/>
      <c r="AC876" s="28"/>
      <c r="AD876" s="28"/>
      <c r="AE876" s="28"/>
    </row>
    <row r="877">
      <c r="A877" s="27"/>
      <c r="B877" s="28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28"/>
      <c r="AB877" s="28"/>
      <c r="AC877" s="28"/>
      <c r="AD877" s="28"/>
      <c r="AE877" s="28"/>
    </row>
    <row r="878">
      <c r="A878" s="27"/>
      <c r="B878" s="28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28"/>
      <c r="AB878" s="28"/>
      <c r="AC878" s="28"/>
      <c r="AD878" s="28"/>
      <c r="AE878" s="28"/>
    </row>
    <row r="879">
      <c r="A879" s="27"/>
      <c r="B879" s="28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28"/>
      <c r="AB879" s="28"/>
      <c r="AC879" s="28"/>
      <c r="AD879" s="28"/>
      <c r="AE879" s="28"/>
    </row>
    <row r="880">
      <c r="A880" s="27"/>
      <c r="B880" s="28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28"/>
      <c r="AB880" s="28"/>
      <c r="AC880" s="28"/>
      <c r="AD880" s="28"/>
      <c r="AE880" s="28"/>
    </row>
    <row r="881">
      <c r="A881" s="27"/>
      <c r="B881" s="28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28"/>
      <c r="AB881" s="28"/>
      <c r="AC881" s="28"/>
      <c r="AD881" s="28"/>
      <c r="AE881" s="28"/>
    </row>
    <row r="882">
      <c r="A882" s="27"/>
      <c r="B882" s="28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28"/>
      <c r="AB882" s="28"/>
      <c r="AC882" s="28"/>
      <c r="AD882" s="28"/>
      <c r="AE882" s="28"/>
    </row>
    <row r="883">
      <c r="A883" s="27"/>
      <c r="B883" s="28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28"/>
      <c r="AB883" s="28"/>
      <c r="AC883" s="28"/>
      <c r="AD883" s="28"/>
      <c r="AE883" s="28"/>
    </row>
    <row r="884">
      <c r="A884" s="27"/>
      <c r="B884" s="28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28"/>
      <c r="AB884" s="28"/>
      <c r="AC884" s="28"/>
      <c r="AD884" s="28"/>
      <c r="AE884" s="28"/>
    </row>
    <row r="885">
      <c r="A885" s="27"/>
      <c r="B885" s="28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28"/>
      <c r="AB885" s="28"/>
      <c r="AC885" s="28"/>
      <c r="AD885" s="28"/>
      <c r="AE885" s="28"/>
    </row>
    <row r="886">
      <c r="A886" s="27"/>
      <c r="B886" s="28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28"/>
      <c r="AB886" s="28"/>
      <c r="AC886" s="28"/>
      <c r="AD886" s="28"/>
      <c r="AE886" s="28"/>
    </row>
    <row r="887">
      <c r="A887" s="27"/>
      <c r="B887" s="28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28"/>
      <c r="AB887" s="28"/>
      <c r="AC887" s="28"/>
      <c r="AD887" s="28"/>
      <c r="AE887" s="28"/>
    </row>
    <row r="888">
      <c r="A888" s="27"/>
      <c r="B888" s="28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28"/>
      <c r="AB888" s="28"/>
      <c r="AC888" s="28"/>
      <c r="AD888" s="28"/>
      <c r="AE888" s="28"/>
    </row>
    <row r="889">
      <c r="A889" s="27"/>
      <c r="B889" s="28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28"/>
      <c r="AB889" s="28"/>
      <c r="AC889" s="28"/>
      <c r="AD889" s="28"/>
      <c r="AE889" s="28"/>
    </row>
    <row r="890">
      <c r="A890" s="27"/>
      <c r="B890" s="28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28"/>
      <c r="AB890" s="28"/>
      <c r="AC890" s="28"/>
      <c r="AD890" s="28"/>
      <c r="AE890" s="28"/>
    </row>
    <row r="891">
      <c r="A891" s="27"/>
      <c r="B891" s="28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28"/>
      <c r="AB891" s="28"/>
      <c r="AC891" s="28"/>
      <c r="AD891" s="28"/>
      <c r="AE891" s="28"/>
    </row>
    <row r="892">
      <c r="A892" s="27"/>
      <c r="B892" s="28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28"/>
      <c r="AB892" s="28"/>
      <c r="AC892" s="28"/>
      <c r="AD892" s="28"/>
      <c r="AE892" s="28"/>
    </row>
    <row r="893">
      <c r="A893" s="27"/>
      <c r="B893" s="28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28"/>
      <c r="AB893" s="28"/>
      <c r="AC893" s="28"/>
      <c r="AD893" s="28"/>
      <c r="AE893" s="28"/>
    </row>
    <row r="894">
      <c r="A894" s="27"/>
      <c r="B894" s="28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28"/>
      <c r="AB894" s="28"/>
      <c r="AC894" s="28"/>
      <c r="AD894" s="28"/>
      <c r="AE894" s="28"/>
    </row>
    <row r="895">
      <c r="A895" s="27"/>
      <c r="B895" s="28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28"/>
      <c r="AB895" s="28"/>
      <c r="AC895" s="28"/>
      <c r="AD895" s="28"/>
      <c r="AE895" s="28"/>
    </row>
    <row r="896">
      <c r="A896" s="27"/>
      <c r="B896" s="28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28"/>
      <c r="AB896" s="28"/>
      <c r="AC896" s="28"/>
      <c r="AD896" s="28"/>
      <c r="AE896" s="28"/>
    </row>
    <row r="897">
      <c r="A897" s="27"/>
      <c r="B897" s="28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28"/>
      <c r="AB897" s="28"/>
      <c r="AC897" s="28"/>
      <c r="AD897" s="28"/>
      <c r="AE897" s="28"/>
    </row>
    <row r="898">
      <c r="A898" s="27"/>
      <c r="B898" s="28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28"/>
      <c r="AB898" s="28"/>
      <c r="AC898" s="28"/>
      <c r="AD898" s="28"/>
      <c r="AE898" s="28"/>
    </row>
    <row r="899">
      <c r="A899" s="27"/>
      <c r="B899" s="28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28"/>
      <c r="AB899" s="28"/>
      <c r="AC899" s="28"/>
      <c r="AD899" s="28"/>
      <c r="AE899" s="28"/>
    </row>
    <row r="900">
      <c r="A900" s="27"/>
      <c r="B900" s="28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28"/>
      <c r="AB900" s="28"/>
      <c r="AC900" s="28"/>
      <c r="AD900" s="28"/>
      <c r="AE900" s="28"/>
    </row>
    <row r="901">
      <c r="A901" s="27"/>
      <c r="B901" s="28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28"/>
      <c r="AB901" s="28"/>
      <c r="AC901" s="28"/>
      <c r="AD901" s="28"/>
      <c r="AE901" s="28"/>
    </row>
    <row r="902">
      <c r="A902" s="27"/>
      <c r="B902" s="28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28"/>
      <c r="AB902" s="28"/>
      <c r="AC902" s="28"/>
      <c r="AD902" s="28"/>
      <c r="AE902" s="28"/>
    </row>
    <row r="903">
      <c r="A903" s="27"/>
      <c r="B903" s="28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28"/>
      <c r="AB903" s="28"/>
      <c r="AC903" s="28"/>
      <c r="AD903" s="28"/>
      <c r="AE903" s="28"/>
    </row>
    <row r="904">
      <c r="A904" s="27"/>
      <c r="B904" s="28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28"/>
      <c r="AB904" s="28"/>
      <c r="AC904" s="28"/>
      <c r="AD904" s="28"/>
      <c r="AE904" s="28"/>
    </row>
    <row r="905">
      <c r="A905" s="27"/>
      <c r="B905" s="28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28"/>
      <c r="AB905" s="28"/>
      <c r="AC905" s="28"/>
      <c r="AD905" s="28"/>
      <c r="AE905" s="28"/>
    </row>
    <row r="906">
      <c r="A906" s="27"/>
      <c r="B906" s="28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28"/>
      <c r="AB906" s="28"/>
      <c r="AC906" s="28"/>
      <c r="AD906" s="28"/>
      <c r="AE906" s="28"/>
    </row>
    <row r="907">
      <c r="A907" s="27"/>
      <c r="B907" s="28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28"/>
      <c r="AB907" s="28"/>
      <c r="AC907" s="28"/>
      <c r="AD907" s="28"/>
      <c r="AE907" s="28"/>
    </row>
    <row r="908">
      <c r="A908" s="27"/>
      <c r="B908" s="28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28"/>
      <c r="AB908" s="28"/>
      <c r="AC908" s="28"/>
      <c r="AD908" s="28"/>
      <c r="AE908" s="28"/>
    </row>
    <row r="909">
      <c r="A909" s="27"/>
      <c r="B909" s="28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28"/>
      <c r="AB909" s="28"/>
      <c r="AC909" s="28"/>
      <c r="AD909" s="28"/>
      <c r="AE909" s="28"/>
    </row>
    <row r="910">
      <c r="A910" s="27"/>
      <c r="B910" s="28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28"/>
      <c r="AB910" s="28"/>
      <c r="AC910" s="28"/>
      <c r="AD910" s="28"/>
      <c r="AE910" s="28"/>
    </row>
    <row r="911">
      <c r="A911" s="27"/>
      <c r="B911" s="28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28"/>
      <c r="AB911" s="28"/>
      <c r="AC911" s="28"/>
      <c r="AD911" s="28"/>
      <c r="AE911" s="28"/>
    </row>
    <row r="912">
      <c r="A912" s="27"/>
      <c r="B912" s="28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28"/>
      <c r="AB912" s="28"/>
      <c r="AC912" s="28"/>
      <c r="AD912" s="28"/>
      <c r="AE912" s="28"/>
    </row>
    <row r="913">
      <c r="A913" s="27"/>
      <c r="B913" s="28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28"/>
      <c r="AB913" s="28"/>
      <c r="AC913" s="28"/>
      <c r="AD913" s="28"/>
      <c r="AE913" s="28"/>
    </row>
    <row r="914">
      <c r="A914" s="27"/>
      <c r="B914" s="28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28"/>
      <c r="AB914" s="28"/>
      <c r="AC914" s="28"/>
      <c r="AD914" s="28"/>
      <c r="AE914" s="28"/>
    </row>
    <row r="915">
      <c r="A915" s="27"/>
      <c r="B915" s="28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28"/>
      <c r="AB915" s="28"/>
      <c r="AC915" s="28"/>
      <c r="AD915" s="28"/>
      <c r="AE915" s="28"/>
    </row>
    <row r="916">
      <c r="A916" s="27"/>
      <c r="B916" s="28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28"/>
      <c r="AB916" s="28"/>
      <c r="AC916" s="28"/>
      <c r="AD916" s="28"/>
      <c r="AE916" s="28"/>
    </row>
    <row r="917">
      <c r="A917" s="27"/>
      <c r="B917" s="28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28"/>
      <c r="AB917" s="28"/>
      <c r="AC917" s="28"/>
      <c r="AD917" s="28"/>
      <c r="AE917" s="28"/>
    </row>
    <row r="918">
      <c r="A918" s="27"/>
      <c r="B918" s="28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28"/>
      <c r="AB918" s="28"/>
      <c r="AC918" s="28"/>
      <c r="AD918" s="28"/>
      <c r="AE918" s="28"/>
    </row>
    <row r="919">
      <c r="A919" s="27"/>
      <c r="B919" s="28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28"/>
      <c r="AB919" s="28"/>
      <c r="AC919" s="28"/>
      <c r="AD919" s="28"/>
      <c r="AE919" s="28"/>
    </row>
    <row r="920">
      <c r="A920" s="27"/>
      <c r="B920" s="28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28"/>
      <c r="AB920" s="28"/>
      <c r="AC920" s="28"/>
      <c r="AD920" s="28"/>
      <c r="AE920" s="28"/>
    </row>
    <row r="921">
      <c r="A921" s="27"/>
      <c r="B921" s="28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28"/>
      <c r="AB921" s="28"/>
      <c r="AC921" s="28"/>
      <c r="AD921" s="28"/>
      <c r="AE921" s="28"/>
    </row>
    <row r="922">
      <c r="A922" s="27"/>
      <c r="B922" s="28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28"/>
      <c r="AB922" s="28"/>
      <c r="AC922" s="28"/>
      <c r="AD922" s="28"/>
      <c r="AE922" s="28"/>
    </row>
    <row r="923">
      <c r="A923" s="27"/>
      <c r="B923" s="28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28"/>
      <c r="AB923" s="28"/>
      <c r="AC923" s="28"/>
      <c r="AD923" s="28"/>
      <c r="AE923" s="28"/>
    </row>
    <row r="924">
      <c r="A924" s="27"/>
      <c r="B924" s="28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28"/>
      <c r="AB924" s="28"/>
      <c r="AC924" s="28"/>
      <c r="AD924" s="28"/>
      <c r="AE924" s="28"/>
    </row>
    <row r="925">
      <c r="A925" s="27"/>
      <c r="B925" s="28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28"/>
      <c r="AB925" s="28"/>
      <c r="AC925" s="28"/>
      <c r="AD925" s="28"/>
      <c r="AE925" s="28"/>
    </row>
    <row r="926">
      <c r="A926" s="27"/>
      <c r="B926" s="28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28"/>
      <c r="AB926" s="28"/>
      <c r="AC926" s="28"/>
      <c r="AD926" s="28"/>
      <c r="AE926" s="28"/>
    </row>
    <row r="927">
      <c r="A927" s="27"/>
      <c r="B927" s="28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28"/>
      <c r="AB927" s="28"/>
      <c r="AC927" s="28"/>
      <c r="AD927" s="28"/>
      <c r="AE927" s="28"/>
    </row>
    <row r="928">
      <c r="A928" s="27"/>
      <c r="B928" s="28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28"/>
      <c r="AB928" s="28"/>
      <c r="AC928" s="28"/>
      <c r="AD928" s="28"/>
      <c r="AE928" s="28"/>
    </row>
    <row r="929">
      <c r="A929" s="27"/>
      <c r="B929" s="28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28"/>
      <c r="AB929" s="28"/>
      <c r="AC929" s="28"/>
      <c r="AD929" s="28"/>
      <c r="AE929" s="28"/>
    </row>
    <row r="930">
      <c r="A930" s="27"/>
      <c r="B930" s="28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28"/>
      <c r="AB930" s="28"/>
      <c r="AC930" s="28"/>
      <c r="AD930" s="28"/>
      <c r="AE930" s="28"/>
    </row>
    <row r="931">
      <c r="A931" s="27"/>
      <c r="B931" s="28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28"/>
      <c r="AB931" s="28"/>
      <c r="AC931" s="28"/>
      <c r="AD931" s="28"/>
      <c r="AE931" s="28"/>
    </row>
    <row r="932">
      <c r="A932" s="27"/>
      <c r="B932" s="28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28"/>
      <c r="AB932" s="28"/>
      <c r="AC932" s="28"/>
      <c r="AD932" s="28"/>
      <c r="AE932" s="28"/>
    </row>
    <row r="933">
      <c r="A933" s="27"/>
      <c r="B933" s="28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28"/>
      <c r="AB933" s="28"/>
      <c r="AC933" s="28"/>
      <c r="AD933" s="28"/>
      <c r="AE933" s="28"/>
    </row>
    <row r="934">
      <c r="A934" s="27"/>
      <c r="B934" s="28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28"/>
      <c r="AB934" s="28"/>
      <c r="AC934" s="28"/>
      <c r="AD934" s="28"/>
      <c r="AE934" s="28"/>
    </row>
    <row r="935">
      <c r="A935" s="27"/>
      <c r="B935" s="28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28"/>
      <c r="AB935" s="28"/>
      <c r="AC935" s="28"/>
      <c r="AD935" s="28"/>
      <c r="AE935" s="28"/>
    </row>
    <row r="936">
      <c r="A936" s="27"/>
      <c r="B936" s="28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28"/>
      <c r="AB936" s="28"/>
      <c r="AC936" s="28"/>
      <c r="AD936" s="28"/>
      <c r="AE936" s="28"/>
    </row>
    <row r="937">
      <c r="A937" s="27"/>
      <c r="B937" s="28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28"/>
      <c r="AB937" s="28"/>
      <c r="AC937" s="28"/>
      <c r="AD937" s="28"/>
      <c r="AE937" s="28"/>
    </row>
    <row r="938">
      <c r="A938" s="27"/>
      <c r="B938" s="28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28"/>
      <c r="AB938" s="28"/>
      <c r="AC938" s="28"/>
      <c r="AD938" s="28"/>
      <c r="AE938" s="28"/>
    </row>
    <row r="939">
      <c r="A939" s="27"/>
      <c r="B939" s="28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28"/>
      <c r="AB939" s="28"/>
      <c r="AC939" s="28"/>
      <c r="AD939" s="28"/>
      <c r="AE939" s="28"/>
    </row>
    <row r="940">
      <c r="A940" s="27"/>
      <c r="B940" s="28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28"/>
      <c r="AB940" s="28"/>
      <c r="AC940" s="28"/>
      <c r="AD940" s="28"/>
      <c r="AE940" s="28"/>
    </row>
    <row r="941">
      <c r="A941" s="27"/>
      <c r="B941" s="28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28"/>
      <c r="AB941" s="28"/>
      <c r="AC941" s="28"/>
      <c r="AD941" s="28"/>
      <c r="AE941" s="28"/>
    </row>
    <row r="942">
      <c r="A942" s="27"/>
      <c r="B942" s="28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28"/>
      <c r="AB942" s="28"/>
      <c r="AC942" s="28"/>
      <c r="AD942" s="28"/>
      <c r="AE942" s="28"/>
    </row>
    <row r="943">
      <c r="A943" s="27"/>
      <c r="B943" s="28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28"/>
      <c r="AB943" s="28"/>
      <c r="AC943" s="28"/>
      <c r="AD943" s="28"/>
      <c r="AE943" s="28"/>
    </row>
    <row r="944">
      <c r="A944" s="27"/>
      <c r="B944" s="28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28"/>
      <c r="AB944" s="28"/>
      <c r="AC944" s="28"/>
      <c r="AD944" s="28"/>
      <c r="AE944" s="28"/>
    </row>
    <row r="945">
      <c r="A945" s="27"/>
      <c r="B945" s="28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28"/>
      <c r="AB945" s="28"/>
      <c r="AC945" s="28"/>
      <c r="AD945" s="28"/>
      <c r="AE945" s="28"/>
    </row>
    <row r="946">
      <c r="A946" s="27"/>
      <c r="B946" s="28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28"/>
      <c r="AB946" s="28"/>
      <c r="AC946" s="28"/>
      <c r="AD946" s="28"/>
      <c r="AE946" s="28"/>
    </row>
    <row r="947">
      <c r="A947" s="27"/>
      <c r="B947" s="28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28"/>
      <c r="AB947" s="28"/>
      <c r="AC947" s="28"/>
      <c r="AD947" s="28"/>
      <c r="AE947" s="28"/>
    </row>
    <row r="948">
      <c r="A948" s="27"/>
      <c r="B948" s="28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28"/>
      <c r="AB948" s="28"/>
      <c r="AC948" s="28"/>
      <c r="AD948" s="28"/>
      <c r="AE948" s="28"/>
    </row>
    <row r="949">
      <c r="A949" s="27"/>
      <c r="B949" s="28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28"/>
      <c r="AB949" s="28"/>
      <c r="AC949" s="28"/>
      <c r="AD949" s="28"/>
      <c r="AE949" s="28"/>
    </row>
    <row r="950">
      <c r="A950" s="27"/>
      <c r="B950" s="28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28"/>
      <c r="AB950" s="28"/>
      <c r="AC950" s="28"/>
      <c r="AD950" s="28"/>
      <c r="AE950" s="28"/>
    </row>
    <row r="951">
      <c r="A951" s="27"/>
      <c r="B951" s="28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28"/>
      <c r="AB951" s="28"/>
      <c r="AC951" s="28"/>
      <c r="AD951" s="28"/>
      <c r="AE951" s="28"/>
    </row>
    <row r="952">
      <c r="A952" s="27"/>
      <c r="B952" s="28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28"/>
      <c r="AB952" s="28"/>
      <c r="AC952" s="28"/>
      <c r="AD952" s="28"/>
      <c r="AE952" s="28"/>
    </row>
    <row r="953">
      <c r="A953" s="27"/>
      <c r="B953" s="28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28"/>
      <c r="AB953" s="28"/>
      <c r="AC953" s="28"/>
      <c r="AD953" s="28"/>
      <c r="AE953" s="28"/>
    </row>
    <row r="954">
      <c r="A954" s="27"/>
      <c r="B954" s="28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28"/>
      <c r="AB954" s="28"/>
      <c r="AC954" s="28"/>
      <c r="AD954" s="28"/>
      <c r="AE954" s="28"/>
    </row>
    <row r="955">
      <c r="A955" s="27"/>
      <c r="B955" s="28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28"/>
      <c r="AB955" s="28"/>
      <c r="AC955" s="28"/>
      <c r="AD955" s="28"/>
      <c r="AE955" s="28"/>
    </row>
    <row r="956">
      <c r="A956" s="27"/>
      <c r="B956" s="28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28"/>
      <c r="AB956" s="28"/>
      <c r="AC956" s="28"/>
      <c r="AD956" s="28"/>
      <c r="AE956" s="28"/>
    </row>
    <row r="957">
      <c r="A957" s="27"/>
      <c r="B957" s="28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28"/>
      <c r="AB957" s="28"/>
      <c r="AC957" s="28"/>
      <c r="AD957" s="28"/>
      <c r="AE957" s="28"/>
    </row>
    <row r="958">
      <c r="A958" s="27"/>
      <c r="B958" s="28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28"/>
      <c r="AB958" s="28"/>
      <c r="AC958" s="28"/>
      <c r="AD958" s="28"/>
      <c r="AE958" s="28"/>
    </row>
    <row r="959">
      <c r="A959" s="27"/>
      <c r="B959" s="28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28"/>
      <c r="AB959" s="28"/>
      <c r="AC959" s="28"/>
      <c r="AD959" s="28"/>
      <c r="AE959" s="28"/>
    </row>
    <row r="960">
      <c r="A960" s="27"/>
      <c r="B960" s="28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28"/>
      <c r="AB960" s="28"/>
      <c r="AC960" s="28"/>
      <c r="AD960" s="28"/>
      <c r="AE960" s="28"/>
    </row>
    <row r="961">
      <c r="A961" s="27"/>
      <c r="B961" s="28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28"/>
      <c r="AB961" s="28"/>
      <c r="AC961" s="28"/>
      <c r="AD961" s="28"/>
      <c r="AE961" s="28"/>
    </row>
    <row r="962">
      <c r="A962" s="27"/>
      <c r="B962" s="28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28"/>
      <c r="AB962" s="28"/>
      <c r="AC962" s="28"/>
      <c r="AD962" s="28"/>
      <c r="AE962" s="28"/>
    </row>
    <row r="963">
      <c r="A963" s="27"/>
      <c r="B963" s="28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28"/>
      <c r="AB963" s="28"/>
      <c r="AC963" s="28"/>
      <c r="AD963" s="28"/>
      <c r="AE963" s="28"/>
    </row>
    <row r="964">
      <c r="A964" s="27"/>
      <c r="B964" s="28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28"/>
      <c r="AB964" s="28"/>
      <c r="AC964" s="28"/>
      <c r="AD964" s="28"/>
      <c r="AE964" s="28"/>
    </row>
    <row r="965">
      <c r="A965" s="27"/>
      <c r="B965" s="28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28"/>
      <c r="AB965" s="28"/>
      <c r="AC965" s="28"/>
      <c r="AD965" s="28"/>
      <c r="AE965" s="28"/>
    </row>
    <row r="966">
      <c r="A966" s="27"/>
      <c r="B966" s="28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28"/>
      <c r="AB966" s="28"/>
      <c r="AC966" s="28"/>
      <c r="AD966" s="28"/>
      <c r="AE966" s="28"/>
    </row>
    <row r="967">
      <c r="A967" s="27"/>
      <c r="B967" s="28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28"/>
      <c r="AB967" s="28"/>
      <c r="AC967" s="28"/>
      <c r="AD967" s="28"/>
      <c r="AE967" s="28"/>
    </row>
    <row r="968">
      <c r="A968" s="27"/>
      <c r="B968" s="28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28"/>
      <c r="AB968" s="28"/>
      <c r="AC968" s="28"/>
      <c r="AD968" s="28"/>
      <c r="AE968" s="28"/>
    </row>
    <row r="969">
      <c r="A969" s="27"/>
      <c r="B969" s="28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28"/>
      <c r="AB969" s="28"/>
      <c r="AC969" s="28"/>
      <c r="AD969" s="28"/>
      <c r="AE969" s="28"/>
    </row>
    <row r="970">
      <c r="A970" s="27"/>
      <c r="B970" s="28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28"/>
      <c r="AB970" s="28"/>
      <c r="AC970" s="28"/>
      <c r="AD970" s="28"/>
      <c r="AE970" s="28"/>
    </row>
    <row r="971">
      <c r="A971" s="27"/>
      <c r="B971" s="28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28"/>
      <c r="AB971" s="28"/>
      <c r="AC971" s="28"/>
      <c r="AD971" s="28"/>
      <c r="AE971" s="28"/>
    </row>
    <row r="972">
      <c r="A972" s="27"/>
      <c r="B972" s="28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28"/>
      <c r="AB972" s="28"/>
      <c r="AC972" s="28"/>
      <c r="AD972" s="28"/>
      <c r="AE972" s="28"/>
    </row>
    <row r="973">
      <c r="A973" s="27"/>
      <c r="B973" s="28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28"/>
      <c r="AB973" s="28"/>
      <c r="AC973" s="28"/>
      <c r="AD973" s="28"/>
      <c r="AE973" s="28"/>
    </row>
    <row r="974">
      <c r="A974" s="27"/>
      <c r="B974" s="28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28"/>
      <c r="AB974" s="28"/>
      <c r="AC974" s="28"/>
      <c r="AD974" s="28"/>
      <c r="AE974" s="28"/>
    </row>
    <row r="975">
      <c r="A975" s="27"/>
      <c r="B975" s="28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28"/>
      <c r="AB975" s="28"/>
      <c r="AC975" s="28"/>
      <c r="AD975" s="28"/>
      <c r="AE975" s="28"/>
    </row>
    <row r="976">
      <c r="A976" s="27"/>
      <c r="B976" s="28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28"/>
      <c r="AB976" s="28"/>
      <c r="AC976" s="28"/>
      <c r="AD976" s="28"/>
      <c r="AE976" s="28"/>
    </row>
    <row r="977">
      <c r="A977" s="27"/>
      <c r="B977" s="28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28"/>
      <c r="AB977" s="28"/>
      <c r="AC977" s="28"/>
      <c r="AD977" s="28"/>
      <c r="AE977" s="28"/>
    </row>
    <row r="978">
      <c r="A978" s="27"/>
      <c r="B978" s="28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28"/>
      <c r="AB978" s="28"/>
      <c r="AC978" s="28"/>
      <c r="AD978" s="28"/>
      <c r="AE978" s="28"/>
    </row>
    <row r="979">
      <c r="A979" s="27"/>
      <c r="B979" s="28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28"/>
      <c r="AB979" s="28"/>
      <c r="AC979" s="28"/>
      <c r="AD979" s="28"/>
      <c r="AE979" s="28"/>
    </row>
    <row r="980">
      <c r="A980" s="27"/>
      <c r="B980" s="28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28"/>
      <c r="AB980" s="28"/>
      <c r="AC980" s="28"/>
      <c r="AD980" s="28"/>
      <c r="AE980" s="28"/>
    </row>
    <row r="981">
      <c r="A981" s="27"/>
      <c r="B981" s="28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28"/>
      <c r="AB981" s="28"/>
      <c r="AC981" s="28"/>
      <c r="AD981" s="28"/>
      <c r="AE981" s="28"/>
    </row>
    <row r="982">
      <c r="A982" s="27"/>
      <c r="B982" s="28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28"/>
      <c r="AB982" s="28"/>
      <c r="AC982" s="28"/>
      <c r="AD982" s="28"/>
      <c r="AE982" s="28"/>
    </row>
    <row r="983">
      <c r="A983" s="27"/>
      <c r="B983" s="28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28"/>
      <c r="AB983" s="28"/>
      <c r="AC983" s="28"/>
      <c r="AD983" s="28"/>
      <c r="AE983" s="28"/>
    </row>
    <row r="984">
      <c r="A984" s="27"/>
      <c r="B984" s="28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28"/>
      <c r="AB984" s="28"/>
      <c r="AC984" s="28"/>
      <c r="AD984" s="28"/>
      <c r="AE984" s="28"/>
    </row>
    <row r="985">
      <c r="A985" s="27"/>
      <c r="B985" s="28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28"/>
      <c r="AB985" s="28"/>
      <c r="AC985" s="28"/>
      <c r="AD985" s="28"/>
      <c r="AE985" s="28"/>
    </row>
    <row r="986">
      <c r="A986" s="27"/>
      <c r="B986" s="28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28"/>
      <c r="AB986" s="28"/>
      <c r="AC986" s="28"/>
      <c r="AD986" s="28"/>
      <c r="AE986" s="28"/>
    </row>
    <row r="987">
      <c r="A987" s="27"/>
      <c r="B987" s="28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28"/>
      <c r="AB987" s="28"/>
      <c r="AC987" s="28"/>
      <c r="AD987" s="28"/>
      <c r="AE987" s="28"/>
    </row>
    <row r="988">
      <c r="A988" s="27"/>
      <c r="B988" s="28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28"/>
      <c r="AB988" s="28"/>
      <c r="AC988" s="28"/>
      <c r="AD988" s="28"/>
      <c r="AE988" s="28"/>
    </row>
    <row r="989">
      <c r="A989" s="27"/>
      <c r="B989" s="28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28"/>
      <c r="AB989" s="28"/>
      <c r="AC989" s="28"/>
      <c r="AD989" s="28"/>
      <c r="AE989" s="28"/>
    </row>
    <row r="990">
      <c r="A990" s="27"/>
      <c r="B990" s="28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28"/>
      <c r="AB990" s="28"/>
      <c r="AC990" s="28"/>
      <c r="AD990" s="28"/>
      <c r="AE990" s="28"/>
    </row>
    <row r="991">
      <c r="A991" s="27"/>
      <c r="B991" s="28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28"/>
      <c r="AB991" s="28"/>
      <c r="AC991" s="28"/>
      <c r="AD991" s="28"/>
      <c r="AE991" s="28"/>
    </row>
    <row r="992">
      <c r="A992" s="27"/>
      <c r="B992" s="28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28"/>
      <c r="AB992" s="28"/>
      <c r="AC992" s="28"/>
      <c r="AD992" s="28"/>
      <c r="AE992" s="28"/>
    </row>
    <row r="993">
      <c r="A993" s="27"/>
      <c r="B993" s="28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28"/>
      <c r="AB993" s="28"/>
      <c r="AC993" s="28"/>
      <c r="AD993" s="28"/>
      <c r="AE993" s="28"/>
    </row>
    <row r="994">
      <c r="A994" s="27"/>
      <c r="B994" s="28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28"/>
      <c r="AB994" s="28"/>
      <c r="AC994" s="28"/>
      <c r="AD994" s="28"/>
      <c r="AE994" s="28"/>
    </row>
    <row r="995">
      <c r="A995" s="27"/>
      <c r="B995" s="28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28"/>
      <c r="AB995" s="28"/>
      <c r="AC995" s="28"/>
      <c r="AD995" s="28"/>
      <c r="AE995" s="28"/>
    </row>
    <row r="996">
      <c r="A996" s="27"/>
      <c r="B996" s="28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28"/>
      <c r="AB996" s="28"/>
      <c r="AC996" s="28"/>
      <c r="AD996" s="28"/>
      <c r="AE996" s="28"/>
    </row>
    <row r="997">
      <c r="A997" s="27"/>
      <c r="B997" s="28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28"/>
      <c r="AB997" s="28"/>
      <c r="AC997" s="28"/>
      <c r="AD997" s="28"/>
      <c r="AE997" s="28"/>
    </row>
    <row r="998">
      <c r="A998" s="27"/>
      <c r="B998" s="28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28"/>
      <c r="AB998" s="28"/>
      <c r="AC998" s="28"/>
      <c r="AD998" s="28"/>
      <c r="AE998" s="28"/>
    </row>
    <row r="999">
      <c r="A999" s="27"/>
      <c r="B999" s="28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28"/>
      <c r="AB999" s="28"/>
      <c r="AC999" s="28"/>
      <c r="AD999" s="28"/>
      <c r="AE999" s="28"/>
    </row>
    <row r="1000">
      <c r="A1000" s="27"/>
      <c r="B1000" s="28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28"/>
      <c r="AB1000" s="28"/>
      <c r="AC1000" s="28"/>
      <c r="AD1000" s="28"/>
      <c r="AE1000" s="28"/>
    </row>
    <row r="1001">
      <c r="A1001" s="27"/>
      <c r="B1001" s="28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28"/>
      <c r="AB1001" s="28"/>
      <c r="AC1001" s="28"/>
      <c r="AD1001" s="28"/>
      <c r="AE1001" s="28"/>
    </row>
    <row r="1002">
      <c r="A1002" s="27"/>
      <c r="B1002" s="28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28"/>
      <c r="AB1002" s="28"/>
      <c r="AC1002" s="28"/>
      <c r="AD1002" s="28"/>
      <c r="AE1002" s="28"/>
    </row>
    <row r="1003">
      <c r="A1003" s="27"/>
      <c r="B1003" s="28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28"/>
      <c r="AB1003" s="28"/>
      <c r="AC1003" s="28"/>
      <c r="AD1003" s="28"/>
      <c r="AE1003" s="28"/>
    </row>
    <row r="1004">
      <c r="A1004" s="27"/>
      <c r="B1004" s="28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28"/>
      <c r="AB1004" s="28"/>
      <c r="AC1004" s="28"/>
      <c r="AD1004" s="28"/>
      <c r="AE1004" s="28"/>
    </row>
    <row r="1005">
      <c r="A1005" s="27"/>
      <c r="B1005" s="28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28"/>
      <c r="AB1005" s="28"/>
      <c r="AC1005" s="28"/>
      <c r="AD1005" s="28"/>
      <c r="AE1005" s="28"/>
    </row>
    <row r="1006">
      <c r="A1006" s="27"/>
      <c r="B1006" s="28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28"/>
      <c r="AB1006" s="28"/>
      <c r="AC1006" s="28"/>
      <c r="AD1006" s="28"/>
      <c r="AE1006" s="28"/>
    </row>
    <row r="1007">
      <c r="A1007" s="27"/>
      <c r="B1007" s="28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28"/>
      <c r="AB1007" s="28"/>
      <c r="AC1007" s="28"/>
      <c r="AD1007" s="28"/>
      <c r="AE1007" s="28"/>
    </row>
    <row r="1008">
      <c r="A1008" s="27"/>
      <c r="B1008" s="28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28"/>
      <c r="AB1008" s="28"/>
      <c r="AC1008" s="28"/>
      <c r="AD1008" s="28"/>
      <c r="AE1008" s="28"/>
    </row>
    <row r="1009">
      <c r="A1009" s="27"/>
      <c r="B1009" s="28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28"/>
      <c r="AB1009" s="28"/>
      <c r="AC1009" s="28"/>
      <c r="AD1009" s="28"/>
      <c r="AE1009" s="28"/>
    </row>
    <row r="1010">
      <c r="A1010" s="27"/>
      <c r="B1010" s="28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28"/>
      <c r="AB1010" s="28"/>
      <c r="AC1010" s="28"/>
      <c r="AD1010" s="28"/>
      <c r="AE1010" s="28"/>
    </row>
    <row r="1011">
      <c r="A1011" s="27"/>
      <c r="B1011" s="28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28"/>
      <c r="AB1011" s="28"/>
      <c r="AC1011" s="28"/>
      <c r="AD1011" s="28"/>
      <c r="AE1011" s="28"/>
    </row>
    <row r="1012">
      <c r="A1012" s="27"/>
      <c r="B1012" s="28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28"/>
      <c r="AB1012" s="28"/>
      <c r="AC1012" s="28"/>
      <c r="AD1012" s="28"/>
      <c r="AE1012" s="28"/>
    </row>
    <row r="1013">
      <c r="A1013" s="27"/>
      <c r="B1013" s="28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28"/>
      <c r="AB1013" s="28"/>
      <c r="AC1013" s="28"/>
      <c r="AD1013" s="28"/>
      <c r="AE1013" s="28"/>
    </row>
    <row r="1014">
      <c r="A1014" s="27"/>
      <c r="B1014" s="28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28"/>
      <c r="AB1014" s="28"/>
      <c r="AC1014" s="28"/>
      <c r="AD1014" s="28"/>
      <c r="AE1014" s="28"/>
    </row>
    <row r="1015">
      <c r="A1015" s="27"/>
      <c r="B1015" s="28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28"/>
      <c r="AB1015" s="28"/>
      <c r="AC1015" s="28"/>
      <c r="AD1015" s="28"/>
      <c r="AE1015" s="28"/>
    </row>
    <row r="1016">
      <c r="A1016" s="27"/>
      <c r="B1016" s="28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28"/>
      <c r="AB1016" s="28"/>
      <c r="AC1016" s="28"/>
      <c r="AD1016" s="28"/>
      <c r="AE1016" s="28"/>
    </row>
    <row r="1017">
      <c r="A1017" s="27"/>
      <c r="B1017" s="28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28"/>
      <c r="AB1017" s="28"/>
      <c r="AC1017" s="28"/>
      <c r="AD1017" s="28"/>
      <c r="AE1017" s="28"/>
    </row>
    <row r="1018">
      <c r="A1018" s="27"/>
      <c r="B1018" s="28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28"/>
      <c r="AB1018" s="28"/>
      <c r="AC1018" s="28"/>
      <c r="AD1018" s="28"/>
      <c r="AE1018" s="28"/>
    </row>
    <row r="1019">
      <c r="A1019" s="27"/>
      <c r="B1019" s="28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28"/>
      <c r="AB1019" s="28"/>
      <c r="AC1019" s="28"/>
      <c r="AD1019" s="28"/>
      <c r="AE1019" s="28"/>
    </row>
    <row r="1020">
      <c r="A1020" s="27"/>
      <c r="B1020" s="28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28"/>
      <c r="AB1020" s="28"/>
      <c r="AC1020" s="28"/>
      <c r="AD1020" s="28"/>
      <c r="AE1020" s="28"/>
    </row>
    <row r="1021">
      <c r="A1021" s="27"/>
      <c r="B1021" s="28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28"/>
      <c r="AB1021" s="28"/>
      <c r="AC1021" s="28"/>
      <c r="AD1021" s="28"/>
      <c r="AE1021" s="28"/>
    </row>
    <row r="1022">
      <c r="A1022" s="27"/>
      <c r="B1022" s="28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28"/>
      <c r="AB1022" s="28"/>
      <c r="AC1022" s="28"/>
      <c r="AD1022" s="28"/>
      <c r="AE1022" s="28"/>
    </row>
    <row r="1023">
      <c r="A1023" s="27"/>
      <c r="B1023" s="28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3" t="s">
        <v>176</v>
      </c>
      <c r="H1" s="26" t="s">
        <v>177</v>
      </c>
      <c r="I1" s="26" t="s">
        <v>178</v>
      </c>
      <c r="J1" s="26" t="s">
        <v>179</v>
      </c>
      <c r="K1" s="33" t="s">
        <v>180</v>
      </c>
      <c r="L1" s="33" t="s">
        <v>181</v>
      </c>
      <c r="M1" s="33" t="s">
        <v>182</v>
      </c>
      <c r="N1" s="34" t="s">
        <v>183</v>
      </c>
      <c r="O1" s="34" t="s">
        <v>184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5" t="s">
        <v>185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7">
        <v>1.0</v>
      </c>
      <c r="O2" s="34" t="str">
        <f>JOIN("/", README!$B$33, "G_BGM_TitleScene")</f>
        <v>Sounds/Global/G_BGM_TitleScene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5" t="s">
        <v>186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</v>
      </c>
      <c r="L3" s="14">
        <f>IF($A3="", -1, ($B3*README!$B$2)+($C3*README!$B$3)+($D3*README!$B$4)+($E3*README!$B$5)+($F3*README!$B$6)-1)</f>
        <v>99</v>
      </c>
      <c r="M3" s="14">
        <f>IF($A3="", -1, ($B3*README!$B$2)+($C3*README!$B$3)+($D3*README!$B$4)+($E3*README!$B$5)+($F3*README!$B$6)+1)</f>
        <v>101</v>
      </c>
      <c r="N3" s="37">
        <v>1.0</v>
      </c>
      <c r="O3" s="34" t="str">
        <f>JOIN("/", README!$B$33, "G_BGM_MainScene")</f>
        <v>Sounds/Global/G_BGM_MainScene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5" t="s">
        <v>187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200</v>
      </c>
      <c r="L4" s="14">
        <f>IF($A4="", -1, ($B4*README!$B$2)+($C4*README!$B$3)+($D4*README!$B$4)+($E4*README!$B$5)+($F4*README!$B$6)-1)</f>
        <v>199</v>
      </c>
      <c r="M4" s="14">
        <f>IF($A4="", -1, ($B4*README!$B$2)+($C4*README!$B$3)+($D4*README!$B$4)+($E4*README!$B$5)+($F4*README!$B$6)+1)</f>
        <v>201</v>
      </c>
      <c r="N4" s="37">
        <v>1.0</v>
      </c>
      <c r="O4" s="34" t="str">
        <f>JOIN("/", README!$B$33, "G_BGM_GameScene")</f>
        <v>Sounds/Global/G_BGM_GameScene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14"/>
      <c r="L5" s="14"/>
      <c r="M5" s="14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5" t="s">
        <v>188</v>
      </c>
      <c r="B6" s="15">
        <v>0.0</v>
      </c>
      <c r="C6" s="15">
        <v>0.0</v>
      </c>
      <c r="D6" s="15">
        <v>1.0</v>
      </c>
      <c r="E6" s="15">
        <v>0.0</v>
      </c>
      <c r="F6" s="15">
        <v>0.0</v>
      </c>
      <c r="G6" s="36">
        <v>0.0</v>
      </c>
      <c r="H6" s="14">
        <v>0.0</v>
      </c>
      <c r="I6" s="26"/>
      <c r="J6" s="26"/>
      <c r="K6" s="14">
        <f>IF($A6="", -1, ($B6*README!$B$2)+($C6*README!$B$3)+($D6*README!$B$4)+($E6*README!$B$5)+($F6*README!$B$6))</f>
        <v>100000</v>
      </c>
      <c r="L6" s="14">
        <f>IF($A6="", -1, ($B6*README!$B$2)+($C6*README!$B$3)+($D6*README!$B$4)+($E6*README!$B$5)+($F6*README!$B$6)-1)</f>
        <v>99999</v>
      </c>
      <c r="M6" s="14">
        <f>IF($A6="", -1, ($B6*README!$B$2)+($C6*README!$B$3)+($D6*README!$B$4)+($E6*README!$B$5)+($F6*README!$B$6)+1)</f>
        <v>100001</v>
      </c>
      <c r="N6" s="37">
        <v>1.0</v>
      </c>
      <c r="O6" s="34" t="str">
        <f>JOIN("/", README!$B$33, "G_SFX_TouchBegin")</f>
        <v>Sounds/Global/G_SFX_TouchBegin</v>
      </c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5" t="s">
        <v>189</v>
      </c>
      <c r="B7" s="15">
        <v>0.0</v>
      </c>
      <c r="C7" s="15">
        <v>0.0</v>
      </c>
      <c r="D7" s="15">
        <v>1.0</v>
      </c>
      <c r="E7" s="15">
        <v>1.0</v>
      </c>
      <c r="F7" s="15">
        <v>0.0</v>
      </c>
      <c r="G7" s="36">
        <v>0.0</v>
      </c>
      <c r="H7" s="14">
        <v>0.0</v>
      </c>
      <c r="I7" s="26"/>
      <c r="J7" s="26"/>
      <c r="K7" s="14">
        <f>IF($A7="", -1, ($B7*README!$B$2)+($C7*README!$B$3)+($D7*README!$B$4)+($E7*README!$B$5)+($F7*README!$B$6))</f>
        <v>100100</v>
      </c>
      <c r="L7" s="14">
        <f>IF($A7="", -1, ($B7*README!$B$2)+($C7*README!$B$3)+($D7*README!$B$4)+($E7*README!$B$5)+($F7*README!$B$6)-1)</f>
        <v>100099</v>
      </c>
      <c r="M7" s="14">
        <f>IF($A7="", -1, ($B7*README!$B$2)+($C7*README!$B$3)+($D7*README!$B$4)+($E7*README!$B$5)+($F7*README!$B$6)+1)</f>
        <v>100101</v>
      </c>
      <c r="N7" s="37">
        <v>1.0</v>
      </c>
      <c r="O7" s="34" t="str">
        <f>JOIN("/", README!$B$33, "G_SFX_TouchEnd")</f>
        <v>Sounds/Global/G_SFX_TouchEnd</v>
      </c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14"/>
      <c r="L8" s="14"/>
      <c r="M8" s="14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5" t="s">
        <v>190</v>
      </c>
      <c r="B9" s="15">
        <v>0.0</v>
      </c>
      <c r="C9" s="15">
        <v>0.0</v>
      </c>
      <c r="D9" s="15">
        <v>2.0</v>
      </c>
      <c r="E9" s="15">
        <v>0.0</v>
      </c>
      <c r="F9" s="15">
        <v>0.0</v>
      </c>
      <c r="G9" s="36">
        <v>0.0</v>
      </c>
      <c r="H9" s="14">
        <v>0.0</v>
      </c>
      <c r="I9" s="26"/>
      <c r="J9" s="26"/>
      <c r="K9" s="14">
        <f>IF($A9="", -1, ($B9*README!$B$2)+($C9*README!$B$3)+($D9*README!$B$4)+($E9*README!$B$5)+($F9*README!$B$6))</f>
        <v>200000</v>
      </c>
      <c r="L9" s="14">
        <f>IF($A9="", -1, ($B9*README!$B$2)+($C9*README!$B$3)+($D9*README!$B$4)+($E9*README!$B$5)+($F9*README!$B$6)-1)</f>
        <v>199999</v>
      </c>
      <c r="M9" s="14">
        <f>IF($A9="", -1, ($B9*README!$B$2)+($C9*README!$B$3)+($D9*README!$B$4)+($E9*README!$B$5)+($F9*README!$B$6)+1)</f>
        <v>200001</v>
      </c>
      <c r="N9" s="37">
        <v>1.0</v>
      </c>
      <c r="O9" s="34" t="str">
        <f>JOIN("/", README!$B$33, "G_SFX_PopupShow")</f>
        <v>Sounds/Global/G_SFX_PopupShow</v>
      </c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5" t="s">
        <v>191</v>
      </c>
      <c r="B10" s="15">
        <v>0.0</v>
      </c>
      <c r="C10" s="15">
        <v>0.0</v>
      </c>
      <c r="D10" s="15">
        <v>2.0</v>
      </c>
      <c r="E10" s="15">
        <v>1.0</v>
      </c>
      <c r="F10" s="15">
        <v>0.0</v>
      </c>
      <c r="G10" s="36">
        <v>0.0</v>
      </c>
      <c r="H10" s="14">
        <v>0.0</v>
      </c>
      <c r="I10" s="26"/>
      <c r="J10" s="26"/>
      <c r="K10" s="14">
        <f>IF($A10="", -1, ($B10*README!$B$2)+($C10*README!$B$3)+($D10*README!$B$4)+($E10*README!$B$5)+($F10*README!$B$6))</f>
        <v>200100</v>
      </c>
      <c r="L10" s="14">
        <f>IF($A10="", -1, ($B10*README!$B$2)+($C10*README!$B$3)+($D10*README!$B$4)+($E10*README!$B$5)+($F10*README!$B$6)-1)</f>
        <v>200099</v>
      </c>
      <c r="M10" s="14">
        <f>IF($A10="", -1, ($B10*README!$B$2)+($C10*README!$B$3)+($D10*README!$B$4)+($E10*README!$B$5)+($F10*README!$B$6)+1)</f>
        <v>200101</v>
      </c>
      <c r="N10" s="37">
        <v>1.0</v>
      </c>
      <c r="O10" s="34" t="str">
        <f>JOIN("/", README!$B$33, "G_SFX_PopupClose")</f>
        <v>Sounds/Global/G_SFX_PopupClose</v>
      </c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6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6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6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6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6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6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6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6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6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6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6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6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6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6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6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6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6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6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6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6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6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6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6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6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6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6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6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6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6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6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6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6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6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6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6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6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6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6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6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6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6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6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6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6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6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6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6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6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6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6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6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6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6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6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6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6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6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6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6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6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6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6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6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6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6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6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6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6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6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6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6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6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6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6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6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6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6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6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6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6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6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6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6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6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6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6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6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6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6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6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6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6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6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6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6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6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6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6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6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6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6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6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6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6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6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6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6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6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6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6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6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6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6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6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6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6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6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6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6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6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6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6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6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6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6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6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6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6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6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6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6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6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6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6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6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6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6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6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6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6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6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6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6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6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6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6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6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6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6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6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6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6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6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6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6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6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6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6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6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6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6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6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6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6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6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6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6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6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6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6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6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6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6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6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6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6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6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6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6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6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6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6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6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6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6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6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6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6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6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6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6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6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6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6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6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6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6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6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6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6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6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6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6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6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6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6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6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6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6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6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34"/>
      <c r="B221" s="15"/>
      <c r="C221" s="15"/>
      <c r="D221" s="15"/>
      <c r="E221" s="15"/>
      <c r="F221" s="15"/>
      <c r="G221" s="36"/>
      <c r="H221" s="14"/>
      <c r="I221" s="26"/>
      <c r="J221" s="26"/>
      <c r="K221" s="36"/>
      <c r="L221" s="36"/>
      <c r="M221" s="36"/>
      <c r="N221" s="37"/>
      <c r="O221" s="34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0"/>
    </row>
    <row r="222">
      <c r="A222" s="34"/>
      <c r="B222" s="15"/>
      <c r="C222" s="15"/>
      <c r="D222" s="15"/>
      <c r="E222" s="15"/>
      <c r="F222" s="15"/>
      <c r="G222" s="36"/>
      <c r="H222" s="14"/>
      <c r="I222" s="26"/>
      <c r="J222" s="26"/>
      <c r="K222" s="36"/>
      <c r="L222" s="36"/>
      <c r="M222" s="36"/>
      <c r="N222" s="37"/>
      <c r="O222" s="34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0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7"/>
      <c r="J1001" s="27"/>
      <c r="K1001" s="28"/>
      <c r="L1001" s="28"/>
      <c r="M1001" s="28"/>
      <c r="N1001" s="28"/>
      <c r="O1001" s="27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7"/>
      <c r="J1002" s="27"/>
      <c r="K1002" s="28"/>
      <c r="L1002" s="28"/>
      <c r="M1002" s="28"/>
      <c r="N1002" s="28"/>
      <c r="O1002" s="27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3" t="s">
        <v>176</v>
      </c>
      <c r="H1" s="26" t="s">
        <v>177</v>
      </c>
      <c r="I1" s="26" t="s">
        <v>178</v>
      </c>
      <c r="J1" s="26" t="s">
        <v>179</v>
      </c>
      <c r="K1" s="33" t="s">
        <v>180</v>
      </c>
      <c r="L1" s="33" t="s">
        <v>181</v>
      </c>
      <c r="M1" s="33" t="s">
        <v>182</v>
      </c>
      <c r="N1" s="34" t="s">
        <v>183</v>
      </c>
      <c r="O1" s="34" t="s">
        <v>184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5" t="s">
        <v>192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7">
        <v>0.0</v>
      </c>
      <c r="O2" s="34" t="str">
        <f>JOIN("/", README!$B$36, "G_KoreanFont")</f>
        <v>Fonts/Global/G_KoreanFont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5" t="s">
        <v>193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100000100</v>
      </c>
      <c r="L3" s="14">
        <f>IF($A3="", -1, ($B3*README!$B$2)+($C3*README!$B$3)+($D3*README!$B$4)+($E3*README!$B$5)+($F3*README!$B$6)-1)</f>
        <v>100000099</v>
      </c>
      <c r="M3" s="14">
        <f>IF($A3="", -1, ($B3*README!$B$2)+($C3*README!$B$3)+($D3*README!$B$4)+($E3*README!$B$5)+($F3*README!$B$6)+1)</f>
        <v>100000101</v>
      </c>
      <c r="N3" s="37">
        <v>0.0</v>
      </c>
      <c r="O3" s="34" t="str">
        <f>JOIN("/", README!$B$36, "G_EnglishFont")</f>
        <v>Fonts/Global/G_EnglishFont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/>
      <c r="B4" s="15"/>
      <c r="C4" s="15"/>
      <c r="D4" s="15"/>
      <c r="E4" s="15"/>
      <c r="F4" s="15"/>
      <c r="G4" s="36"/>
      <c r="H4" s="14"/>
      <c r="I4" s="26"/>
      <c r="J4" s="26"/>
      <c r="K4" s="37"/>
      <c r="L4" s="36"/>
      <c r="M4" s="36"/>
      <c r="N4" s="37"/>
      <c r="O4" s="34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7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3" t="s">
        <v>176</v>
      </c>
      <c r="H1" s="26" t="s">
        <v>177</v>
      </c>
      <c r="I1" s="26" t="s">
        <v>178</v>
      </c>
      <c r="J1" s="26" t="s">
        <v>179</v>
      </c>
      <c r="K1" s="33" t="s">
        <v>180</v>
      </c>
      <c r="L1" s="33" t="s">
        <v>181</v>
      </c>
      <c r="M1" s="33" t="s">
        <v>182</v>
      </c>
      <c r="N1" s="34" t="s">
        <v>183</v>
      </c>
      <c r="O1" s="34" t="s">
        <v>184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194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7">
        <v>1.0</v>
      </c>
      <c r="O2" s="34" t="str">
        <f>JOIN("/", README!$B$51, "U_SA_01_White")</f>
        <v>Images/U_SpriteAtlas_01/U_SA_01_White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 t="s">
        <v>195</v>
      </c>
      <c r="B3" s="15">
        <v>2.0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200000001</v>
      </c>
      <c r="L3" s="14">
        <f>IF($A3="", -1, ($B3*README!$B$2)+($C3*README!$B$3)+($D3*README!$B$4)+($E3*README!$B$5)+($F3*README!$B$6)-1)</f>
        <v>200000000</v>
      </c>
      <c r="M3" s="14">
        <f>IF($A3="", -1, ($B3*README!$B$2)+($C3*README!$B$3)+($D3*README!$B$4)+($E3*README!$B$5)+($F3*README!$B$6)+1)</f>
        <v>200000002</v>
      </c>
      <c r="N3" s="37">
        <v>1.0</v>
      </c>
      <c r="O3" s="34" t="str">
        <f>JOIN("/", README!$B$51, "U_SA_01_Splash")</f>
        <v>Images/U_SpriteAtlas_01/U_SA_01_Splash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 t="s">
        <v>196</v>
      </c>
      <c r="B4" s="15">
        <v>2.0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200000002</v>
      </c>
      <c r="L4" s="14">
        <f>IF($A4="", -1, ($B4*README!$B$2)+($C4*README!$B$3)+($D4*README!$B$4)+($E4*README!$B$5)+($F4*README!$B$6)-1)</f>
        <v>200000001</v>
      </c>
      <c r="M4" s="14">
        <f>IF($A4="", -1, ($B4*README!$B$2)+($C4*README!$B$3)+($D4*README!$B$4)+($E4*README!$B$5)+($F4*README!$B$6)+1)</f>
        <v>200000003</v>
      </c>
      <c r="N4" s="37">
        <v>1.0</v>
      </c>
      <c r="O4" s="34" t="str">
        <f>JOIN("/", README!$B$51, "U_SA_01_Indicator")</f>
        <v>Images/U_SpriteAtlas_01/U_SA_01_Indicator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29"/>
      <c r="B220" s="15"/>
      <c r="C220" s="15"/>
      <c r="D220" s="15"/>
      <c r="E220" s="15"/>
      <c r="F220" s="15"/>
      <c r="G220" s="30"/>
      <c r="H220" s="25"/>
      <c r="I220" s="13"/>
      <c r="J220" s="13"/>
      <c r="K220" s="30"/>
      <c r="L220" s="30"/>
      <c r="M220" s="30"/>
      <c r="N220" s="30"/>
      <c r="O220" s="29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3" t="s">
        <v>176</v>
      </c>
      <c r="H1" s="26" t="s">
        <v>177</v>
      </c>
      <c r="I1" s="26" t="s">
        <v>178</v>
      </c>
      <c r="J1" s="26" t="s">
        <v>179</v>
      </c>
      <c r="K1" s="33" t="s">
        <v>180</v>
      </c>
      <c r="L1" s="33" t="s">
        <v>181</v>
      </c>
      <c r="M1" s="33" t="s">
        <v>182</v>
      </c>
      <c r="N1" s="34" t="s">
        <v>183</v>
      </c>
      <c r="O1" s="34" t="s">
        <v>184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194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7">
        <v>1.0</v>
      </c>
      <c r="O2" s="34" t="s">
        <v>197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 t="s">
        <v>195</v>
      </c>
      <c r="B3" s="15">
        <v>3.0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300000001</v>
      </c>
      <c r="L3" s="14">
        <f>IF($A3="", -1, ($B3*README!$B$2)+($C3*README!$B$3)+($D3*README!$B$4)+($E3*README!$B$5)+($F3*README!$B$6)-1)</f>
        <v>300000000</v>
      </c>
      <c r="M3" s="14">
        <f>IF($A3="", -1, ($B3*README!$B$2)+($C3*README!$B$3)+($D3*README!$B$4)+($E3*README!$B$5)+($F3*README!$B$6)+1)</f>
        <v>300000002</v>
      </c>
      <c r="N3" s="37">
        <v>1.0</v>
      </c>
      <c r="O3" s="34" t="s">
        <v>198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 t="s">
        <v>196</v>
      </c>
      <c r="B4" s="15">
        <v>3.0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300000002</v>
      </c>
      <c r="L4" s="14">
        <f>IF($A4="", -1, ($B4*README!$B$2)+($C4*README!$B$3)+($D4*README!$B$4)+($E4*README!$B$5)+($F4*README!$B$6)-1)</f>
        <v>300000001</v>
      </c>
      <c r="M4" s="14">
        <f>IF($A4="", -1, ($B4*README!$B$2)+($C4*README!$B$3)+($D4*README!$B$4)+($E4*README!$B$5)+($F4*README!$B$6)+1)</f>
        <v>300000003</v>
      </c>
      <c r="N4" s="37">
        <v>1.0</v>
      </c>
      <c r="O4" s="34" t="s">
        <v>199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29"/>
      <c r="B220" s="15"/>
      <c r="C220" s="15"/>
      <c r="D220" s="15"/>
      <c r="E220" s="15"/>
      <c r="F220" s="15"/>
      <c r="G220" s="30"/>
      <c r="H220" s="25"/>
      <c r="I220" s="13"/>
      <c r="J220" s="13"/>
      <c r="K220" s="30"/>
      <c r="L220" s="30"/>
      <c r="M220" s="30"/>
      <c r="N220" s="30"/>
      <c r="O220" s="29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3" t="s">
        <v>176</v>
      </c>
      <c r="H1" s="26" t="s">
        <v>177</v>
      </c>
      <c r="I1" s="26" t="s">
        <v>178</v>
      </c>
      <c r="J1" s="26" t="s">
        <v>179</v>
      </c>
      <c r="K1" s="33" t="s">
        <v>180</v>
      </c>
      <c r="L1" s="33" t="s">
        <v>181</v>
      </c>
      <c r="M1" s="33" t="s">
        <v>182</v>
      </c>
      <c r="N1" s="34" t="s">
        <v>183</v>
      </c>
      <c r="O1" s="34" t="s">
        <v>184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200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37">
        <v>0.0</v>
      </c>
      <c r="O2" s="34" t="str">
        <f>JOIN("/", README!$B$72, "G_Sample")</f>
        <v>Textures/Global/G_Sample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/>
      <c r="B3" s="15"/>
      <c r="C3" s="15"/>
      <c r="D3" s="15"/>
      <c r="E3" s="15"/>
      <c r="F3" s="15"/>
      <c r="G3" s="36"/>
      <c r="H3" s="14"/>
      <c r="I3" s="26"/>
      <c r="J3" s="26"/>
      <c r="K3" s="14"/>
      <c r="L3" s="14"/>
      <c r="M3" s="14"/>
      <c r="N3" s="37"/>
      <c r="O3" s="34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/>
      <c r="B4" s="15"/>
      <c r="C4" s="15"/>
      <c r="D4" s="15"/>
      <c r="E4" s="15"/>
      <c r="F4" s="15"/>
      <c r="G4" s="36"/>
      <c r="H4" s="14"/>
      <c r="I4" s="26"/>
      <c r="J4" s="26"/>
      <c r="K4" s="14"/>
      <c r="L4" s="14"/>
      <c r="M4" s="14"/>
      <c r="N4" s="37"/>
      <c r="O4" s="34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14"/>
      <c r="L5" s="14"/>
      <c r="M5" s="14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7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