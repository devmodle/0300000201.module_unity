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<sst xmlns="http://schemas.openxmlformats.org/spreadsheetml/2006/main" count="237" uniqueCount="158">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</sst>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64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65</v>
      </c>
      <c r="B33" s="24" t="s">
        <v>66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2"/>
      <c r="B34" s="12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24" t="s">
        <v>67</v>
      </c>
      <c r="B35" s="12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24" t="s">
        <v>65</v>
      </c>
      <c r="B36" s="24" t="s">
        <v>68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2"/>
      <c r="B37" s="12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24" t="s">
        <v>69</v>
      </c>
      <c r="B38" s="12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24" t="s">
        <v>65</v>
      </c>
      <c r="B39" s="24" t="s">
        <v>70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24"/>
      <c r="B40" s="24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24" t="s">
        <v>71</v>
      </c>
      <c r="B41" s="24" t="s">
        <v>72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24" t="s">
        <v>73</v>
      </c>
      <c r="B42" s="24" t="s">
        <v>74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24" t="s">
        <v>75</v>
      </c>
      <c r="B43" s="24" t="s">
        <v>76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24" t="s">
        <v>77</v>
      </c>
      <c r="B44" s="24" t="s">
        <v>78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24" t="s">
        <v>79</v>
      </c>
      <c r="B45" s="24" t="s">
        <v>80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24" t="s">
        <v>81</v>
      </c>
      <c r="B46" s="24" t="s">
        <v>82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24" t="s">
        <v>83</v>
      </c>
      <c r="B47" s="24" t="s">
        <v>84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24" t="s">
        <v>85</v>
      </c>
      <c r="B48" s="24" t="s">
        <v>86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24" t="s">
        <v>87</v>
      </c>
      <c r="B49" s="24" t="s">
        <v>88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24"/>
      <c r="B50" s="24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24" t="s">
        <v>89</v>
      </c>
      <c r="B51" s="24" t="s">
        <v>90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24" t="s">
        <v>91</v>
      </c>
      <c r="B52" s="24" t="s">
        <v>92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24" t="s">
        <v>93</v>
      </c>
      <c r="B53" s="24" t="s">
        <v>94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24" t="s">
        <v>95</v>
      </c>
      <c r="B54" s="24" t="s">
        <v>96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24" t="s">
        <v>97</v>
      </c>
      <c r="B55" s="24" t="s">
        <v>98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24" t="s">
        <v>99</v>
      </c>
      <c r="B56" s="24" t="s">
        <v>100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24" t="s">
        <v>101</v>
      </c>
      <c r="B57" s="24" t="s">
        <v>102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24" t="s">
        <v>103</v>
      </c>
      <c r="B58" s="24" t="s">
        <v>104</v>
      </c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24" t="s">
        <v>105</v>
      </c>
      <c r="B59" s="24" t="s">
        <v>106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24"/>
      <c r="B60" s="24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24" t="s">
        <v>107</v>
      </c>
      <c r="B61" s="24" t="s">
        <v>108</v>
      </c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24" t="s">
        <v>109</v>
      </c>
      <c r="B62" s="24" t="s">
        <v>110</v>
      </c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24" t="s">
        <v>111</v>
      </c>
      <c r="B63" s="24" t="s">
        <v>112</v>
      </c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24" t="s">
        <v>113</v>
      </c>
      <c r="B64" s="24" t="s">
        <v>114</v>
      </c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24" t="s">
        <v>115</v>
      </c>
      <c r="B65" s="24" t="s">
        <v>116</v>
      </c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24" t="s">
        <v>117</v>
      </c>
      <c r="B66" s="24" t="s">
        <v>118</v>
      </c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24" t="s">
        <v>119</v>
      </c>
      <c r="B67" s="24" t="s">
        <v>120</v>
      </c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24" t="s">
        <v>121</v>
      </c>
      <c r="B68" s="24" t="s">
        <v>122</v>
      </c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24" t="s">
        <v>123</v>
      </c>
      <c r="B69" s="24" t="s">
        <v>124</v>
      </c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25"/>
      <c r="B70" s="25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24" t="s">
        <v>125</v>
      </c>
      <c r="B71" s="12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24" t="s">
        <v>65</v>
      </c>
      <c r="B72" s="24" t="s">
        <v>126</v>
      </c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142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README!$B$33,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143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README!$B$33,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144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README!$B$33,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145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README!$B$33,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146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README!$B$33,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147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README!$B$33,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148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README!$B$33,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149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README!$B$36,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150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100100000</v>
      </c>
      <c r="L3" s="13">
        <f>IF($A3="", -1, ($B3*README!$B$2)+($C3*README!$B$3)+($D3*README!$B$4)+($E3*README!$B$5)+($F3*README!$B$6)-1)</f>
        <v>100099999</v>
      </c>
      <c r="M3" s="13">
        <f>IF($A3="", -1, ($B3*README!$B$2)+($C3*README!$B$3)+($D3*README!$B$4)+($E3*README!$B$5)+($F3*README!$B$6)+1)</f>
        <v>100100001</v>
      </c>
      <c r="N3" s="34">
        <v>0.0</v>
      </c>
      <c r="O3" s="35" t="str">
        <f>JOIN("/", README!$B$36,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151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README!$B$51,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152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README!$B$51,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153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README!$B$51,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151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154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152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155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153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156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157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README!$B$72,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