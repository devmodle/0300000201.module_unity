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Enhance" sheetId="3" r:id="rId6"/>
    <sheet state="visible" name="BuyTrade" sheetId="4" r:id="rId7"/>
    <sheet state="visible" name="SaleTrade" sheetId="5" r:id="rId8"/>
  </sheets>
  <definedNames/>
  <calcPr/>
</workbook>
</file>

<file path=xl/sharedStrings.xml><?xml version="1.0" encoding="utf-8"?>
<sst xmlns="http://schemas.openxmlformats.org/spreadsheetml/2006/main" count="290" uniqueCount="211">
  <si>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</si>
  <si>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</si>
  <si>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</si>
  <si>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</si>
  <si>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</si>
  <si>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</si>
  <si>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</si>
  <si>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</si>
  <si>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</si>
  <si>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</si>
  <si>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</si>
  <si>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</si>
  <si>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</si>
  <si>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</si>
  <si>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</si>
  <si>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</si>
  <si>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</si>
  <si>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</si>
  <si>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</si>
  <si>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</si>
  <si>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</si>
  <si>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</si>
  <si>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</si>
  <si>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</si>
  <si>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</si>
  <si>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</si>
  <si>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</si>
  <si>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</si>
  <si>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</si>
  <si>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</si>
  <si>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</si>
  <si>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</si>
  <si>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</si>
  <si>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</si>
  <si>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</si>
  <si>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</si>
  <si>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</si>
  <si>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</si>
  <si>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</si>
  <si>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</si>
  <si>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</si>
  <si>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</si>
  <si>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</si>
  <si>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</si>
  <si>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</si>
  <si>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</si>
  <si>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</si>
  <si>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</si>
  <si>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</si>
  <si>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</si>
  <si>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</si>
  <si>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</si>
  <si>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</si>
  <si>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</si>
  <si>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</si>
  <si>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</si>
  <si>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</si>
  <si>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</si>
  <si>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</si>
  <si>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</si>
  <si>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</si>
  <si>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</si>
  <si>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</si>
  <si>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</si>
  <si>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</si>
  <si>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</si>
  <si>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</si>
  <si>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</si>
  <si>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</si>
  <si>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</si>
  <si>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</si>
  <si>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</si>
  <si>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</si>
  <si>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</si>
  <si>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</si>
  <si>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</si>
  <si>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</si>
  <si>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</si>
  <si>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</si>
  <si>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</si>
  <si>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</si>
  <si>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</si>
  <si>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</si>
  <si>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</si>
  <si>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</si>
  <si>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</si>
  <si>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</si>
  <si>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</si>
  <si>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</si>
  <si>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</si>
  <si>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</si>
  <si>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</si>
  <si>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</si>
  <si>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</si>
  <si>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</si>
  <si>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</si>
  <si>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</si>
  <si>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</si>
  <si>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</si>
  <si>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</si>
  <si>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</si>
  <si>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</si>
  <si>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</si>
  <si>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</si>
  <si>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</si>
  <si>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</si>
  <si>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</si>
  <si>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</si>
  <si>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</si>
  <si>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</si>
  <si>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</si>
  <si>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</si>
  <si>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</si>
  <si>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</si>
  <si>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</si>
  <si>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</si>
  <si>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</si>
  <si>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</si>
  <si>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</si>
  <si>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</si>
  <si>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</si>
  <si>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</si>
  <si>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</si>
  <si>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</si>
  <si>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</si>
  <si>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</si>
  <si>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</si>
  <si>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</si>
  <si>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</si>
  <si>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</si>
  <si>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</si>
  <si>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</si>
  <si>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</si>
  <si>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</si>
  <si>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</si>
  <si>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</si>
  <si>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</si>
  <si>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</si>
  <si>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</si>
  <si>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</si>
  <si>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</si>
  <si>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</si>
  <si>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</si>
  <si>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</si>
  <si>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</si>
  <si>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</si>
  <si>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</si>
  <si>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</si>
  <si>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</si>
  <si>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</si>
  <si>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</si>
  <si>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</si>
  <si>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</si>
  <si>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</si>
  <si>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</si>
  <si>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</si>
  <si>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</si>
  <si>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</si>
  <si>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</si>
  <si>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</si>
  <si>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</si>
  <si>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</si>
  <si>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</si>
  <si>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</si>
  <si>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</si>
  <si>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</si>
  <si>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</si>
  <si>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</si>
  <si>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</si>
  <si>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</si>
  <si>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</si>
  <si>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</si>
  <si>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</si>
  <si>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</si>
  <si>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</si>
  <si>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</si>
  <si>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</si>
  <si>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</si>
  <si>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</si>
  <si>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</si>
  <si>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</si>
  <si>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</si>
  <si>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</si>
  <si>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</si>
  <si>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</si>
  <si>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</si>
  <si>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</si>
  <si>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</si>
  <si>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무기 아이템 샘플</t>
  </si>
  <si>
    <t>방어구 아이템 샘플</t>
  </si>
  <si>
    <t>악세서리 아이템 샘플</t>
  </si>
  <si>
    <t>장식 아이템 샘플</t>
  </si>
  <si>
    <t>PayTargetInfo_01</t>
  </si>
  <si>
    <t>AcquireTargetInfo_01</t>
  </si>
  <si>
    <t>재화 아이템 강화 샘플</t>
  </si>
  <si>
    <t>소모 아이템 강화 샘플</t>
  </si>
  <si>
    <t>비소모 아이템 강화 샘플</t>
  </si>
  <si>
    <t>무기 아이템 강화 샘플</t>
  </si>
  <si>
    <t>방어구 아이템 강화 샘플</t>
  </si>
  <si>
    <t>악세서리 아이템 강화 샘플</t>
  </si>
  <si>
    <t>장식 아이템 강화 샘플</t>
  </si>
  <si>
    <t>비소모 아이템 구입 샘플</t>
  </si>
  <si>
    <t>무기 아이템 구입 샘플</t>
  </si>
  <si>
    <t>방어구 아이템 구입 샘플</t>
  </si>
  <si>
    <t>악세서리 아이템 구입 샘플</t>
  </si>
  <si>
    <t>장식 아이템 구입 샘플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</si>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</sst>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81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86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90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91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92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94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95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96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98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99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100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101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102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103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104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105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106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107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108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109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110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111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112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113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114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115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116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117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118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119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120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121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122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123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125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126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127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128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129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130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131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132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133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134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135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136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137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138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139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140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141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142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143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144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145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146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147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148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149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150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151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152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153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154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155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156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157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158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159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160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161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162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163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164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165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166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167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168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169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9.13"/>
    <col customWidth="1" min="17" max="18" width="17.88"/>
    <col customWidth="1" min="19" max="34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2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2" t="s">
        <v>183</v>
      </c>
      <c r="O1" s="32" t="s">
        <v>184</v>
      </c>
      <c r="P1" s="33" t="s">
        <v>185</v>
      </c>
      <c r="Q1" s="33" t="s">
        <v>186</v>
      </c>
      <c r="R1" s="33" t="s">
        <v>187</v>
      </c>
      <c r="S1" s="33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1.0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README!$L$3, README!$B$27, -1, README!$B$10, 0)</f>
        <v>0, -1, -1, 0, 0</v>
      </c>
      <c r="Q2" s="14" t="str">
        <f>JOIN(", ", README!$L$9, README!$B$27, -1, README!$B$10, 0)</f>
        <v>100000000, -1, -1, 0, 0</v>
      </c>
      <c r="R2" s="14" t="str">
        <f>JOIN(", ", README!$L$21, README!$B$27, -1, README!$B$10, 0)</f>
        <v>300000000, -1, -1, 0, 0</v>
      </c>
      <c r="S2" s="35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32"/>
      <c r="L3" s="32"/>
      <c r="M3" s="34"/>
      <c r="N3" s="34"/>
      <c r="O3" s="34"/>
      <c r="P3" s="35"/>
      <c r="Q3" s="35"/>
      <c r="R3" s="35"/>
      <c r="S3" s="35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2" t="s">
        <v>24</v>
      </c>
      <c r="B4" s="15">
        <v>1.0</v>
      </c>
      <c r="C4" s="15">
        <v>0.0</v>
      </c>
      <c r="D4" s="15">
        <v>1.0</v>
      </c>
      <c r="E4" s="15">
        <v>0.0</v>
      </c>
      <c r="F4" s="15">
        <v>0.0</v>
      </c>
      <c r="G4" s="34">
        <v>0.0</v>
      </c>
      <c r="H4" s="14">
        <v>1.0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100100000</v>
      </c>
      <c r="N4" s="14">
        <f>IF($A4="", -1, ($B4*README!$B$2)+($C4*README!$B$3)+($D4*README!$B$4)+($E4*README!$B$5)+($F4*README!$B$6)-1)</f>
        <v>100099999</v>
      </c>
      <c r="O4" s="14">
        <f>IF($A4="", -1, ($B4*README!$B$2)+($C4*README!$B$3)+($D4*README!$B$4)+($E4*README!$B$5)+($F4*README!$B$6)+1)</f>
        <v>100100001</v>
      </c>
      <c r="P4" s="14" t="str">
        <f>JOIN(", ", README!$L$3, README!$B$27, -1, README!$B$10, 0)</f>
        <v>0, -1, -1, 0, 0</v>
      </c>
      <c r="Q4" s="14" t="str">
        <f>JOIN(", ", README!$L$9, README!$B$27, -1, README!$B$10, 0)</f>
        <v>100000000, -1, -1, 0, 0</v>
      </c>
      <c r="R4" s="14" t="str">
        <f>JOIN(", ", README!$L$21, README!$B$27, -1, README!$B$10, 0)</f>
        <v>300000000, -1, -1, 0, 0</v>
      </c>
      <c r="S4" s="35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2" t="s">
        <v>29</v>
      </c>
      <c r="B5" s="15">
        <v>1.0</v>
      </c>
      <c r="C5" s="15">
        <v>0.0</v>
      </c>
      <c r="D5" s="15">
        <v>1.0</v>
      </c>
      <c r="E5" s="15">
        <v>1.0</v>
      </c>
      <c r="F5" s="15">
        <v>0.0</v>
      </c>
      <c r="G5" s="34">
        <v>0.0</v>
      </c>
      <c r="H5" s="14">
        <v>1.0</v>
      </c>
      <c r="I5" s="14">
        <v>0.0</v>
      </c>
      <c r="J5" s="14">
        <v>0.0</v>
      </c>
      <c r="K5" s="32"/>
      <c r="L5" s="32"/>
      <c r="M5" s="14">
        <f>IF($A5="", -1, ($B5*README!$B$2)+($C5*README!$B$3)+($D5*README!$B$4)+($E5*README!$B$5)+($F5*README!$B$6))</f>
        <v>100100100</v>
      </c>
      <c r="N5" s="14">
        <f>IF($A5="", -1, ($B5*README!$B$2)+($C5*README!$B$3)+($D5*README!$B$4)+($E5*README!$B$5)+($F5*README!$B$6)-1)</f>
        <v>100100099</v>
      </c>
      <c r="O5" s="14">
        <f>IF($A5="", -1, ($B5*README!$B$2)+($C5*README!$B$3)+($D5*README!$B$4)+($E5*README!$B$5)+($F5*README!$B$6)+1)</f>
        <v>100100101</v>
      </c>
      <c r="P5" s="14" t="str">
        <f>JOIN(", ", README!$L$3, README!$B$27, -1, README!$B$10, 0)</f>
        <v>0, -1, -1, 0, 0</v>
      </c>
      <c r="Q5" s="14" t="str">
        <f>JOIN(", ", README!$L$9, README!$B$27, -1, README!$B$10, 0)</f>
        <v>100000000, -1, -1, 0, 0</v>
      </c>
      <c r="R5" s="14" t="str">
        <f>JOIN(", ", README!$L$21, README!$B$27, -1, README!$B$10, 0)</f>
        <v>300000000, -1, -1, 0, 0</v>
      </c>
      <c r="S5" s="35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2" t="s">
        <v>31</v>
      </c>
      <c r="B6" s="15">
        <v>1.0</v>
      </c>
      <c r="C6" s="15">
        <v>0.0</v>
      </c>
      <c r="D6" s="15">
        <v>1.0</v>
      </c>
      <c r="E6" s="15">
        <v>2.0</v>
      </c>
      <c r="F6" s="15">
        <v>0.0</v>
      </c>
      <c r="G6" s="34">
        <v>0.0</v>
      </c>
      <c r="H6" s="14">
        <v>1.0</v>
      </c>
      <c r="I6" s="14">
        <v>0.0</v>
      </c>
      <c r="J6" s="14">
        <v>0.0</v>
      </c>
      <c r="K6" s="32"/>
      <c r="L6" s="32"/>
      <c r="M6" s="14">
        <f>IF($A6="", -1, ($B6*README!$B$2)+($C6*README!$B$3)+($D6*README!$B$4)+($E6*README!$B$5)+($F6*README!$B$6))</f>
        <v>100100200</v>
      </c>
      <c r="N6" s="14">
        <f>IF($A6="", -1, ($B6*README!$B$2)+($C6*README!$B$3)+($D6*README!$B$4)+($E6*README!$B$5)+($F6*README!$B$6)-1)</f>
        <v>100100199</v>
      </c>
      <c r="O6" s="14">
        <f>IF($A6="", -1, ($B6*README!$B$2)+($C6*README!$B$3)+($D6*README!$B$4)+($E6*README!$B$5)+($F6*README!$B$6)+1)</f>
        <v>100100201</v>
      </c>
      <c r="P6" s="14" t="str">
        <f>JOIN(", ", README!$L$3, README!$B$27, -1, README!$B$10, 0)</f>
        <v>0, -1, -1, 0, 0</v>
      </c>
      <c r="Q6" s="14" t="str">
        <f>JOIN(", ", README!$L$9, README!$B$27, -1, README!$B$10, 0)</f>
        <v>100000000, -1, -1, 0, 0</v>
      </c>
      <c r="R6" s="14" t="str">
        <f>JOIN(", ", README!$L$21, README!$B$27, -1, README!$B$10, 0)</f>
        <v>300000000, -1, -1, 0, 0</v>
      </c>
      <c r="S6" s="35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34"/>
      <c r="N7" s="34"/>
      <c r="O7" s="34"/>
      <c r="P7" s="35"/>
      <c r="Q7" s="35"/>
      <c r="R7" s="35"/>
      <c r="S7" s="35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2" t="s">
        <v>36</v>
      </c>
      <c r="B8" s="15">
        <v>2.0</v>
      </c>
      <c r="C8" s="15">
        <v>0.0</v>
      </c>
      <c r="D8" s="15">
        <v>0.0</v>
      </c>
      <c r="E8" s="15">
        <v>0.0</v>
      </c>
      <c r="F8" s="15">
        <v>0.0</v>
      </c>
      <c r="G8" s="34">
        <v>0.0</v>
      </c>
      <c r="H8" s="14">
        <v>0.0</v>
      </c>
      <c r="I8" s="14">
        <v>0.0</v>
      </c>
      <c r="J8" s="14">
        <v>0.0</v>
      </c>
      <c r="K8" s="32"/>
      <c r="L8" s="32"/>
      <c r="M8" s="14">
        <f>IF($A8="", -1, ($B8*README!$B$2)+($C8*README!$B$3)+($D8*README!$B$4)+($E8*README!$B$5)+($F8*README!$B$6))</f>
        <v>200000000</v>
      </c>
      <c r="N8" s="14">
        <f>IF($A8="", -1, ($B8*README!$B$2)+($C8*README!$B$3)+($D8*README!$B$4)+($E8*README!$B$5)+($F8*README!$B$6)-1)</f>
        <v>199999999</v>
      </c>
      <c r="O8" s="14">
        <f>IF($A8="", -1, ($B8*README!$B$2)+($C8*README!$B$3)+($D8*README!$B$4)+($E8*README!$B$5)+($F8*README!$B$6)+1)</f>
        <v>200000001</v>
      </c>
      <c r="P8" s="14" t="str">
        <f>JOIN(", ", README!$L$3, README!$B$27, -1, README!$B$10, 0)</f>
        <v>0, -1, -1, 0, 0</v>
      </c>
      <c r="Q8" s="14" t="str">
        <f>JOIN(", ", README!$L$9, README!$B$27, -1, README!$B$10, 0)</f>
        <v>100000000, -1, -1, 0, 0</v>
      </c>
      <c r="R8" s="14" t="str">
        <f>JOIN(", ", README!$L$21, README!$B$27, -1, README!$B$10, 0)</f>
        <v>300000000, -1, -1, 0, 0</v>
      </c>
      <c r="S8" s="35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4"/>
      <c r="N9" s="34"/>
      <c r="O9" s="34"/>
      <c r="P9" s="35"/>
      <c r="Q9" s="35"/>
      <c r="R9" s="35"/>
      <c r="S9" s="35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2" t="s">
        <v>188</v>
      </c>
      <c r="B10" s="15">
        <v>3.0</v>
      </c>
      <c r="C10" s="15">
        <v>0.0</v>
      </c>
      <c r="D10" s="15">
        <v>0.0</v>
      </c>
      <c r="E10" s="15">
        <v>0.0</v>
      </c>
      <c r="F10" s="15">
        <v>0.0</v>
      </c>
      <c r="G10" s="34">
        <v>0.0</v>
      </c>
      <c r="H10" s="14">
        <v>0.0</v>
      </c>
      <c r="I10" s="14">
        <v>0.0</v>
      </c>
      <c r="J10" s="14">
        <v>0.0</v>
      </c>
      <c r="K10" s="32"/>
      <c r="L10" s="32"/>
      <c r="M10" s="14">
        <f>IF($A10="", -1, ($B10*README!$B$2)+($C10*README!$B$3)+($D10*README!$B$4)+($E10*README!$B$5)+($F10*README!$B$6))</f>
        <v>300000000</v>
      </c>
      <c r="N10" s="14">
        <f>IF($A10="", -1, ($B10*README!$B$2)+($C10*README!$B$3)+($D10*README!$B$4)+($E10*README!$B$5)+($F10*README!$B$6)-1)</f>
        <v>299999999</v>
      </c>
      <c r="O10" s="14">
        <f>IF($A10="", -1, ($B10*README!$B$2)+($C10*README!$B$3)+($D10*README!$B$4)+($E10*README!$B$5)+($F10*README!$B$6)+1)</f>
        <v>300000001</v>
      </c>
      <c r="P10" s="14" t="str">
        <f>JOIN(", ", README!$L$3, README!$B$27, -1, README!$B$10, 0)</f>
        <v>0, -1, -1, 0, 0</v>
      </c>
      <c r="Q10" s="14" t="str">
        <f>JOIN(", ", README!$L$9, README!$B$27, -1, README!$B$10, 0)</f>
        <v>100000000, -1, -1, 0, 0</v>
      </c>
      <c r="R10" s="14" t="str">
        <f>JOIN(", ", README!$L$21, README!$B$27, -1, README!$B$10, 0)</f>
        <v>300000000, -1, -1, 0, 0</v>
      </c>
      <c r="S10" s="35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14"/>
      <c r="N11" s="14"/>
      <c r="O11" s="14"/>
      <c r="P11" s="14"/>
      <c r="Q11" s="14"/>
      <c r="R11" s="14"/>
      <c r="S11" s="35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2" t="s">
        <v>189</v>
      </c>
      <c r="B12" s="15">
        <v>4.0</v>
      </c>
      <c r="C12" s="15">
        <v>0.0</v>
      </c>
      <c r="D12" s="15">
        <v>0.0</v>
      </c>
      <c r="E12" s="15">
        <v>0.0</v>
      </c>
      <c r="F12" s="15">
        <v>0.0</v>
      </c>
      <c r="G12" s="34">
        <v>0.0</v>
      </c>
      <c r="H12" s="14">
        <v>0.0</v>
      </c>
      <c r="I12" s="14">
        <v>0.0</v>
      </c>
      <c r="J12" s="14">
        <v>0.0</v>
      </c>
      <c r="K12" s="32"/>
      <c r="L12" s="32"/>
      <c r="M12" s="14">
        <f>IF($A12="", -1, ($B12*README!$B$2)+($C12*README!$B$3)+($D12*README!$B$4)+($E12*README!$B$5)+($F12*README!$B$6))</f>
        <v>400000000</v>
      </c>
      <c r="N12" s="14">
        <f>IF($A12="", -1, ($B12*README!$B$2)+($C12*README!$B$3)+($D12*README!$B$4)+($E12*README!$B$5)+($F12*README!$B$6)-1)</f>
        <v>399999999</v>
      </c>
      <c r="O12" s="14">
        <f>IF($A12="", -1, ($B12*README!$B$2)+($C12*README!$B$3)+($D12*README!$B$4)+($E12*README!$B$5)+($F12*README!$B$6)+1)</f>
        <v>400000001</v>
      </c>
      <c r="P12" s="14" t="str">
        <f>JOIN(", ", README!$L$3, README!$B$27, -1, README!$B$10, 0)</f>
        <v>0, -1, -1, 0, 0</v>
      </c>
      <c r="Q12" s="14" t="str">
        <f>JOIN(", ", README!$L$9, README!$B$27, -1, README!$B$10, 0)</f>
        <v>100000000, -1, -1, 0, 0</v>
      </c>
      <c r="R12" s="14" t="str">
        <f>JOIN(", ", README!$L$21, README!$B$27, -1, README!$B$10, 0)</f>
        <v>300000000, -1, -1, 0, 0</v>
      </c>
      <c r="S12" s="35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14"/>
      <c r="N13" s="14"/>
      <c r="O13" s="14"/>
      <c r="P13" s="14"/>
      <c r="Q13" s="14"/>
      <c r="R13" s="14"/>
      <c r="S13" s="35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2" t="s">
        <v>190</v>
      </c>
      <c r="B14" s="15">
        <v>5.0</v>
      </c>
      <c r="C14" s="15">
        <v>0.0</v>
      </c>
      <c r="D14" s="15">
        <v>0.0</v>
      </c>
      <c r="E14" s="15">
        <v>0.0</v>
      </c>
      <c r="F14" s="15">
        <v>0.0</v>
      </c>
      <c r="G14" s="34">
        <v>0.0</v>
      </c>
      <c r="H14" s="14">
        <v>0.0</v>
      </c>
      <c r="I14" s="14">
        <v>0.0</v>
      </c>
      <c r="J14" s="14">
        <v>0.0</v>
      </c>
      <c r="K14" s="32"/>
      <c r="L14" s="32"/>
      <c r="M14" s="14">
        <f>IF($A14="", -1, ($B14*README!$B$2)+($C14*README!$B$3)+($D14*README!$B$4)+($E14*README!$B$5)+($F14*README!$B$6))</f>
        <v>500000000</v>
      </c>
      <c r="N14" s="14">
        <f>IF($A14="", -1, ($B14*README!$B$2)+($C14*README!$B$3)+($D14*README!$B$4)+($E14*README!$B$5)+($F14*README!$B$6)-1)</f>
        <v>499999999</v>
      </c>
      <c r="O14" s="14">
        <f>IF($A14="", -1, ($B14*README!$B$2)+($C14*README!$B$3)+($D14*README!$B$4)+($E14*README!$B$5)+($F14*README!$B$6)+1)</f>
        <v>500000001</v>
      </c>
      <c r="P14" s="14" t="str">
        <f>JOIN(", ", README!$L$3, README!$B$27, -1, README!$B$10, 0)</f>
        <v>0, -1, -1, 0, 0</v>
      </c>
      <c r="Q14" s="14" t="str">
        <f>JOIN(", ", README!$L$9, README!$B$27, -1, README!$B$10, 0)</f>
        <v>100000000, -1, -1, 0, 0</v>
      </c>
      <c r="R14" s="14" t="str">
        <f>JOIN(", ", README!$L$21, README!$B$27, -1, README!$B$10, 0)</f>
        <v>300000000, -1, -1, 0, 0</v>
      </c>
      <c r="S14" s="35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14"/>
      <c r="N15" s="14"/>
      <c r="O15" s="14"/>
      <c r="P15" s="14"/>
      <c r="Q15" s="14"/>
      <c r="R15" s="14"/>
      <c r="S15" s="35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2" t="s">
        <v>191</v>
      </c>
      <c r="B16" s="15">
        <v>6.0</v>
      </c>
      <c r="C16" s="15">
        <v>0.0</v>
      </c>
      <c r="D16" s="15">
        <v>0.0</v>
      </c>
      <c r="E16" s="15">
        <v>0.0</v>
      </c>
      <c r="F16" s="15">
        <v>0.0</v>
      </c>
      <c r="G16" s="34">
        <v>0.0</v>
      </c>
      <c r="H16" s="14">
        <v>0.0</v>
      </c>
      <c r="I16" s="14">
        <v>0.0</v>
      </c>
      <c r="J16" s="14">
        <v>0.0</v>
      </c>
      <c r="K16" s="32"/>
      <c r="L16" s="32"/>
      <c r="M16" s="14">
        <f>IF($A16="", -1, ($B16*README!$B$2)+($C16*README!$B$3)+($D16*README!$B$4)+($E16*README!$B$5)+($F16*README!$B$6))</f>
        <v>600000000</v>
      </c>
      <c r="N16" s="14">
        <f>IF($A16="", -1, ($B16*README!$B$2)+($C16*README!$B$3)+($D16*README!$B$4)+($E16*README!$B$5)+($F16*README!$B$6)-1)</f>
        <v>599999999</v>
      </c>
      <c r="O16" s="14">
        <f>IF($A16="", -1, ($B16*README!$B$2)+($C16*README!$B$3)+($D16*README!$B$4)+($E16*README!$B$5)+($F16*README!$B$6)+1)</f>
        <v>600000001</v>
      </c>
      <c r="P16" s="14" t="str">
        <f>JOIN(", ", README!$L$3, README!$B$27, -1, README!$B$10, 0)</f>
        <v>0, -1, -1, 0, 0</v>
      </c>
      <c r="Q16" s="14" t="str">
        <f>JOIN(", ", README!$L$9, README!$B$27, -1, README!$B$10, 0)</f>
        <v>100000000, -1, -1, 0, 0</v>
      </c>
      <c r="R16" s="14" t="str">
        <f>JOIN(", ", README!$L$21, README!$B$27, -1, README!$B$10, 0)</f>
        <v>300000000, -1, -1, 0, 0</v>
      </c>
      <c r="S16" s="35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4"/>
      <c r="N17" s="34"/>
      <c r="O17" s="34"/>
      <c r="P17" s="35"/>
      <c r="Q17" s="35"/>
      <c r="R17" s="35"/>
      <c r="S17" s="35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4"/>
      <c r="N18" s="34"/>
      <c r="O18" s="34"/>
      <c r="P18" s="35"/>
      <c r="Q18" s="35"/>
      <c r="R18" s="35"/>
      <c r="S18" s="35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4"/>
      <c r="N19" s="34"/>
      <c r="O19" s="34"/>
      <c r="P19" s="35"/>
      <c r="Q19" s="35"/>
      <c r="R19" s="35"/>
      <c r="S19" s="35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4"/>
      <c r="N20" s="34"/>
      <c r="O20" s="34"/>
      <c r="P20" s="35"/>
      <c r="Q20" s="35"/>
      <c r="R20" s="35"/>
      <c r="S20" s="35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4"/>
      <c r="N21" s="34"/>
      <c r="O21" s="34"/>
      <c r="P21" s="35"/>
      <c r="Q21" s="35"/>
      <c r="R21" s="35"/>
      <c r="S21" s="35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4"/>
      <c r="N22" s="34"/>
      <c r="O22" s="34"/>
      <c r="P22" s="35"/>
      <c r="Q22" s="35"/>
      <c r="R22" s="35"/>
      <c r="S22" s="35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4"/>
      <c r="N23" s="34"/>
      <c r="O23" s="34"/>
      <c r="P23" s="35"/>
      <c r="Q23" s="35"/>
      <c r="R23" s="35"/>
      <c r="S23" s="35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4"/>
      <c r="N24" s="34"/>
      <c r="O24" s="34"/>
      <c r="P24" s="35"/>
      <c r="Q24" s="35"/>
      <c r="R24" s="35"/>
      <c r="S24" s="35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4"/>
      <c r="N25" s="34"/>
      <c r="O25" s="34"/>
      <c r="P25" s="35"/>
      <c r="Q25" s="35"/>
      <c r="R25" s="35"/>
      <c r="S25" s="35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4"/>
      <c r="N26" s="34"/>
      <c r="O26" s="34"/>
      <c r="P26" s="35"/>
      <c r="Q26" s="35"/>
      <c r="R26" s="35"/>
      <c r="S26" s="35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4"/>
      <c r="N27" s="34"/>
      <c r="O27" s="34"/>
      <c r="P27" s="35"/>
      <c r="Q27" s="35"/>
      <c r="R27" s="35"/>
      <c r="S27" s="35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4"/>
      <c r="N28" s="34"/>
      <c r="O28" s="34"/>
      <c r="P28" s="35"/>
      <c r="Q28" s="35"/>
      <c r="R28" s="35"/>
      <c r="S28" s="35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4"/>
      <c r="N29" s="34"/>
      <c r="O29" s="34"/>
      <c r="P29" s="35"/>
      <c r="Q29" s="35"/>
      <c r="R29" s="35"/>
      <c r="S29" s="35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4"/>
      <c r="N30" s="34"/>
      <c r="O30" s="34"/>
      <c r="P30" s="35"/>
      <c r="Q30" s="35"/>
      <c r="R30" s="35"/>
      <c r="S30" s="35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4"/>
      <c r="N31" s="34"/>
      <c r="O31" s="34"/>
      <c r="P31" s="35"/>
      <c r="Q31" s="35"/>
      <c r="R31" s="35"/>
      <c r="S31" s="35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4"/>
      <c r="N32" s="34"/>
      <c r="O32" s="34"/>
      <c r="P32" s="35"/>
      <c r="Q32" s="35"/>
      <c r="R32" s="35"/>
      <c r="S32" s="35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4"/>
      <c r="N33" s="34"/>
      <c r="O33" s="34"/>
      <c r="P33" s="35"/>
      <c r="Q33" s="35"/>
      <c r="R33" s="35"/>
      <c r="S33" s="35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4"/>
      <c r="N34" s="34"/>
      <c r="O34" s="34"/>
      <c r="P34" s="35"/>
      <c r="Q34" s="35"/>
      <c r="R34" s="35"/>
      <c r="S34" s="35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4"/>
      <c r="N35" s="34"/>
      <c r="O35" s="34"/>
      <c r="P35" s="35"/>
      <c r="Q35" s="35"/>
      <c r="R35" s="35"/>
      <c r="S35" s="35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4"/>
      <c r="N36" s="34"/>
      <c r="O36" s="34"/>
      <c r="P36" s="35"/>
      <c r="Q36" s="35"/>
      <c r="R36" s="35"/>
      <c r="S36" s="35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4"/>
      <c r="N37" s="34"/>
      <c r="O37" s="34"/>
      <c r="P37" s="35"/>
      <c r="Q37" s="35"/>
      <c r="R37" s="35"/>
      <c r="S37" s="35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4"/>
      <c r="N38" s="34"/>
      <c r="O38" s="34"/>
      <c r="P38" s="35"/>
      <c r="Q38" s="35"/>
      <c r="R38" s="35"/>
      <c r="S38" s="35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4"/>
      <c r="N39" s="34"/>
      <c r="O39" s="34"/>
      <c r="P39" s="35"/>
      <c r="Q39" s="35"/>
      <c r="R39" s="35"/>
      <c r="S39" s="35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4"/>
      <c r="N40" s="34"/>
      <c r="O40" s="34"/>
      <c r="P40" s="35"/>
      <c r="Q40" s="35"/>
      <c r="R40" s="35"/>
      <c r="S40" s="35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4"/>
      <c r="N41" s="34"/>
      <c r="O41" s="34"/>
      <c r="P41" s="35"/>
      <c r="Q41" s="35"/>
      <c r="R41" s="35"/>
      <c r="S41" s="35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4"/>
      <c r="N42" s="34"/>
      <c r="O42" s="34"/>
      <c r="P42" s="35"/>
      <c r="Q42" s="35"/>
      <c r="R42" s="35"/>
      <c r="S42" s="35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4"/>
      <c r="N43" s="34"/>
      <c r="O43" s="34"/>
      <c r="P43" s="35"/>
      <c r="Q43" s="35"/>
      <c r="R43" s="35"/>
      <c r="S43" s="35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4"/>
      <c r="N44" s="34"/>
      <c r="O44" s="34"/>
      <c r="P44" s="35"/>
      <c r="Q44" s="35"/>
      <c r="R44" s="35"/>
      <c r="S44" s="35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4"/>
      <c r="N45" s="34"/>
      <c r="O45" s="34"/>
      <c r="P45" s="35"/>
      <c r="Q45" s="35"/>
      <c r="R45" s="35"/>
      <c r="S45" s="35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4"/>
      <c r="N46" s="34"/>
      <c r="O46" s="34"/>
      <c r="P46" s="35"/>
      <c r="Q46" s="35"/>
      <c r="R46" s="35"/>
      <c r="S46" s="35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4"/>
      <c r="N47" s="34"/>
      <c r="O47" s="34"/>
      <c r="P47" s="35"/>
      <c r="Q47" s="35"/>
      <c r="R47" s="35"/>
      <c r="S47" s="35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4"/>
      <c r="N48" s="34"/>
      <c r="O48" s="34"/>
      <c r="P48" s="35"/>
      <c r="Q48" s="35"/>
      <c r="R48" s="35"/>
      <c r="S48" s="35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4"/>
      <c r="N49" s="34"/>
      <c r="O49" s="34"/>
      <c r="P49" s="35"/>
      <c r="Q49" s="35"/>
      <c r="R49" s="35"/>
      <c r="S49" s="35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4"/>
      <c r="N50" s="34"/>
      <c r="O50" s="34"/>
      <c r="P50" s="35"/>
      <c r="Q50" s="35"/>
      <c r="R50" s="35"/>
      <c r="S50" s="35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4"/>
      <c r="N51" s="34"/>
      <c r="O51" s="34"/>
      <c r="P51" s="35"/>
      <c r="Q51" s="35"/>
      <c r="R51" s="35"/>
      <c r="S51" s="35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4"/>
      <c r="N52" s="34"/>
      <c r="O52" s="34"/>
      <c r="P52" s="35"/>
      <c r="Q52" s="35"/>
      <c r="R52" s="35"/>
      <c r="S52" s="35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4"/>
      <c r="N53" s="34"/>
      <c r="O53" s="34"/>
      <c r="P53" s="35"/>
      <c r="Q53" s="35"/>
      <c r="R53" s="35"/>
      <c r="S53" s="35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4"/>
      <c r="N54" s="34"/>
      <c r="O54" s="34"/>
      <c r="P54" s="35"/>
      <c r="Q54" s="35"/>
      <c r="R54" s="35"/>
      <c r="S54" s="35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4"/>
      <c r="N55" s="34"/>
      <c r="O55" s="34"/>
      <c r="P55" s="35"/>
      <c r="Q55" s="35"/>
      <c r="R55" s="35"/>
      <c r="S55" s="35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4"/>
      <c r="N56" s="34"/>
      <c r="O56" s="34"/>
      <c r="P56" s="35"/>
      <c r="Q56" s="35"/>
      <c r="R56" s="35"/>
      <c r="S56" s="3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4"/>
      <c r="N57" s="34"/>
      <c r="O57" s="34"/>
      <c r="P57" s="35"/>
      <c r="Q57" s="35"/>
      <c r="R57" s="35"/>
      <c r="S57" s="35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4"/>
      <c r="N58" s="34"/>
      <c r="O58" s="34"/>
      <c r="P58" s="35"/>
      <c r="Q58" s="35"/>
      <c r="R58" s="35"/>
      <c r="S58" s="35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4"/>
      <c r="N59" s="34"/>
      <c r="O59" s="34"/>
      <c r="P59" s="35"/>
      <c r="Q59" s="35"/>
      <c r="R59" s="35"/>
      <c r="S59" s="35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4"/>
      <c r="N60" s="34"/>
      <c r="O60" s="34"/>
      <c r="P60" s="35"/>
      <c r="Q60" s="35"/>
      <c r="R60" s="35"/>
      <c r="S60" s="35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4"/>
      <c r="N61" s="34"/>
      <c r="O61" s="34"/>
      <c r="P61" s="35"/>
      <c r="Q61" s="35"/>
      <c r="R61" s="35"/>
      <c r="S61" s="35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4"/>
      <c r="N62" s="34"/>
      <c r="O62" s="34"/>
      <c r="P62" s="35"/>
      <c r="Q62" s="35"/>
      <c r="R62" s="35"/>
      <c r="S62" s="35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4"/>
      <c r="N63" s="34"/>
      <c r="O63" s="34"/>
      <c r="P63" s="35"/>
      <c r="Q63" s="35"/>
      <c r="R63" s="35"/>
      <c r="S63" s="35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4"/>
      <c r="N64" s="34"/>
      <c r="O64" s="34"/>
      <c r="P64" s="35"/>
      <c r="Q64" s="35"/>
      <c r="R64" s="35"/>
      <c r="S64" s="35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4"/>
      <c r="N65" s="34"/>
      <c r="O65" s="34"/>
      <c r="P65" s="35"/>
      <c r="Q65" s="35"/>
      <c r="R65" s="35"/>
      <c r="S65" s="35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4"/>
      <c r="N66" s="34"/>
      <c r="O66" s="34"/>
      <c r="P66" s="35"/>
      <c r="Q66" s="35"/>
      <c r="R66" s="35"/>
      <c r="S66" s="35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4"/>
      <c r="N67" s="34"/>
      <c r="O67" s="34"/>
      <c r="P67" s="35"/>
      <c r="Q67" s="35"/>
      <c r="R67" s="35"/>
      <c r="S67" s="35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4"/>
      <c r="N68" s="34"/>
      <c r="O68" s="34"/>
      <c r="P68" s="35"/>
      <c r="Q68" s="35"/>
      <c r="R68" s="35"/>
      <c r="S68" s="35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4"/>
      <c r="N69" s="34"/>
      <c r="O69" s="34"/>
      <c r="P69" s="35"/>
      <c r="Q69" s="35"/>
      <c r="R69" s="35"/>
      <c r="S69" s="35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4"/>
      <c r="N70" s="34"/>
      <c r="O70" s="34"/>
      <c r="P70" s="35"/>
      <c r="Q70" s="35"/>
      <c r="R70" s="35"/>
      <c r="S70" s="35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4"/>
      <c r="N71" s="34"/>
      <c r="O71" s="34"/>
      <c r="P71" s="35"/>
      <c r="Q71" s="35"/>
      <c r="R71" s="35"/>
      <c r="S71" s="35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4"/>
      <c r="N72" s="34"/>
      <c r="O72" s="34"/>
      <c r="P72" s="35"/>
      <c r="Q72" s="35"/>
      <c r="R72" s="35"/>
      <c r="S72" s="35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4"/>
      <c r="N73" s="34"/>
      <c r="O73" s="34"/>
      <c r="P73" s="35"/>
      <c r="Q73" s="35"/>
      <c r="R73" s="35"/>
      <c r="S73" s="35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4"/>
      <c r="N74" s="34"/>
      <c r="O74" s="34"/>
      <c r="P74" s="35"/>
      <c r="Q74" s="35"/>
      <c r="R74" s="35"/>
      <c r="S74" s="35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4"/>
      <c r="N75" s="34"/>
      <c r="O75" s="34"/>
      <c r="P75" s="35"/>
      <c r="Q75" s="35"/>
      <c r="R75" s="35"/>
      <c r="S75" s="35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4"/>
      <c r="N76" s="34"/>
      <c r="O76" s="34"/>
      <c r="P76" s="35"/>
      <c r="Q76" s="35"/>
      <c r="R76" s="35"/>
      <c r="S76" s="35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4"/>
      <c r="N77" s="34"/>
      <c r="O77" s="34"/>
      <c r="P77" s="35"/>
      <c r="Q77" s="35"/>
      <c r="R77" s="35"/>
      <c r="S77" s="35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4"/>
      <c r="N78" s="34"/>
      <c r="O78" s="34"/>
      <c r="P78" s="35"/>
      <c r="Q78" s="35"/>
      <c r="R78" s="35"/>
      <c r="S78" s="35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4"/>
      <c r="N79" s="34"/>
      <c r="O79" s="34"/>
      <c r="P79" s="35"/>
      <c r="Q79" s="35"/>
      <c r="R79" s="35"/>
      <c r="S79" s="35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4"/>
      <c r="N80" s="34"/>
      <c r="O80" s="34"/>
      <c r="P80" s="35"/>
      <c r="Q80" s="35"/>
      <c r="R80" s="35"/>
      <c r="S80" s="35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4"/>
      <c r="N81" s="34"/>
      <c r="O81" s="34"/>
      <c r="P81" s="35"/>
      <c r="Q81" s="35"/>
      <c r="R81" s="35"/>
      <c r="S81" s="35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4"/>
      <c r="N82" s="34"/>
      <c r="O82" s="34"/>
      <c r="P82" s="35"/>
      <c r="Q82" s="35"/>
      <c r="R82" s="35"/>
      <c r="S82" s="35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4"/>
      <c r="N83" s="34"/>
      <c r="O83" s="34"/>
      <c r="P83" s="35"/>
      <c r="Q83" s="35"/>
      <c r="R83" s="35"/>
      <c r="S83" s="35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4"/>
      <c r="N84" s="34"/>
      <c r="O84" s="34"/>
      <c r="P84" s="35"/>
      <c r="Q84" s="35"/>
      <c r="R84" s="35"/>
      <c r="S84" s="35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4"/>
      <c r="N85" s="34"/>
      <c r="O85" s="34"/>
      <c r="P85" s="35"/>
      <c r="Q85" s="35"/>
      <c r="R85" s="35"/>
      <c r="S85" s="35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4"/>
      <c r="N86" s="34"/>
      <c r="O86" s="34"/>
      <c r="P86" s="35"/>
      <c r="Q86" s="35"/>
      <c r="R86" s="35"/>
      <c r="S86" s="35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4"/>
      <c r="N87" s="34"/>
      <c r="O87" s="34"/>
      <c r="P87" s="35"/>
      <c r="Q87" s="35"/>
      <c r="R87" s="35"/>
      <c r="S87" s="35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4"/>
      <c r="N88" s="34"/>
      <c r="O88" s="34"/>
      <c r="P88" s="35"/>
      <c r="Q88" s="35"/>
      <c r="R88" s="35"/>
      <c r="S88" s="35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4"/>
      <c r="N89" s="34"/>
      <c r="O89" s="34"/>
      <c r="P89" s="35"/>
      <c r="Q89" s="35"/>
      <c r="R89" s="35"/>
      <c r="S89" s="35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4"/>
      <c r="N90" s="34"/>
      <c r="O90" s="34"/>
      <c r="P90" s="35"/>
      <c r="Q90" s="35"/>
      <c r="R90" s="35"/>
      <c r="S90" s="35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4"/>
      <c r="N91" s="34"/>
      <c r="O91" s="34"/>
      <c r="P91" s="35"/>
      <c r="Q91" s="35"/>
      <c r="R91" s="35"/>
      <c r="S91" s="35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4"/>
      <c r="N92" s="34"/>
      <c r="O92" s="34"/>
      <c r="P92" s="35"/>
      <c r="Q92" s="35"/>
      <c r="R92" s="35"/>
      <c r="S92" s="35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4"/>
      <c r="N93" s="34"/>
      <c r="O93" s="34"/>
      <c r="P93" s="35"/>
      <c r="Q93" s="35"/>
      <c r="R93" s="35"/>
      <c r="S93" s="35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4"/>
      <c r="N94" s="34"/>
      <c r="O94" s="34"/>
      <c r="P94" s="35"/>
      <c r="Q94" s="35"/>
      <c r="R94" s="35"/>
      <c r="S94" s="35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4"/>
      <c r="N95" s="34"/>
      <c r="O95" s="34"/>
      <c r="P95" s="35"/>
      <c r="Q95" s="35"/>
      <c r="R95" s="35"/>
      <c r="S95" s="35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4"/>
      <c r="N96" s="34"/>
      <c r="O96" s="34"/>
      <c r="P96" s="35"/>
      <c r="Q96" s="35"/>
      <c r="R96" s="35"/>
      <c r="S96" s="35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4"/>
      <c r="N97" s="34"/>
      <c r="O97" s="34"/>
      <c r="P97" s="35"/>
      <c r="Q97" s="35"/>
      <c r="R97" s="35"/>
      <c r="S97" s="35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4"/>
      <c r="N98" s="34"/>
      <c r="O98" s="34"/>
      <c r="P98" s="35"/>
      <c r="Q98" s="35"/>
      <c r="R98" s="35"/>
      <c r="S98" s="35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4"/>
      <c r="N99" s="34"/>
      <c r="O99" s="34"/>
      <c r="P99" s="35"/>
      <c r="Q99" s="35"/>
      <c r="R99" s="35"/>
      <c r="S99" s="35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4"/>
      <c r="N100" s="34"/>
      <c r="O100" s="34"/>
      <c r="P100" s="35"/>
      <c r="Q100" s="35"/>
      <c r="R100" s="35"/>
      <c r="S100" s="35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4"/>
      <c r="N101" s="34"/>
      <c r="O101" s="34"/>
      <c r="P101" s="35"/>
      <c r="Q101" s="35"/>
      <c r="R101" s="35"/>
      <c r="S101" s="35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4"/>
      <c r="N102" s="34"/>
      <c r="O102" s="34"/>
      <c r="P102" s="35"/>
      <c r="Q102" s="35"/>
      <c r="R102" s="35"/>
      <c r="S102" s="35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4"/>
      <c r="N103" s="34"/>
      <c r="O103" s="34"/>
      <c r="P103" s="35"/>
      <c r="Q103" s="35"/>
      <c r="R103" s="35"/>
      <c r="S103" s="35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4"/>
      <c r="N104" s="34"/>
      <c r="O104" s="34"/>
      <c r="P104" s="35"/>
      <c r="Q104" s="35"/>
      <c r="R104" s="35"/>
      <c r="S104" s="35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4"/>
      <c r="N105" s="34"/>
      <c r="O105" s="34"/>
      <c r="P105" s="35"/>
      <c r="Q105" s="35"/>
      <c r="R105" s="35"/>
      <c r="S105" s="35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4"/>
      <c r="N106" s="34"/>
      <c r="O106" s="34"/>
      <c r="P106" s="35"/>
      <c r="Q106" s="35"/>
      <c r="R106" s="35"/>
      <c r="S106" s="35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4"/>
      <c r="N107" s="34"/>
      <c r="O107" s="34"/>
      <c r="P107" s="35"/>
      <c r="Q107" s="35"/>
      <c r="R107" s="35"/>
      <c r="S107" s="35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4"/>
      <c r="N108" s="34"/>
      <c r="O108" s="34"/>
      <c r="P108" s="35"/>
      <c r="Q108" s="35"/>
      <c r="R108" s="35"/>
      <c r="S108" s="35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4"/>
      <c r="N109" s="34"/>
      <c r="O109" s="34"/>
      <c r="P109" s="35"/>
      <c r="Q109" s="35"/>
      <c r="R109" s="35"/>
      <c r="S109" s="35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4"/>
      <c r="N110" s="34"/>
      <c r="O110" s="34"/>
      <c r="P110" s="35"/>
      <c r="Q110" s="35"/>
      <c r="R110" s="35"/>
      <c r="S110" s="35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4"/>
      <c r="N111" s="34"/>
      <c r="O111" s="34"/>
      <c r="P111" s="35"/>
      <c r="Q111" s="35"/>
      <c r="R111" s="35"/>
      <c r="S111" s="35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4"/>
      <c r="N112" s="34"/>
      <c r="O112" s="34"/>
      <c r="P112" s="35"/>
      <c r="Q112" s="35"/>
      <c r="R112" s="35"/>
      <c r="S112" s="35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4"/>
      <c r="N113" s="34"/>
      <c r="O113" s="34"/>
      <c r="P113" s="35"/>
      <c r="Q113" s="35"/>
      <c r="R113" s="35"/>
      <c r="S113" s="35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4"/>
      <c r="N114" s="34"/>
      <c r="O114" s="34"/>
      <c r="P114" s="35"/>
      <c r="Q114" s="35"/>
      <c r="R114" s="35"/>
      <c r="S114" s="35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4"/>
      <c r="N115" s="34"/>
      <c r="O115" s="34"/>
      <c r="P115" s="35"/>
      <c r="Q115" s="35"/>
      <c r="R115" s="35"/>
      <c r="S115" s="35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4"/>
      <c r="N116" s="34"/>
      <c r="O116" s="34"/>
      <c r="P116" s="35"/>
      <c r="Q116" s="35"/>
      <c r="R116" s="35"/>
      <c r="S116" s="35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4"/>
      <c r="N117" s="34"/>
      <c r="O117" s="34"/>
      <c r="P117" s="35"/>
      <c r="Q117" s="35"/>
      <c r="R117" s="35"/>
      <c r="S117" s="35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4"/>
      <c r="N118" s="34"/>
      <c r="O118" s="34"/>
      <c r="P118" s="35"/>
      <c r="Q118" s="35"/>
      <c r="R118" s="35"/>
      <c r="S118" s="35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4"/>
      <c r="N119" s="34"/>
      <c r="O119" s="34"/>
      <c r="P119" s="35"/>
      <c r="Q119" s="35"/>
      <c r="R119" s="35"/>
      <c r="S119" s="35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4"/>
      <c r="N120" s="34"/>
      <c r="O120" s="34"/>
      <c r="P120" s="35"/>
      <c r="Q120" s="35"/>
      <c r="R120" s="35"/>
      <c r="S120" s="35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4"/>
      <c r="N121" s="34"/>
      <c r="O121" s="34"/>
      <c r="P121" s="35"/>
      <c r="Q121" s="35"/>
      <c r="R121" s="35"/>
      <c r="S121" s="35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4"/>
      <c r="N122" s="34"/>
      <c r="O122" s="34"/>
      <c r="P122" s="35"/>
      <c r="Q122" s="35"/>
      <c r="R122" s="35"/>
      <c r="S122" s="35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4"/>
      <c r="N123" s="34"/>
      <c r="O123" s="34"/>
      <c r="P123" s="35"/>
      <c r="Q123" s="35"/>
      <c r="R123" s="35"/>
      <c r="S123" s="35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4"/>
      <c r="N124" s="34"/>
      <c r="O124" s="34"/>
      <c r="P124" s="35"/>
      <c r="Q124" s="35"/>
      <c r="R124" s="35"/>
      <c r="S124" s="35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4"/>
      <c r="N125" s="34"/>
      <c r="O125" s="34"/>
      <c r="P125" s="35"/>
      <c r="Q125" s="35"/>
      <c r="R125" s="35"/>
      <c r="S125" s="35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4"/>
      <c r="N126" s="34"/>
      <c r="O126" s="34"/>
      <c r="P126" s="35"/>
      <c r="Q126" s="35"/>
      <c r="R126" s="35"/>
      <c r="S126" s="35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4"/>
      <c r="N127" s="34"/>
      <c r="O127" s="34"/>
      <c r="P127" s="35"/>
      <c r="Q127" s="35"/>
      <c r="R127" s="35"/>
      <c r="S127" s="35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4"/>
      <c r="N128" s="34"/>
      <c r="O128" s="34"/>
      <c r="P128" s="35"/>
      <c r="Q128" s="35"/>
      <c r="R128" s="35"/>
      <c r="S128" s="35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4"/>
      <c r="N129" s="34"/>
      <c r="O129" s="34"/>
      <c r="P129" s="35"/>
      <c r="Q129" s="35"/>
      <c r="R129" s="35"/>
      <c r="S129" s="35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4"/>
      <c r="N130" s="34"/>
      <c r="O130" s="34"/>
      <c r="P130" s="35"/>
      <c r="Q130" s="35"/>
      <c r="R130" s="35"/>
      <c r="S130" s="35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4"/>
      <c r="N131" s="34"/>
      <c r="O131" s="34"/>
      <c r="P131" s="35"/>
      <c r="Q131" s="35"/>
      <c r="R131" s="35"/>
      <c r="S131" s="35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4"/>
      <c r="N132" s="34"/>
      <c r="O132" s="34"/>
      <c r="P132" s="35"/>
      <c r="Q132" s="35"/>
      <c r="R132" s="35"/>
      <c r="S132" s="35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4"/>
      <c r="N133" s="34"/>
      <c r="O133" s="34"/>
      <c r="P133" s="35"/>
      <c r="Q133" s="35"/>
      <c r="R133" s="35"/>
      <c r="S133" s="35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4"/>
      <c r="N134" s="34"/>
      <c r="O134" s="34"/>
      <c r="P134" s="35"/>
      <c r="Q134" s="35"/>
      <c r="R134" s="35"/>
      <c r="S134" s="35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4"/>
      <c r="N135" s="34"/>
      <c r="O135" s="34"/>
      <c r="P135" s="35"/>
      <c r="Q135" s="35"/>
      <c r="R135" s="35"/>
      <c r="S135" s="35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4"/>
      <c r="N136" s="34"/>
      <c r="O136" s="34"/>
      <c r="P136" s="35"/>
      <c r="Q136" s="35"/>
      <c r="R136" s="35"/>
      <c r="S136" s="35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4"/>
      <c r="N137" s="34"/>
      <c r="O137" s="34"/>
      <c r="P137" s="35"/>
      <c r="Q137" s="35"/>
      <c r="R137" s="35"/>
      <c r="S137" s="35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4"/>
      <c r="N138" s="34"/>
      <c r="O138" s="34"/>
      <c r="P138" s="35"/>
      <c r="Q138" s="35"/>
      <c r="R138" s="35"/>
      <c r="S138" s="35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4"/>
      <c r="N139" s="34"/>
      <c r="O139" s="34"/>
      <c r="P139" s="35"/>
      <c r="Q139" s="35"/>
      <c r="R139" s="35"/>
      <c r="S139" s="35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4"/>
      <c r="N140" s="34"/>
      <c r="O140" s="34"/>
      <c r="P140" s="35"/>
      <c r="Q140" s="35"/>
      <c r="R140" s="35"/>
      <c r="S140" s="35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4"/>
      <c r="N141" s="34"/>
      <c r="O141" s="34"/>
      <c r="P141" s="35"/>
      <c r="Q141" s="35"/>
      <c r="R141" s="35"/>
      <c r="S141" s="35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4"/>
      <c r="N142" s="34"/>
      <c r="O142" s="34"/>
      <c r="P142" s="35"/>
      <c r="Q142" s="35"/>
      <c r="R142" s="35"/>
      <c r="S142" s="35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4"/>
      <c r="N143" s="34"/>
      <c r="O143" s="34"/>
      <c r="P143" s="35"/>
      <c r="Q143" s="35"/>
      <c r="R143" s="35"/>
      <c r="S143" s="35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4"/>
      <c r="N144" s="34"/>
      <c r="O144" s="34"/>
      <c r="P144" s="35"/>
      <c r="Q144" s="35"/>
      <c r="R144" s="35"/>
      <c r="S144" s="35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4"/>
      <c r="N145" s="34"/>
      <c r="O145" s="34"/>
      <c r="P145" s="35"/>
      <c r="Q145" s="35"/>
      <c r="R145" s="35"/>
      <c r="S145" s="35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4"/>
      <c r="N146" s="34"/>
      <c r="O146" s="34"/>
      <c r="P146" s="35"/>
      <c r="Q146" s="35"/>
      <c r="R146" s="35"/>
      <c r="S146" s="35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4"/>
      <c r="N147" s="34"/>
      <c r="O147" s="34"/>
      <c r="P147" s="35"/>
      <c r="Q147" s="35"/>
      <c r="R147" s="35"/>
      <c r="S147" s="35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4"/>
      <c r="N148" s="34"/>
      <c r="O148" s="34"/>
      <c r="P148" s="35"/>
      <c r="Q148" s="35"/>
      <c r="R148" s="35"/>
      <c r="S148" s="35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4"/>
      <c r="N149" s="34"/>
      <c r="O149" s="34"/>
      <c r="P149" s="35"/>
      <c r="Q149" s="35"/>
      <c r="R149" s="35"/>
      <c r="S149" s="35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4"/>
      <c r="N150" s="34"/>
      <c r="O150" s="34"/>
      <c r="P150" s="35"/>
      <c r="Q150" s="35"/>
      <c r="R150" s="35"/>
      <c r="S150" s="35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4"/>
      <c r="N151" s="34"/>
      <c r="O151" s="34"/>
      <c r="P151" s="35"/>
      <c r="Q151" s="35"/>
      <c r="R151" s="35"/>
      <c r="S151" s="35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4"/>
      <c r="N152" s="34"/>
      <c r="O152" s="34"/>
      <c r="P152" s="35"/>
      <c r="Q152" s="35"/>
      <c r="R152" s="35"/>
      <c r="S152" s="35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4"/>
      <c r="N153" s="34"/>
      <c r="O153" s="34"/>
      <c r="P153" s="35"/>
      <c r="Q153" s="35"/>
      <c r="R153" s="35"/>
      <c r="S153" s="35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4"/>
      <c r="N154" s="34"/>
      <c r="O154" s="34"/>
      <c r="P154" s="35"/>
      <c r="Q154" s="35"/>
      <c r="R154" s="35"/>
      <c r="S154" s="35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4"/>
      <c r="N155" s="34"/>
      <c r="O155" s="34"/>
      <c r="P155" s="35"/>
      <c r="Q155" s="35"/>
      <c r="R155" s="35"/>
      <c r="S155" s="35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4"/>
      <c r="N156" s="34"/>
      <c r="O156" s="34"/>
      <c r="P156" s="35"/>
      <c r="Q156" s="35"/>
      <c r="R156" s="35"/>
      <c r="S156" s="35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4"/>
      <c r="N157" s="34"/>
      <c r="O157" s="34"/>
      <c r="P157" s="35"/>
      <c r="Q157" s="35"/>
      <c r="R157" s="35"/>
      <c r="S157" s="35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4"/>
      <c r="N158" s="34"/>
      <c r="O158" s="34"/>
      <c r="P158" s="35"/>
      <c r="Q158" s="35"/>
      <c r="R158" s="35"/>
      <c r="S158" s="35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4"/>
      <c r="N159" s="34"/>
      <c r="O159" s="34"/>
      <c r="P159" s="35"/>
      <c r="Q159" s="35"/>
      <c r="R159" s="35"/>
      <c r="S159" s="35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4"/>
      <c r="N160" s="34"/>
      <c r="O160" s="34"/>
      <c r="P160" s="35"/>
      <c r="Q160" s="35"/>
      <c r="R160" s="35"/>
      <c r="S160" s="35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4"/>
      <c r="N161" s="34"/>
      <c r="O161" s="34"/>
      <c r="P161" s="35"/>
      <c r="Q161" s="35"/>
      <c r="R161" s="35"/>
      <c r="S161" s="35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4"/>
      <c r="N162" s="34"/>
      <c r="O162" s="34"/>
      <c r="P162" s="35"/>
      <c r="Q162" s="35"/>
      <c r="R162" s="35"/>
      <c r="S162" s="35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4"/>
      <c r="N163" s="34"/>
      <c r="O163" s="34"/>
      <c r="P163" s="35"/>
      <c r="Q163" s="35"/>
      <c r="R163" s="35"/>
      <c r="S163" s="35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4"/>
      <c r="N164" s="34"/>
      <c r="O164" s="34"/>
      <c r="P164" s="35"/>
      <c r="Q164" s="35"/>
      <c r="R164" s="35"/>
      <c r="S164" s="35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4"/>
      <c r="N165" s="34"/>
      <c r="O165" s="34"/>
      <c r="P165" s="35"/>
      <c r="Q165" s="35"/>
      <c r="R165" s="35"/>
      <c r="S165" s="35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4"/>
      <c r="N166" s="34"/>
      <c r="O166" s="34"/>
      <c r="P166" s="35"/>
      <c r="Q166" s="35"/>
      <c r="R166" s="35"/>
      <c r="S166" s="35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4"/>
      <c r="N167" s="34"/>
      <c r="O167" s="34"/>
      <c r="P167" s="35"/>
      <c r="Q167" s="35"/>
      <c r="R167" s="35"/>
      <c r="S167" s="35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4"/>
      <c r="N168" s="34"/>
      <c r="O168" s="34"/>
      <c r="P168" s="35"/>
      <c r="Q168" s="35"/>
      <c r="R168" s="35"/>
      <c r="S168" s="35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4"/>
      <c r="N169" s="34"/>
      <c r="O169" s="34"/>
      <c r="P169" s="35"/>
      <c r="Q169" s="35"/>
      <c r="R169" s="35"/>
      <c r="S169" s="35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4"/>
      <c r="N170" s="34"/>
      <c r="O170" s="34"/>
      <c r="P170" s="35"/>
      <c r="Q170" s="35"/>
      <c r="R170" s="35"/>
      <c r="S170" s="35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4"/>
      <c r="N171" s="34"/>
      <c r="O171" s="34"/>
      <c r="P171" s="35"/>
      <c r="Q171" s="35"/>
      <c r="R171" s="35"/>
      <c r="S171" s="35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4"/>
      <c r="N172" s="34"/>
      <c r="O172" s="34"/>
      <c r="P172" s="35"/>
      <c r="Q172" s="35"/>
      <c r="R172" s="35"/>
      <c r="S172" s="35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4"/>
      <c r="N173" s="34"/>
      <c r="O173" s="34"/>
      <c r="P173" s="35"/>
      <c r="Q173" s="35"/>
      <c r="R173" s="35"/>
      <c r="S173" s="35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4"/>
      <c r="N174" s="34"/>
      <c r="O174" s="34"/>
      <c r="P174" s="35"/>
      <c r="Q174" s="35"/>
      <c r="R174" s="35"/>
      <c r="S174" s="35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4"/>
      <c r="N175" s="34"/>
      <c r="O175" s="34"/>
      <c r="P175" s="35"/>
      <c r="Q175" s="35"/>
      <c r="R175" s="35"/>
      <c r="S175" s="35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4"/>
      <c r="N176" s="34"/>
      <c r="O176" s="34"/>
      <c r="P176" s="35"/>
      <c r="Q176" s="35"/>
      <c r="R176" s="35"/>
      <c r="S176" s="35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4"/>
      <c r="N177" s="34"/>
      <c r="O177" s="34"/>
      <c r="P177" s="35"/>
      <c r="Q177" s="35"/>
      <c r="R177" s="35"/>
      <c r="S177" s="35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4"/>
      <c r="N178" s="34"/>
      <c r="O178" s="34"/>
      <c r="P178" s="35"/>
      <c r="Q178" s="35"/>
      <c r="R178" s="35"/>
      <c r="S178" s="35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4"/>
      <c r="N179" s="34"/>
      <c r="O179" s="34"/>
      <c r="P179" s="35"/>
      <c r="Q179" s="35"/>
      <c r="R179" s="35"/>
      <c r="S179" s="35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4"/>
      <c r="N180" s="34"/>
      <c r="O180" s="34"/>
      <c r="P180" s="35"/>
      <c r="Q180" s="35"/>
      <c r="R180" s="35"/>
      <c r="S180" s="35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4"/>
      <c r="N181" s="34"/>
      <c r="O181" s="34"/>
      <c r="P181" s="35"/>
      <c r="Q181" s="35"/>
      <c r="R181" s="35"/>
      <c r="S181" s="35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4"/>
      <c r="N182" s="34"/>
      <c r="O182" s="34"/>
      <c r="P182" s="35"/>
      <c r="Q182" s="35"/>
      <c r="R182" s="35"/>
      <c r="S182" s="35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4"/>
      <c r="N183" s="34"/>
      <c r="O183" s="34"/>
      <c r="P183" s="35"/>
      <c r="Q183" s="35"/>
      <c r="R183" s="35"/>
      <c r="S183" s="35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4"/>
      <c r="N184" s="34"/>
      <c r="O184" s="34"/>
      <c r="P184" s="35"/>
      <c r="Q184" s="35"/>
      <c r="R184" s="35"/>
      <c r="S184" s="35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4"/>
      <c r="N185" s="34"/>
      <c r="O185" s="34"/>
      <c r="P185" s="35"/>
      <c r="Q185" s="35"/>
      <c r="R185" s="35"/>
      <c r="S185" s="35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4"/>
      <c r="N186" s="34"/>
      <c r="O186" s="34"/>
      <c r="P186" s="35"/>
      <c r="Q186" s="35"/>
      <c r="R186" s="35"/>
      <c r="S186" s="35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4"/>
      <c r="N187" s="34"/>
      <c r="O187" s="34"/>
      <c r="P187" s="35"/>
      <c r="Q187" s="35"/>
      <c r="R187" s="35"/>
      <c r="S187" s="35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4"/>
      <c r="N188" s="34"/>
      <c r="O188" s="34"/>
      <c r="P188" s="35"/>
      <c r="Q188" s="35"/>
      <c r="R188" s="35"/>
      <c r="S188" s="35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4"/>
      <c r="N189" s="34"/>
      <c r="O189" s="34"/>
      <c r="P189" s="35"/>
      <c r="Q189" s="35"/>
      <c r="R189" s="35"/>
      <c r="S189" s="35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4"/>
      <c r="N190" s="34"/>
      <c r="O190" s="34"/>
      <c r="P190" s="35"/>
      <c r="Q190" s="35"/>
      <c r="R190" s="35"/>
      <c r="S190" s="35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4"/>
      <c r="N191" s="34"/>
      <c r="O191" s="34"/>
      <c r="P191" s="35"/>
      <c r="Q191" s="35"/>
      <c r="R191" s="35"/>
      <c r="S191" s="35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4"/>
      <c r="N192" s="34"/>
      <c r="O192" s="34"/>
      <c r="P192" s="35"/>
      <c r="Q192" s="35"/>
      <c r="R192" s="35"/>
      <c r="S192" s="35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4"/>
      <c r="N193" s="34"/>
      <c r="O193" s="34"/>
      <c r="P193" s="35"/>
      <c r="Q193" s="35"/>
      <c r="R193" s="35"/>
      <c r="S193" s="35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4"/>
      <c r="N194" s="34"/>
      <c r="O194" s="34"/>
      <c r="P194" s="35"/>
      <c r="Q194" s="35"/>
      <c r="R194" s="35"/>
      <c r="S194" s="35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4"/>
      <c r="N195" s="34"/>
      <c r="O195" s="34"/>
      <c r="P195" s="35"/>
      <c r="Q195" s="35"/>
      <c r="R195" s="35"/>
      <c r="S195" s="35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4"/>
      <c r="N196" s="34"/>
      <c r="O196" s="34"/>
      <c r="P196" s="35"/>
      <c r="Q196" s="35"/>
      <c r="R196" s="35"/>
      <c r="S196" s="35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4"/>
      <c r="N197" s="34"/>
      <c r="O197" s="34"/>
      <c r="P197" s="35"/>
      <c r="Q197" s="35"/>
      <c r="R197" s="35"/>
      <c r="S197" s="35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4"/>
      <c r="N198" s="34"/>
      <c r="O198" s="34"/>
      <c r="P198" s="35"/>
      <c r="Q198" s="35"/>
      <c r="R198" s="35"/>
      <c r="S198" s="35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4"/>
      <c r="N199" s="34"/>
      <c r="O199" s="34"/>
      <c r="P199" s="35"/>
      <c r="Q199" s="35"/>
      <c r="R199" s="35"/>
      <c r="S199" s="35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4"/>
      <c r="N200" s="34"/>
      <c r="O200" s="34"/>
      <c r="P200" s="35"/>
      <c r="Q200" s="35"/>
      <c r="R200" s="35"/>
      <c r="S200" s="35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4"/>
      <c r="N201" s="34"/>
      <c r="O201" s="34"/>
      <c r="P201" s="35"/>
      <c r="Q201" s="35"/>
      <c r="R201" s="35"/>
      <c r="S201" s="35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4"/>
      <c r="N202" s="34"/>
      <c r="O202" s="34"/>
      <c r="P202" s="35"/>
      <c r="Q202" s="35"/>
      <c r="R202" s="35"/>
      <c r="S202" s="35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4"/>
      <c r="N203" s="34"/>
      <c r="O203" s="34"/>
      <c r="P203" s="35"/>
      <c r="Q203" s="35"/>
      <c r="R203" s="35"/>
      <c r="S203" s="35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4"/>
      <c r="N204" s="34"/>
      <c r="O204" s="34"/>
      <c r="P204" s="35"/>
      <c r="Q204" s="35"/>
      <c r="R204" s="35"/>
      <c r="S204" s="35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4"/>
      <c r="N205" s="34"/>
      <c r="O205" s="34"/>
      <c r="P205" s="35"/>
      <c r="Q205" s="35"/>
      <c r="R205" s="35"/>
      <c r="S205" s="35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4"/>
      <c r="N206" s="34"/>
      <c r="O206" s="34"/>
      <c r="P206" s="35"/>
      <c r="Q206" s="35"/>
      <c r="R206" s="35"/>
      <c r="S206" s="35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4"/>
      <c r="N207" s="34"/>
      <c r="O207" s="34"/>
      <c r="P207" s="35"/>
      <c r="Q207" s="35"/>
      <c r="R207" s="35"/>
      <c r="S207" s="35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4"/>
      <c r="N208" s="34"/>
      <c r="O208" s="34"/>
      <c r="P208" s="35"/>
      <c r="Q208" s="35"/>
      <c r="R208" s="35"/>
      <c r="S208" s="35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4"/>
      <c r="N209" s="34"/>
      <c r="O209" s="34"/>
      <c r="P209" s="35"/>
      <c r="Q209" s="35"/>
      <c r="R209" s="35"/>
      <c r="S209" s="35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4"/>
      <c r="N210" s="34"/>
      <c r="O210" s="34"/>
      <c r="P210" s="35"/>
      <c r="Q210" s="35"/>
      <c r="R210" s="35"/>
      <c r="S210" s="35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4"/>
      <c r="N211" s="34"/>
      <c r="O211" s="34"/>
      <c r="P211" s="35"/>
      <c r="Q211" s="35"/>
      <c r="R211" s="35"/>
      <c r="S211" s="35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4"/>
      <c r="N212" s="34"/>
      <c r="O212" s="34"/>
      <c r="P212" s="35"/>
      <c r="Q212" s="35"/>
      <c r="R212" s="35"/>
      <c r="S212" s="35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4"/>
      <c r="N213" s="34"/>
      <c r="O213" s="34"/>
      <c r="P213" s="35"/>
      <c r="Q213" s="35"/>
      <c r="R213" s="35"/>
      <c r="S213" s="35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4"/>
      <c r="N214" s="34"/>
      <c r="O214" s="34"/>
      <c r="P214" s="35"/>
      <c r="Q214" s="35"/>
      <c r="R214" s="35"/>
      <c r="S214" s="35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4"/>
      <c r="N215" s="34"/>
      <c r="O215" s="34"/>
      <c r="P215" s="35"/>
      <c r="Q215" s="35"/>
      <c r="R215" s="35"/>
      <c r="S215" s="35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4"/>
      <c r="N216" s="34"/>
      <c r="O216" s="34"/>
      <c r="P216" s="35"/>
      <c r="Q216" s="35"/>
      <c r="R216" s="35"/>
      <c r="S216" s="35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4"/>
      <c r="N217" s="34"/>
      <c r="O217" s="34"/>
      <c r="P217" s="35"/>
      <c r="Q217" s="35"/>
      <c r="R217" s="35"/>
      <c r="S217" s="35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4"/>
      <c r="N218" s="34"/>
      <c r="O218" s="34"/>
      <c r="P218" s="35"/>
      <c r="Q218" s="35"/>
      <c r="R218" s="35"/>
      <c r="S218" s="35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4"/>
      <c r="N219" s="34"/>
      <c r="O219" s="34"/>
      <c r="P219" s="35"/>
      <c r="Q219" s="35"/>
      <c r="R219" s="35"/>
      <c r="S219" s="35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4"/>
      <c r="N220" s="34"/>
      <c r="O220" s="34"/>
      <c r="P220" s="35"/>
      <c r="Q220" s="35"/>
      <c r="R220" s="35"/>
      <c r="S220" s="35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 ht="15.75" customHeight="1">
      <c r="A221" s="32"/>
      <c r="B221" s="15"/>
      <c r="C221" s="15"/>
      <c r="D221" s="15"/>
      <c r="E221" s="15"/>
      <c r="F221" s="15"/>
      <c r="G221" s="34"/>
      <c r="H221" s="14"/>
      <c r="I221" s="14"/>
      <c r="J221" s="14"/>
      <c r="K221" s="32"/>
      <c r="L221" s="32"/>
      <c r="M221" s="34"/>
      <c r="N221" s="34"/>
      <c r="O221" s="34"/>
      <c r="P221" s="35"/>
      <c r="Q221" s="35"/>
      <c r="R221" s="35"/>
      <c r="S221" s="35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 ht="15.75" customHeight="1">
      <c r="A222" s="32"/>
      <c r="B222" s="15"/>
      <c r="C222" s="15"/>
      <c r="D222" s="15"/>
      <c r="E222" s="15"/>
      <c r="F222" s="15"/>
      <c r="G222" s="34"/>
      <c r="H222" s="14"/>
      <c r="I222" s="14"/>
      <c r="J222" s="14"/>
      <c r="K222" s="32"/>
      <c r="L222" s="32"/>
      <c r="M222" s="34"/>
      <c r="N222" s="34"/>
      <c r="O222" s="34"/>
      <c r="P222" s="35"/>
      <c r="Q222" s="35"/>
      <c r="R222" s="35"/>
      <c r="S222" s="35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 ht="15.75" customHeight="1">
      <c r="A223" s="32"/>
      <c r="B223" s="15"/>
      <c r="C223" s="15"/>
      <c r="D223" s="15"/>
      <c r="E223" s="15"/>
      <c r="F223" s="15"/>
      <c r="G223" s="34"/>
      <c r="H223" s="14"/>
      <c r="I223" s="14"/>
      <c r="J223" s="14"/>
      <c r="K223" s="32"/>
      <c r="L223" s="32"/>
      <c r="M223" s="34"/>
      <c r="N223" s="34"/>
      <c r="O223" s="34"/>
      <c r="P223" s="35"/>
      <c r="Q223" s="35"/>
      <c r="R223" s="35"/>
      <c r="S223" s="35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26" t="s">
        <v>194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195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196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 t="s">
        <v>197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198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199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 t="s">
        <v>200</v>
      </c>
      <c r="B14" s="15">
        <v>6.0</v>
      </c>
      <c r="C14" s="15">
        <v>0.0</v>
      </c>
      <c r="D14" s="15">
        <v>0.0</v>
      </c>
      <c r="E14" s="15">
        <v>0.0</v>
      </c>
      <c r="F14" s="15">
        <v>0.0</v>
      </c>
      <c r="G14" s="14">
        <v>0.0</v>
      </c>
      <c r="H14" s="14">
        <v>0.0</v>
      </c>
      <c r="I14" s="14">
        <v>0.0</v>
      </c>
      <c r="J14" s="14">
        <v>0.0</v>
      </c>
      <c r="K14" s="26"/>
      <c r="L14" s="26"/>
      <c r="M14" s="14">
        <f>IF($A14="", -1, ($B14*README!$B$2)+($C14*README!$B$3)+($D14*README!$B$4)+($E14*README!$B$5)+($F14*README!$B$6))</f>
        <v>600000000</v>
      </c>
      <c r="N14" s="14">
        <f>IF($A14="", -1, ($B14*README!$B$2)+($C14*README!$B$3)+($D14*README!$B$4)+($E14*README!$B$5)+($F14*README!$B$6)-1)</f>
        <v>599999999</v>
      </c>
      <c r="O14" s="14">
        <f>IF($A14="", -1, ($B14*README!$B$2)+($C14*README!$B$3)+($D14*README!$B$4)+($E14*README!$B$5)+($F14*README!$B$6)+1)</f>
        <v>600000001</v>
      </c>
      <c r="P14" s="14" t="str">
        <f>JOIN(", ", README!$L$2, README!$B$27, -1, README!$B$9, 0)</f>
        <v>-1, -1, -1, -1, 0</v>
      </c>
      <c r="Q14" s="14" t="str">
        <f>JOIN(", ", README!$L$2, README!$B$27, -1, README!$B$9, 0)</f>
        <v>-1, -1, -1, -1, 0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A224" s="26"/>
      <c r="B224" s="15"/>
      <c r="C224" s="15"/>
      <c r="D224" s="15"/>
      <c r="E224" s="15"/>
      <c r="F224" s="15"/>
      <c r="G224" s="14"/>
      <c r="H224" s="14"/>
      <c r="I224" s="14"/>
      <c r="J224" s="14"/>
      <c r="K224" s="26"/>
      <c r="L224" s="26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</row>
    <row r="225" ht="15.75" customHeight="1">
      <c r="A225" s="26"/>
      <c r="B225" s="15"/>
      <c r="C225" s="15"/>
      <c r="D225" s="15"/>
      <c r="E225" s="15"/>
      <c r="F225" s="15"/>
      <c r="G225" s="14"/>
      <c r="H225" s="14"/>
      <c r="I225" s="14"/>
      <c r="J225" s="14"/>
      <c r="K225" s="26"/>
      <c r="L225" s="26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</row>
    <row r="226" ht="15.75" customHeight="1">
      <c r="A226" s="26"/>
      <c r="B226" s="15"/>
      <c r="C226" s="15"/>
      <c r="D226" s="15"/>
      <c r="E226" s="15"/>
      <c r="F226" s="15"/>
      <c r="G226" s="14"/>
      <c r="H226" s="14"/>
      <c r="I226" s="14"/>
      <c r="J226" s="14"/>
      <c r="K226" s="26"/>
      <c r="L226" s="26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24</v>
      </c>
      <c r="B4" s="15">
        <v>1.0</v>
      </c>
      <c r="C4" s="15">
        <v>0.0</v>
      </c>
      <c r="D4" s="15">
        <v>1.0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100100000</v>
      </c>
      <c r="N4" s="14">
        <f>IF($A4="", -1, ($B4*README!$B$2)+($C4*README!$B$3)+($D4*README!$B$4)+($E4*README!$B$5)+($F4*README!$B$6)-1)</f>
        <v>100099999</v>
      </c>
      <c r="O4" s="14">
        <f>IF($A4="", -1, ($B4*README!$B$2)+($C4*README!$B$3)+($D4*README!$B$4)+($E4*README!$B$5)+($F4*README!$B$6)+1)</f>
        <v>100100001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 t="s">
        <v>29</v>
      </c>
      <c r="B5" s="15">
        <v>1.0</v>
      </c>
      <c r="C5" s="15">
        <v>0.0</v>
      </c>
      <c r="D5" s="15">
        <v>1.0</v>
      </c>
      <c r="E5" s="15">
        <v>1.0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100100100</v>
      </c>
      <c r="N5" s="14">
        <f>IF($A5="", -1, ($B5*README!$B$2)+($C5*README!$B$3)+($D5*README!$B$4)+($E5*README!$B$5)+($F5*README!$B$6)-1)</f>
        <v>100100099</v>
      </c>
      <c r="O5" s="14">
        <f>IF($A5="", -1, ($B5*README!$B$2)+($C5*README!$B$3)+($D5*README!$B$4)+($E5*README!$B$5)+($F5*README!$B$6)+1)</f>
        <v>100100101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31</v>
      </c>
      <c r="B6" s="15">
        <v>1.0</v>
      </c>
      <c r="C6" s="15">
        <v>0.0</v>
      </c>
      <c r="D6" s="15">
        <v>1.0</v>
      </c>
      <c r="E6" s="15">
        <v>2.0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100100200</v>
      </c>
      <c r="N6" s="14">
        <f>IF($A6="", -1, ($B6*README!$B$2)+($C6*README!$B$3)+($D6*README!$B$4)+($E6*README!$B$5)+($F6*README!$B$6)-1)</f>
        <v>100100199</v>
      </c>
      <c r="O6" s="14">
        <f>IF($A6="", -1, ($B6*README!$B$2)+($C6*README!$B$3)+($D6*README!$B$4)+($E6*README!$B$5)+($F6*README!$B$6)+1)</f>
        <v>100100201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 t="s">
        <v>201</v>
      </c>
      <c r="B8" s="15">
        <v>2.0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200000000</v>
      </c>
      <c r="N8" s="14">
        <f>IF($A8="", -1, ($B8*README!$B$2)+($C8*README!$B$3)+($D8*README!$B$4)+($E8*README!$B$5)+($F8*README!$B$6)-1)</f>
        <v>199999999</v>
      </c>
      <c r="O8" s="14">
        <f>IF($A8="", -1, ($B8*README!$B$2)+($C8*README!$B$3)+($D8*README!$B$4)+($E8*README!$B$5)+($F8*README!$B$6)+1)</f>
        <v>200000001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202</v>
      </c>
      <c r="B10" s="15">
        <v>3.0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300000000</v>
      </c>
      <c r="N10" s="14">
        <f>IF($A10="", -1, ($B10*README!$B$2)+($C10*README!$B$3)+($D10*README!$B$4)+($E10*README!$B$5)+($F10*README!$B$6)-1)</f>
        <v>299999999</v>
      </c>
      <c r="O10" s="14">
        <f>IF($A10="", -1, ($B10*README!$B$2)+($C10*README!$B$3)+($D10*README!$B$4)+($E10*README!$B$5)+($F10*README!$B$6)+1)</f>
        <v>300000001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203</v>
      </c>
      <c r="B12" s="15">
        <v>4.0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400000000</v>
      </c>
      <c r="N12" s="14">
        <f>IF($A12="", -1, ($B12*README!$B$2)+($C12*README!$B$3)+($D12*README!$B$4)+($E12*README!$B$5)+($F12*README!$B$6)-1)</f>
        <v>399999999</v>
      </c>
      <c r="O12" s="14">
        <f>IF($A12="", -1, ($B12*README!$B$2)+($C12*README!$B$3)+($D12*README!$B$4)+($E12*README!$B$5)+($F12*README!$B$6)+1)</f>
        <v>400000001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 t="s">
        <v>204</v>
      </c>
      <c r="B14" s="15">
        <v>5.0</v>
      </c>
      <c r="C14" s="15">
        <v>0.0</v>
      </c>
      <c r="D14" s="15">
        <v>0.0</v>
      </c>
      <c r="E14" s="15">
        <v>0.0</v>
      </c>
      <c r="F14" s="15">
        <v>0.0</v>
      </c>
      <c r="G14" s="14">
        <v>0.0</v>
      </c>
      <c r="H14" s="14">
        <v>0.0</v>
      </c>
      <c r="I14" s="14">
        <v>0.0</v>
      </c>
      <c r="J14" s="14">
        <v>0.0</v>
      </c>
      <c r="K14" s="26"/>
      <c r="L14" s="26"/>
      <c r="M14" s="14">
        <f>IF($A14="", -1, ($B14*README!$B$2)+($C14*README!$B$3)+($D14*README!$B$4)+($E14*README!$B$5)+($F14*README!$B$6))</f>
        <v>500000000</v>
      </c>
      <c r="N14" s="14">
        <f>IF($A14="", -1, ($B14*README!$B$2)+($C14*README!$B$3)+($D14*README!$B$4)+($E14*README!$B$5)+($F14*README!$B$6)-1)</f>
        <v>499999999</v>
      </c>
      <c r="O14" s="14">
        <f>IF($A14="", -1, ($B14*README!$B$2)+($C14*README!$B$3)+($D14*README!$B$4)+($E14*README!$B$5)+($F14*README!$B$6)+1)</f>
        <v>500000001</v>
      </c>
      <c r="P14" s="14" t="str">
        <f>JOIN(", ", README!$L$2, README!$B$27, -1, README!$B$9, 0)</f>
        <v>-1, -1, -1, -1, 0</v>
      </c>
      <c r="Q14" s="14" t="str">
        <f>JOIN(", ", README!$L$2, README!$B$27, -1, README!$B$9, 0)</f>
        <v>-1, -1, -1, -1, 0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 t="s">
        <v>205</v>
      </c>
      <c r="B16" s="15">
        <v>6.0</v>
      </c>
      <c r="C16" s="15">
        <v>0.0</v>
      </c>
      <c r="D16" s="15">
        <v>0.0</v>
      </c>
      <c r="E16" s="15">
        <v>0.0</v>
      </c>
      <c r="F16" s="15">
        <v>0.0</v>
      </c>
      <c r="G16" s="14">
        <v>0.0</v>
      </c>
      <c r="H16" s="14">
        <v>0.0</v>
      </c>
      <c r="I16" s="14">
        <v>0.0</v>
      </c>
      <c r="J16" s="14">
        <v>0.0</v>
      </c>
      <c r="K16" s="26"/>
      <c r="L16" s="26"/>
      <c r="M16" s="14">
        <f>IF($A16="", -1, ($B16*README!$B$2)+($C16*README!$B$3)+($D16*README!$B$4)+($E16*README!$B$5)+($F16*README!$B$6))</f>
        <v>600000000</v>
      </c>
      <c r="N16" s="14">
        <f>IF($A16="", -1, ($B16*README!$B$2)+($C16*README!$B$3)+($D16*README!$B$4)+($E16*README!$B$5)+($F16*README!$B$6)-1)</f>
        <v>599999999</v>
      </c>
      <c r="O16" s="14">
        <f>IF($A16="", -1, ($B16*README!$B$2)+($C16*README!$B$3)+($D16*README!$B$4)+($E16*README!$B$5)+($F16*README!$B$6)+1)</f>
        <v>600000001</v>
      </c>
      <c r="P16" s="14" t="str">
        <f>JOIN(", ", README!$L$2, README!$B$27, -1, README!$B$9, 0)</f>
        <v>-1, -1, -1, -1, 0</v>
      </c>
      <c r="Q16" s="14" t="str">
        <f>JOIN(", ", README!$L$2, README!$B$27, -1, README!$B$9, 0)</f>
        <v>-1, -1, -1, -1, 0</v>
      </c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A224" s="26"/>
      <c r="B224" s="15"/>
      <c r="C224" s="15"/>
      <c r="D224" s="15"/>
      <c r="E224" s="15"/>
      <c r="F224" s="15"/>
      <c r="G224" s="14"/>
      <c r="H224" s="14"/>
      <c r="I224" s="14"/>
      <c r="J224" s="14"/>
      <c r="K224" s="26"/>
      <c r="L224" s="26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88"/>
    <col customWidth="1" min="16" max="16" width="14.0"/>
    <col customWidth="1" min="17" max="17" width="16.88"/>
    <col customWidth="1" min="18" max="18" width="13.25"/>
    <col customWidth="1" min="19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192</v>
      </c>
      <c r="Q1" s="26" t="s">
        <v>193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6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24</v>
      </c>
      <c r="B4" s="15">
        <v>1.0</v>
      </c>
      <c r="C4" s="15">
        <v>0.0</v>
      </c>
      <c r="D4" s="15">
        <v>1.0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100100000</v>
      </c>
      <c r="N4" s="14">
        <f>IF($A4="", -1, ($B4*README!$B$2)+($C4*README!$B$3)+($D4*README!$B$4)+($E4*README!$B$5)+($F4*README!$B$6)-1)</f>
        <v>100099999</v>
      </c>
      <c r="O4" s="14">
        <f>IF($A4="", -1, ($B4*README!$B$2)+($C4*README!$B$3)+($D4*README!$B$4)+($E4*README!$B$5)+($F4*README!$B$6)+1)</f>
        <v>100100001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 t="s">
        <v>29</v>
      </c>
      <c r="B5" s="15">
        <v>1.0</v>
      </c>
      <c r="C5" s="15">
        <v>0.0</v>
      </c>
      <c r="D5" s="15">
        <v>1.0</v>
      </c>
      <c r="E5" s="15">
        <v>1.0</v>
      </c>
      <c r="F5" s="15">
        <v>0.0</v>
      </c>
      <c r="G5" s="14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100100100</v>
      </c>
      <c r="N5" s="14">
        <f>IF($A5="", -1, ($B5*README!$B$2)+($C5*README!$B$3)+($D5*README!$B$4)+($E5*README!$B$5)+($F5*README!$B$6)-1)</f>
        <v>100100099</v>
      </c>
      <c r="O5" s="14">
        <f>IF($A5="", -1, ($B5*README!$B$2)+($C5*README!$B$3)+($D5*README!$B$4)+($E5*README!$B$5)+($F5*README!$B$6)+1)</f>
        <v>100100101</v>
      </c>
      <c r="P5" s="14" t="str">
        <f>JOIN(", ", README!$L$2, README!$B$27, -1, README!$B$9, 0)</f>
        <v>-1, -1, -1, -1, 0</v>
      </c>
      <c r="Q5" s="14" t="str">
        <f>JOIN(", ", README!$L$2, README!$B$27, -1, README!$B$9, 0)</f>
        <v>-1, -1, -1, -1, 0</v>
      </c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31</v>
      </c>
      <c r="B6" s="15">
        <v>1.0</v>
      </c>
      <c r="C6" s="15">
        <v>0.0</v>
      </c>
      <c r="D6" s="15">
        <v>1.0</v>
      </c>
      <c r="E6" s="15">
        <v>2.0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100100200</v>
      </c>
      <c r="N6" s="14">
        <f>IF($A6="", -1, ($B6*README!$B$2)+($C6*README!$B$3)+($D6*README!$B$4)+($E6*README!$B$5)+($F6*README!$B$6)-1)</f>
        <v>100100199</v>
      </c>
      <c r="O6" s="14">
        <f>IF($A6="", -1, ($B6*README!$B$2)+($C6*README!$B$3)+($D6*README!$B$4)+($E6*README!$B$5)+($F6*README!$B$6)+1)</f>
        <v>100100201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26" t="s">
        <v>206</v>
      </c>
      <c r="B8" s="15">
        <v>2.0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200000000</v>
      </c>
      <c r="N8" s="14">
        <f>IF($A8="", -1, ($B8*README!$B$2)+($C8*README!$B$3)+($D8*README!$B$4)+($E8*README!$B$5)+($F8*README!$B$6)-1)</f>
        <v>199999999</v>
      </c>
      <c r="O8" s="14">
        <f>IF($A8="", -1, ($B8*README!$B$2)+($C8*README!$B$3)+($D8*README!$B$4)+($E8*README!$B$5)+($F8*README!$B$6)+1)</f>
        <v>200000001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207</v>
      </c>
      <c r="B10" s="15">
        <v>3.0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300000000</v>
      </c>
      <c r="N10" s="14">
        <f>IF($A10="", -1, ($B10*README!$B$2)+($C10*README!$B$3)+($D10*README!$B$4)+($E10*README!$B$5)+($F10*README!$B$6)-1)</f>
        <v>299999999</v>
      </c>
      <c r="O10" s="14">
        <f>IF($A10="", -1, ($B10*README!$B$2)+($C10*README!$B$3)+($D10*README!$B$4)+($E10*README!$B$5)+($F10*README!$B$6)+1)</f>
        <v>300000001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208</v>
      </c>
      <c r="B12" s="15">
        <v>4.0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400000000</v>
      </c>
      <c r="N12" s="14">
        <f>IF($A12="", -1, ($B12*README!$B$2)+($C12*README!$B$3)+($D12*README!$B$4)+($E12*README!$B$5)+($F12*README!$B$6)-1)</f>
        <v>399999999</v>
      </c>
      <c r="O12" s="14">
        <f>IF($A12="", -1, ($B12*README!$B$2)+($C12*README!$B$3)+($D12*README!$B$4)+($E12*README!$B$5)+($F12*README!$B$6)+1)</f>
        <v>400000001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 t="s">
        <v>209</v>
      </c>
      <c r="B14" s="15">
        <v>5.0</v>
      </c>
      <c r="C14" s="15">
        <v>0.0</v>
      </c>
      <c r="D14" s="15">
        <v>0.0</v>
      </c>
      <c r="E14" s="15">
        <v>0.0</v>
      </c>
      <c r="F14" s="15">
        <v>0.0</v>
      </c>
      <c r="G14" s="14">
        <v>0.0</v>
      </c>
      <c r="H14" s="14">
        <v>0.0</v>
      </c>
      <c r="I14" s="14">
        <v>0.0</v>
      </c>
      <c r="J14" s="14">
        <v>0.0</v>
      </c>
      <c r="K14" s="26"/>
      <c r="L14" s="26"/>
      <c r="M14" s="14">
        <f>IF($A14="", -1, ($B14*README!$B$2)+($C14*README!$B$3)+($D14*README!$B$4)+($E14*README!$B$5)+($F14*README!$B$6))</f>
        <v>500000000</v>
      </c>
      <c r="N14" s="14">
        <f>IF($A14="", -1, ($B14*README!$B$2)+($C14*README!$B$3)+($D14*README!$B$4)+($E14*README!$B$5)+($F14*README!$B$6)-1)</f>
        <v>499999999</v>
      </c>
      <c r="O14" s="14">
        <f>IF($A14="", -1, ($B14*README!$B$2)+($C14*README!$B$3)+($D14*README!$B$4)+($E14*README!$B$5)+($F14*README!$B$6)+1)</f>
        <v>500000001</v>
      </c>
      <c r="P14" s="14" t="str">
        <f>JOIN(", ", README!$L$2, README!$B$27, -1, README!$B$9, 0)</f>
        <v>-1, -1, -1, -1, 0</v>
      </c>
      <c r="Q14" s="14" t="str">
        <f>JOIN(", ", README!$L$2, README!$B$27, -1, README!$B$9, 0)</f>
        <v>-1, -1, -1, -1, 0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 t="s">
        <v>210</v>
      </c>
      <c r="B16" s="15">
        <v>6.0</v>
      </c>
      <c r="C16" s="15">
        <v>0.0</v>
      </c>
      <c r="D16" s="15">
        <v>0.0</v>
      </c>
      <c r="E16" s="15">
        <v>0.0</v>
      </c>
      <c r="F16" s="15">
        <v>0.0</v>
      </c>
      <c r="G16" s="14">
        <v>0.0</v>
      </c>
      <c r="H16" s="14">
        <v>0.0</v>
      </c>
      <c r="I16" s="14">
        <v>0.0</v>
      </c>
      <c r="J16" s="14">
        <v>0.0</v>
      </c>
      <c r="K16" s="26"/>
      <c r="L16" s="26"/>
      <c r="M16" s="14">
        <f>IF($A16="", -1, ($B16*README!$B$2)+($C16*README!$B$3)+($D16*README!$B$4)+($E16*README!$B$5)+($F16*README!$B$6))</f>
        <v>600000000</v>
      </c>
      <c r="N16" s="14">
        <f>IF($A16="", -1, ($B16*README!$B$2)+($C16*README!$B$3)+($D16*README!$B$4)+($E16*README!$B$5)+($F16*README!$B$6)-1)</f>
        <v>599999999</v>
      </c>
      <c r="O16" s="14">
        <f>IF($A16="", -1, ($B16*README!$B$2)+($C16*README!$B$3)+($D16*README!$B$4)+($E16*README!$B$5)+($F16*README!$B$6)+1)</f>
        <v>600000001</v>
      </c>
      <c r="P16" s="14" t="str">
        <f>JOIN(", ", README!$L$2, README!$B$27, -1, README!$B$9, 0)</f>
        <v>-1, -1, -1, -1, 0</v>
      </c>
      <c r="Q16" s="14" t="str">
        <f>JOIN(", ", README!$L$2, README!$B$27, -1, README!$B$9, 0)</f>
        <v>-1, -1, -1, -1, 0</v>
      </c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>
      <c r="A224" s="26"/>
      <c r="B224" s="15"/>
      <c r="C224" s="15"/>
      <c r="D224" s="15"/>
      <c r="E224" s="15"/>
      <c r="F224" s="15"/>
      <c r="G224" s="14"/>
      <c r="H224" s="14"/>
      <c r="I224" s="14"/>
      <c r="J224" s="14"/>
      <c r="K224" s="26"/>
      <c r="L224" s="26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drawing r:id="rId1"/>
</worksheet>
</file>