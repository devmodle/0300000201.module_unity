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<sst xmlns="http://schemas.openxmlformats.org/spreadsheetml/2006/main" count="119" uniqueCount="90">
  <si>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</si>
  <si>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</si>
  <si>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</si>
  <si>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</si>
  <si>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</si>
  <si>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</si>
  <si>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</si>
  <si>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</si>
  <si>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</si>
  <si>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</si>
  <si>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</si>
  <si>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</si>
  <si>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</si>
  <si>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</si>
  <si>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</si>
  <si>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</si>
  <si>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</si>
  <si>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</si>
  <si>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</si>
  <si>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</si>
  <si>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</si>
  <si>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</si>
  <si>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</si>
  <si>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</si>
  <si>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</si>
  <si>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</si>
  <si>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</si>
  <si>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</si>
  <si>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</si>
  <si>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</si>
  <si>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</si>
  <si>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</si>
  <si>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</si>
  <si>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</si>
  <si>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</si>
  <si>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</si>
  <si>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</si>
  <si>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</si>
  <si>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</si>
  <si>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</si>
  <si>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</si>
  <si>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</si>
  <si>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</si>
  <si>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</si>
  <si>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</si>
  <si>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</si>
  <si>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</si>
  <si>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</si>
  <si>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</si>
  <si>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</si>
  <si>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</si>
  <si>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</si>
  <si>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</si>
  <si>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</si>
  <si>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</si>
  <si>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</si>
  <si>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</si>
  <si>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</si>
  <si>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</si>
  <si>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</si>
  <si>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</si>
  <si>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</si>
  <si>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</si>
  <si>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</si>
  <si>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</si>
  <si>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</si>
  <si>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</si>
  <si>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</si>
  <si>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</si>
  <si>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</si>
  <si>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</si>
  <si>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</si>
  <si>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</si>
  <si>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</si>
  <si>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TableIdx</t>
  </si>
  <si>
    <t>ProductSaleKinds</t>
  </si>
  <si>
    <t>PrevProductSaleKinds</t>
  </si>
  <si>
    <t>NextProductSaleKinds</t>
  </si>
  <si>
    <t>PayTargetInfo_01</t>
  </si>
  <si>
    <t>AcquireTargetInfo_01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</si>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</sst>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/>
    </xf>
    <xf borderId="0" fillId="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7" t="s">
        <v>74</v>
      </c>
      <c r="L1" s="28" t="s">
        <v>75</v>
      </c>
      <c r="M1" s="27" t="s">
        <v>76</v>
      </c>
      <c r="N1" s="27" t="s">
        <v>77</v>
      </c>
      <c r="O1" s="26" t="s">
        <v>78</v>
      </c>
      <c r="P1" s="26" t="s">
        <v>79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80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81</v>
      </c>
      <c r="J2" s="29"/>
      <c r="K2" s="31">
        <v>0.0</v>
      </c>
      <c r="L2" s="13">
        <f>IF($A2="", -1, ($B2*README!$B$2)+($C2*README!$B$3)+($D2*README!$B$4)+($E2*README!$B$5)+($F2*README!$B$6))</f>
        <v>0</v>
      </c>
      <c r="M2" s="13">
        <f>IF($A2="", -1, ($B2*README!$B$2)+($C2*README!$B$3)+($D2*README!$B$4)+($E2*README!$B$5)+($F2*README!$B$6)-1)</f>
        <v>-1</v>
      </c>
      <c r="N2" s="13">
        <f>IF($A2="", -1, ($B2*README!$B$2)+($C2*README!$B$3)+($D2*README!$B$4)+($E2*README!$B$5)+($F2*README!$B$6)+1)</f>
        <v>1</v>
      </c>
      <c r="O2" s="13" t="str">
        <f>JOIN(", ", README!$L$2, README!$B$27, -1, 0, 0, 0)</f>
        <v>-1, -1, -1, 0, 0, 0</v>
      </c>
      <c r="P2" s="13" t="str">
        <f>JOIN(", ", README!$L$2, README!$B$27, -1, 0, 0, 0)</f>
        <v>-1, -1, -1, 0, 0,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82</v>
      </c>
      <c r="B3" s="14">
        <v>0.0</v>
      </c>
      <c r="C3" s="14">
        <v>0.0</v>
      </c>
      <c r="D3" s="14">
        <v>0.0</v>
      </c>
      <c r="E3" s="32">
        <v>1.0</v>
      </c>
      <c r="F3" s="14">
        <v>0.0</v>
      </c>
      <c r="G3" s="29">
        <v>0.0</v>
      </c>
      <c r="H3" s="30">
        <v>0.0</v>
      </c>
      <c r="I3" s="13" t="s">
        <v>83</v>
      </c>
      <c r="J3" s="29"/>
      <c r="K3" s="31">
        <v>1.0</v>
      </c>
      <c r="L3" s="13">
        <f>IF($A3="", -1, ($B3*README!$B$2)+($C3*README!$B$3)+($D3*README!$B$4)+($E3*README!$B$5)+($F3*README!$B$6))</f>
        <v>100</v>
      </c>
      <c r="M3" s="13">
        <f>IF($A3="", -1, ($B3*README!$B$2)+($C3*README!$B$3)+($D3*README!$B$4)+($E3*README!$B$5)+($F3*README!$B$6)-1)</f>
        <v>99</v>
      </c>
      <c r="N3" s="13">
        <f>IF($A3="", -1, ($B3*README!$B$2)+($C3*README!$B$3)+($D3*README!$B$4)+($E3*README!$B$5)+($F3*README!$B$6)+1)</f>
        <v>101</v>
      </c>
      <c r="O3" s="13" t="str">
        <f>JOIN(", ", README!$L$2, README!$B$27, -1, 0, 0, 0)</f>
        <v>-1, -1, -1, 0, 0, 0</v>
      </c>
      <c r="P3" s="13" t="str">
        <f>JOIN(", ", README!$L$2, README!$B$27, -1, 0, 0, 0)</f>
        <v>-1, -1, -1, 0, 0,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 t="s">
        <v>84</v>
      </c>
      <c r="B4" s="14">
        <v>0.0</v>
      </c>
      <c r="C4" s="14">
        <v>0.0</v>
      </c>
      <c r="D4" s="14">
        <v>0.0</v>
      </c>
      <c r="E4" s="32">
        <v>2.0</v>
      </c>
      <c r="F4" s="14">
        <v>0.0</v>
      </c>
      <c r="G4" s="31">
        <v>0.0</v>
      </c>
      <c r="H4" s="30">
        <v>0.0</v>
      </c>
      <c r="I4" s="13" t="s">
        <v>85</v>
      </c>
      <c r="J4" s="29"/>
      <c r="K4" s="31">
        <v>2.0</v>
      </c>
      <c r="L4" s="13">
        <f>IF($A4="", -1, ($B4*README!$B$2)+($C4*README!$B$3)+($D4*README!$B$4)+($E4*README!$B$5)+($F4*README!$B$6))</f>
        <v>200</v>
      </c>
      <c r="M4" s="13">
        <f>IF($A4="", -1, ($B4*README!$B$2)+($C4*README!$B$3)+($D4*README!$B$4)+($E4*README!$B$5)+($F4*README!$B$6)-1)</f>
        <v>199</v>
      </c>
      <c r="N4" s="13">
        <f>IF($A4="", -1, ($B4*README!$B$2)+($C4*README!$B$3)+($D4*README!$B$4)+($E4*README!$B$5)+($F4*README!$B$6)+1)</f>
        <v>201</v>
      </c>
      <c r="O4" s="13" t="str">
        <f>JOIN(", ", README!$L$2, README!$B$27, -1, 0, 0, 0)</f>
        <v>-1, -1, -1, 0, 0, 0</v>
      </c>
      <c r="P4" s="13" t="str">
        <f>JOIN(", ", README!$L$2, README!$B$27, -1, 0, 0, 0)</f>
        <v>-1, -1, -1, 0, 0, 0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7" t="s">
        <v>74</v>
      </c>
      <c r="L1" s="28" t="s">
        <v>75</v>
      </c>
      <c r="M1" s="27" t="s">
        <v>76</v>
      </c>
      <c r="N1" s="27" t="s">
        <v>77</v>
      </c>
      <c r="O1" s="26" t="s">
        <v>78</v>
      </c>
      <c r="P1" s="26" t="s">
        <v>79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86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87</v>
      </c>
      <c r="J2" s="29"/>
      <c r="K2" s="29">
        <v>3.0</v>
      </c>
      <c r="L2" s="13">
        <f>IF($A2="", -1, ($B2*README!$B$2)+($C2*README!$B$3)+($D2*README!$B$4)+($E2*README!$B$5)+($F2*README!$B$6))</f>
        <v>100000000</v>
      </c>
      <c r="M2" s="13">
        <f>IF($A2="", -1, ($B2*README!$B$2)+($C2*README!$B$3)+($D2*README!$B$4)+($E2*README!$B$5)+($F2*README!$B$6)-1)</f>
        <v>99999999</v>
      </c>
      <c r="N2" s="13">
        <f>IF($A2="", -1, ($B2*README!$B$2)+($C2*README!$B$3)+($D2*README!$B$4)+($E2*README!$B$5)+($F2*README!$B$6)+1)</f>
        <v>100000001</v>
      </c>
      <c r="O2" s="13" t="str">
        <f>JOIN(", ", README!$L$2, README!$B$27, -1, 0, 0, 0)</f>
        <v>-1, -1, -1, 0, 0, 0</v>
      </c>
      <c r="P2" s="13" t="str">
        <f>JOIN(", ", README!$L$2, README!$B$27, -1, 0, 0, 0)</f>
        <v>-1, -1, -1, 0, 0,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88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29">
        <v>0.0</v>
      </c>
      <c r="H3" s="30">
        <v>0.0</v>
      </c>
      <c r="I3" s="13" t="s">
        <v>89</v>
      </c>
      <c r="J3" s="29"/>
      <c r="K3" s="29">
        <v>4.0</v>
      </c>
      <c r="L3" s="13">
        <f>IF($A3="", -1, ($B3*README!$B$2)+($C3*README!$B$3)+($D3*README!$B$4)+($E3*README!$B$5)+($F3*README!$B$6))</f>
        <v>100100000</v>
      </c>
      <c r="M3" s="13">
        <f>IF($A3="", -1, ($B3*README!$B$2)+($C3*README!$B$3)+($D3*README!$B$4)+($E3*README!$B$5)+($F3*README!$B$6)-1)</f>
        <v>100099999</v>
      </c>
      <c r="N3" s="13">
        <f>IF($A3="", -1, ($B3*README!$B$2)+($C3*README!$B$3)+($D3*README!$B$4)+($E3*README!$B$5)+($F3*README!$B$6)+1)</f>
        <v>100100001</v>
      </c>
      <c r="O3" s="13" t="str">
        <f>JOIN(", ", README!$L$2, README!$B$27, -1, 0, 0, 0)</f>
        <v>-1, -1, -1, 0, 0, 0</v>
      </c>
      <c r="P3" s="13" t="str">
        <f>JOIN(", ", README!$L$2, README!$B$27, -1, 0, 0, 0)</f>
        <v>-1, -1, -1, 0, 0,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