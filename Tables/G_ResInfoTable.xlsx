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<sst xmlns="http://schemas.openxmlformats.org/spreadsheetml/2006/main" count="282" uniqueCount="199">
  <si>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</si>
  <si>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</si>
  <si>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</si>
  <si>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</si>
  <si>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</si>
  <si>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</si>
  <si>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</si>
  <si>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</si>
  <si>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</si>
  <si>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</si>
  <si>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</si>
  <si>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</si>
  <si>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</si>
  <si>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</si>
  <si>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</si>
  <si>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</si>
  <si>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</si>
  <si>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</si>
  <si>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</si>
  <si>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</si>
  <si>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</si>
  <si>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</si>
  <si>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</si>
  <si>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</si>
  <si>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</si>
  <si>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</si>
  <si>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</si>
  <si>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</si>
  <si>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</si>
  <si>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</si>
  <si>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</si>
  <si>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</si>
  <si>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</si>
  <si>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</si>
  <si>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</si>
  <si>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</si>
  <si>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</si>
  <si>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</si>
  <si>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</si>
  <si>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</si>
  <si>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</si>
  <si>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</si>
  <si>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</si>
  <si>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</si>
  <si>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</si>
  <si>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</si>
  <si>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</si>
  <si>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</si>
  <si>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</si>
  <si>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</si>
  <si>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</si>
  <si>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</si>
  <si>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</si>
  <si>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</si>
  <si>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</si>
  <si>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</si>
  <si>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</si>
  <si>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</si>
  <si>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</si>
  <si>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</si>
  <si>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</si>
  <si>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</si>
  <si>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</si>
  <si>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</si>
  <si>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</si>
  <si>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</si>
  <si>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</si>
  <si>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</si>
  <si>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</si>
  <si>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</si>
  <si>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</si>
  <si>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</si>
  <si>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</si>
  <si>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</si>
  <si>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</si>
  <si>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</si>
  <si>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</si>
  <si>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</si>
  <si>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</si>
  <si>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</si>
  <si>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</si>
  <si>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</si>
  <si>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</si>
  <si>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</si>
  <si>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</si>
  <si>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</si>
  <si>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</si>
  <si>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</si>
  <si>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</si>
  <si>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</si>
  <si>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</si>
  <si>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</si>
  <si>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</si>
  <si>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</si>
  <si>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</si>
  <si>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</si>
  <si>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</si>
  <si>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</si>
  <si>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</si>
  <si>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</si>
  <si>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</si>
  <si>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</si>
  <si>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</si>
  <si>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</si>
  <si>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</si>
  <si>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</si>
  <si>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</si>
  <si>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</si>
  <si>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</si>
  <si>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</si>
  <si>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</si>
  <si>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</si>
  <si>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</si>
  <si>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</si>
  <si>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</si>
  <si>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</si>
  <si>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</si>
  <si>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</si>
  <si>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</si>
  <si>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</si>
  <si>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</si>
  <si>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</si>
  <si>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확률 - 1</t>
  </si>
  <si>
    <t>U_SpriteAtlas_03</t>
  </si>
  <si>
    <t>Images/U_SpriteAtlas_03</t>
  </si>
  <si>
    <t>확률 - 2</t>
  </si>
  <si>
    <t>U_SpriteAtlas_04</t>
  </si>
  <si>
    <t>Images/U_SpriteAtlas_04</t>
  </si>
  <si>
    <t>명중 확률 - 1</t>
  </si>
  <si>
    <t>U_SpriteAtlas_05</t>
  </si>
  <si>
    <t>Images/U_SpriteAtlas_05</t>
  </si>
  <si>
    <t>명중 확률 - 2</t>
  </si>
  <si>
    <t>U_SpriteAtlas_06</t>
  </si>
  <si>
    <t>Images/U_SpriteAtlas_06</t>
  </si>
  <si>
    <t>회피 확룰 - 1</t>
  </si>
  <si>
    <t>U_SpriteAtlas_07</t>
  </si>
  <si>
    <t>Images/U_SpriteAtlas_07</t>
  </si>
  <si>
    <t>회피 확룰 - 2</t>
  </si>
  <si>
    <t>U_SpriteAtlas_08</t>
  </si>
  <si>
    <t>Images/U_SpriteAtlas_08</t>
  </si>
  <si>
    <t>크리티컬 확률 - 1</t>
  </si>
  <si>
    <t>U_SpriteAtlas_09</t>
  </si>
  <si>
    <t>Images/U_SpriteAtlas_09</t>
  </si>
  <si>
    <t>크리티컬 확률 - 2</t>
  </si>
  <si>
    <t>EG_SpriteAtlas_01</t>
  </si>
  <si>
    <t>Images/EG_SpriteAtlas_01</t>
  </si>
  <si>
    <t>딜레이 - 1</t>
  </si>
  <si>
    <t>EG_SpriteAtlas_02</t>
  </si>
  <si>
    <t>Images/EG_SpriteAtlas_02</t>
  </si>
  <si>
    <t>딜레이 - 2</t>
  </si>
  <si>
    <t>EG_SpriteAtlas_03</t>
  </si>
  <si>
    <t>Images/EG_SpriteAtlas_03</t>
  </si>
  <si>
    <t>공격 딜레이 - 1</t>
  </si>
  <si>
    <t>EG_SpriteAtlas_04</t>
  </si>
  <si>
    <t>Images/EG_SpriteAtlas_04</t>
  </si>
  <si>
    <t>공격 딜레이 - 2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</si>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</sst>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76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78</v>
      </c>
      <c r="B33" s="25" t="s">
        <v>79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82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83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78</v>
      </c>
      <c r="B36" s="25" t="s">
        <v>84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86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78</v>
      </c>
      <c r="B39" s="25" t="s">
        <v>88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89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90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91</v>
      </c>
      <c r="B41" s="25" t="s">
        <v>92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93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94</v>
      </c>
      <c r="B42" s="25" t="s">
        <v>95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96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97</v>
      </c>
      <c r="B43" s="25" t="s">
        <v>98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100</v>
      </c>
      <c r="B44" s="25" t="s">
        <v>101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102</v>
      </c>
      <c r="B45" s="25" t="s">
        <v>103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104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105</v>
      </c>
      <c r="B46" s="25" t="s">
        <v>106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107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108</v>
      </c>
      <c r="B47" s="25" t="s">
        <v>109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110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111</v>
      </c>
      <c r="B48" s="25" t="s">
        <v>112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114</v>
      </c>
      <c r="B49" s="25" t="s">
        <v>115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118</v>
      </c>
      <c r="B51" s="25" t="s">
        <v>119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120</v>
      </c>
      <c r="B52" s="25" t="s">
        <v>121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122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123</v>
      </c>
      <c r="B53" s="25" t="s">
        <v>124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125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126</v>
      </c>
      <c r="B54" s="25" t="s">
        <v>127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128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129</v>
      </c>
      <c r="B55" s="25" t="s">
        <v>130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131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132</v>
      </c>
      <c r="B56" s="25" t="s">
        <v>133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134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135</v>
      </c>
      <c r="B57" s="25" t="s">
        <v>136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137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138</v>
      </c>
      <c r="B58" s="25" t="s">
        <v>139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140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141</v>
      </c>
      <c r="B59" s="25" t="s">
        <v>142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144</v>
      </c>
      <c r="B61" s="25" t="s">
        <v>145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146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147</v>
      </c>
      <c r="B62" s="25" t="s">
        <v>148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149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150</v>
      </c>
      <c r="B63" s="25" t="s">
        <v>151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152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153</v>
      </c>
      <c r="B64" s="25" t="s">
        <v>154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155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156</v>
      </c>
      <c r="B65" s="25" t="s">
        <v>157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158</v>
      </c>
      <c r="B66" s="25" t="s">
        <v>159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160</v>
      </c>
      <c r="B67" s="25" t="s">
        <v>161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162</v>
      </c>
      <c r="B68" s="25" t="s">
        <v>163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164</v>
      </c>
      <c r="B69" s="25" t="s">
        <v>165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166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78</v>
      </c>
      <c r="B72" s="25" t="s">
        <v>167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5" t="s">
        <v>183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7">
        <v>1.0</v>
      </c>
      <c r="O2" s="34" t="str">
        <f>JOIN("/", README!$B$33, "G_BGM_TitleScene")</f>
        <v>Sounds/Global/G_BGM_TitleScene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5" t="s">
        <v>184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37">
        <v>1.0</v>
      </c>
      <c r="O3" s="34" t="str">
        <f>JOIN("/", README!$B$33, "G_BGM_MainScene")</f>
        <v>Sounds/Global/G_BGM_MainScene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5" t="s">
        <v>185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37">
        <v>1.0</v>
      </c>
      <c r="O4" s="34" t="str">
        <f>JOIN("/", README!$B$33, "G_BGM_GameScene")</f>
        <v>Sounds/Global/G_BGM_GameScene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14"/>
      <c r="L5" s="14"/>
      <c r="M5" s="14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5" t="s">
        <v>186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6">
        <v>0.0</v>
      </c>
      <c r="H6" s="14">
        <v>0.0</v>
      </c>
      <c r="I6" s="26"/>
      <c r="J6" s="26"/>
      <c r="K6" s="14">
        <f>IF($A6="", -1, ($B6*README!$B$2)+($C6*README!$B$3)+($D6*README!$B$4)+($E6*README!$B$5)+($F6*README!$B$6))</f>
        <v>100000</v>
      </c>
      <c r="L6" s="14">
        <f>IF($A6="", -1, ($B6*README!$B$2)+($C6*README!$B$3)+($D6*README!$B$4)+($E6*README!$B$5)+($F6*README!$B$6)-1)</f>
        <v>99999</v>
      </c>
      <c r="M6" s="14">
        <f>IF($A6="", -1, ($B6*README!$B$2)+($C6*README!$B$3)+($D6*README!$B$4)+($E6*README!$B$5)+($F6*README!$B$6)+1)</f>
        <v>100001</v>
      </c>
      <c r="N6" s="37">
        <v>1.0</v>
      </c>
      <c r="O6" s="34" t="str">
        <f>JOIN("/", README!$B$33, "G_SFX_TouchBegin")</f>
        <v>Sounds/Global/G_SFX_TouchBegin</v>
      </c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5" t="s">
        <v>187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6">
        <v>0.0</v>
      </c>
      <c r="H7" s="14">
        <v>0.0</v>
      </c>
      <c r="I7" s="26"/>
      <c r="J7" s="26"/>
      <c r="K7" s="14">
        <f>IF($A7="", -1, ($B7*README!$B$2)+($C7*README!$B$3)+($D7*README!$B$4)+($E7*README!$B$5)+($F7*README!$B$6))</f>
        <v>100100</v>
      </c>
      <c r="L7" s="14">
        <f>IF($A7="", -1, ($B7*README!$B$2)+($C7*README!$B$3)+($D7*README!$B$4)+($E7*README!$B$5)+($F7*README!$B$6)-1)</f>
        <v>100099</v>
      </c>
      <c r="M7" s="14">
        <f>IF($A7="", -1, ($B7*README!$B$2)+($C7*README!$B$3)+($D7*README!$B$4)+($E7*README!$B$5)+($F7*README!$B$6)+1)</f>
        <v>100101</v>
      </c>
      <c r="N7" s="37">
        <v>1.0</v>
      </c>
      <c r="O7" s="34" t="str">
        <f>JOIN("/", README!$B$33, "G_SFX_TouchEnd")</f>
        <v>Sounds/Global/G_SFX_TouchEnd</v>
      </c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14"/>
      <c r="L8" s="14"/>
      <c r="M8" s="14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5" t="s">
        <v>188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6">
        <v>0.0</v>
      </c>
      <c r="H9" s="14">
        <v>0.0</v>
      </c>
      <c r="I9" s="26"/>
      <c r="J9" s="26"/>
      <c r="K9" s="14">
        <f>IF($A9="", -1, ($B9*README!$B$2)+($C9*README!$B$3)+($D9*README!$B$4)+($E9*README!$B$5)+($F9*README!$B$6))</f>
        <v>200000</v>
      </c>
      <c r="L9" s="14">
        <f>IF($A9="", -1, ($B9*README!$B$2)+($C9*README!$B$3)+($D9*README!$B$4)+($E9*README!$B$5)+($F9*README!$B$6)-1)</f>
        <v>199999</v>
      </c>
      <c r="M9" s="14">
        <f>IF($A9="", -1, ($B9*README!$B$2)+($C9*README!$B$3)+($D9*README!$B$4)+($E9*README!$B$5)+($F9*README!$B$6)+1)</f>
        <v>200001</v>
      </c>
      <c r="N9" s="37">
        <v>1.0</v>
      </c>
      <c r="O9" s="34" t="str">
        <f>JOIN("/", README!$B$33, "G_SFX_PopupShow")</f>
        <v>Sounds/Global/G_SFX_PopupShow</v>
      </c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5" t="s">
        <v>189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6">
        <v>0.0</v>
      </c>
      <c r="H10" s="14">
        <v>0.0</v>
      </c>
      <c r="I10" s="26"/>
      <c r="J10" s="26"/>
      <c r="K10" s="14">
        <f>IF($A10="", -1, ($B10*README!$B$2)+($C10*README!$B$3)+($D10*README!$B$4)+($E10*README!$B$5)+($F10*README!$B$6))</f>
        <v>200100</v>
      </c>
      <c r="L10" s="14">
        <f>IF($A10="", -1, ($B10*README!$B$2)+($C10*README!$B$3)+($D10*README!$B$4)+($E10*README!$B$5)+($F10*README!$B$6)-1)</f>
        <v>200099</v>
      </c>
      <c r="M10" s="14">
        <f>IF($A10="", -1, ($B10*README!$B$2)+($C10*README!$B$3)+($D10*README!$B$4)+($E10*README!$B$5)+($F10*README!$B$6)+1)</f>
        <v>200101</v>
      </c>
      <c r="N10" s="37">
        <v>1.0</v>
      </c>
      <c r="O10" s="34" t="str">
        <f>JOIN("/", README!$B$33, "G_SFX_PopupClose")</f>
        <v>Sounds/Global/G_SFX_PopupClose</v>
      </c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6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6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6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6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6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6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6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6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6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6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6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6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6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6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6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6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6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6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6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6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6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6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6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6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6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6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6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6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6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6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6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6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6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6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6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6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6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6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6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6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6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6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6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6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6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6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6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6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6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6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6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6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6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6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6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6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6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6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6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6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6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6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6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6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6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6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6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6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6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6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6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6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6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6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6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6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6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6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6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6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6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6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6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6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6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6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6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6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6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6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6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6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6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6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6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6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6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6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6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6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6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6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6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6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6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6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6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6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6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6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6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6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6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6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6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6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6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6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6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6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6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6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6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6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6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6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6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6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6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6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6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6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6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6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6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6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6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6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6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6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6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6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6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6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6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6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6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6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6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6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6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6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6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6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6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6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6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6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6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6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6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6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6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6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6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6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6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6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6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6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6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6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6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6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6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6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6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6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6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6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6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6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6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6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6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6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6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6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6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6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6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6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6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6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6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6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6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6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6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6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6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6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6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6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6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6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6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6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6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6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34"/>
      <c r="B221" s="15"/>
      <c r="C221" s="15"/>
      <c r="D221" s="15"/>
      <c r="E221" s="15"/>
      <c r="F221" s="15"/>
      <c r="G221" s="36"/>
      <c r="H221" s="14"/>
      <c r="I221" s="26"/>
      <c r="J221" s="26"/>
      <c r="K221" s="36"/>
      <c r="L221" s="36"/>
      <c r="M221" s="36"/>
      <c r="N221" s="37"/>
      <c r="O221" s="34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0"/>
    </row>
    <row r="222">
      <c r="A222" s="34"/>
      <c r="B222" s="15"/>
      <c r="C222" s="15"/>
      <c r="D222" s="15"/>
      <c r="E222" s="15"/>
      <c r="F222" s="15"/>
      <c r="G222" s="36"/>
      <c r="H222" s="14"/>
      <c r="I222" s="26"/>
      <c r="J222" s="26"/>
      <c r="K222" s="36"/>
      <c r="L222" s="36"/>
      <c r="M222" s="36"/>
      <c r="N222" s="37"/>
      <c r="O222" s="34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0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7"/>
      <c r="J1001" s="27"/>
      <c r="K1001" s="28"/>
      <c r="L1001" s="28"/>
      <c r="M1001" s="28"/>
      <c r="N1001" s="28"/>
      <c r="O1001" s="27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7"/>
      <c r="J1002" s="27"/>
      <c r="K1002" s="28"/>
      <c r="L1002" s="28"/>
      <c r="M1002" s="28"/>
      <c r="N1002" s="28"/>
      <c r="O1002" s="27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5" t="s">
        <v>190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7">
        <v>0.0</v>
      </c>
      <c r="O2" s="34" t="str">
        <f>JOIN("/", README!$B$36, "G_KoreanFont")</f>
        <v>Fonts/Global/G_KoreanFont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5" t="s">
        <v>191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37">
        <v>0.0</v>
      </c>
      <c r="O3" s="34" t="str">
        <f>JOIN("/", README!$B$36, "G_EnglishFont")</f>
        <v>Fonts/Global/G_EnglishFont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/>
      <c r="B4" s="15"/>
      <c r="C4" s="15"/>
      <c r="D4" s="15"/>
      <c r="E4" s="15"/>
      <c r="F4" s="15"/>
      <c r="G4" s="36"/>
      <c r="H4" s="14"/>
      <c r="I4" s="26"/>
      <c r="J4" s="26"/>
      <c r="K4" s="37"/>
      <c r="L4" s="36"/>
      <c r="M4" s="36"/>
      <c r="N4" s="37"/>
      <c r="O4" s="34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7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192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7">
        <v>1.0</v>
      </c>
      <c r="O2" s="34" t="str">
        <f>JOIN("/", README!$B$51, "U_SA_01_White")</f>
        <v>Images/U_SpriteAtlas_01/U_SA_01_White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 t="s">
        <v>193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200000001</v>
      </c>
      <c r="L3" s="14">
        <f>IF($A3="", -1, ($B3*README!$B$2)+($C3*README!$B$3)+($D3*README!$B$4)+($E3*README!$B$5)+($F3*README!$B$6)-1)</f>
        <v>200000000</v>
      </c>
      <c r="M3" s="14">
        <f>IF($A3="", -1, ($B3*README!$B$2)+($C3*README!$B$3)+($D3*README!$B$4)+($E3*README!$B$5)+($F3*README!$B$6)+1)</f>
        <v>200000002</v>
      </c>
      <c r="N3" s="37">
        <v>1.0</v>
      </c>
      <c r="O3" s="34" t="str">
        <f>JOIN("/", README!$B$51, "U_SA_01_Splash")</f>
        <v>Images/U_SpriteAtlas_01/U_SA_01_Splash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 t="s">
        <v>194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200000002</v>
      </c>
      <c r="L4" s="14">
        <f>IF($A4="", -1, ($B4*README!$B$2)+($C4*README!$B$3)+($D4*README!$B$4)+($E4*README!$B$5)+($F4*README!$B$6)-1)</f>
        <v>200000001</v>
      </c>
      <c r="M4" s="14">
        <f>IF($A4="", -1, ($B4*README!$B$2)+($C4*README!$B$3)+($D4*README!$B$4)+($E4*README!$B$5)+($F4*README!$B$6)+1)</f>
        <v>200000003</v>
      </c>
      <c r="N4" s="37">
        <v>1.0</v>
      </c>
      <c r="O4" s="34" t="str">
        <f>JOIN("/", README!$B$51, "U_SA_01_Indicator")</f>
        <v>Images/U_SpriteAtlas_01/U_SA_01_Indicator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29"/>
      <c r="B220" s="15"/>
      <c r="C220" s="15"/>
      <c r="D220" s="15"/>
      <c r="E220" s="15"/>
      <c r="F220" s="15"/>
      <c r="G220" s="30"/>
      <c r="H220" s="25"/>
      <c r="I220" s="13"/>
      <c r="J220" s="13"/>
      <c r="K220" s="30"/>
      <c r="L220" s="30"/>
      <c r="M220" s="30"/>
      <c r="N220" s="30"/>
      <c r="O220" s="29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192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7">
        <v>1.0</v>
      </c>
      <c r="O2" s="34" t="s">
        <v>195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 t="s">
        <v>193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300000001</v>
      </c>
      <c r="L3" s="14">
        <f>IF($A3="", -1, ($B3*README!$B$2)+($C3*README!$B$3)+($D3*README!$B$4)+($E3*README!$B$5)+($F3*README!$B$6)-1)</f>
        <v>300000000</v>
      </c>
      <c r="M3" s="14">
        <f>IF($A3="", -1, ($B3*README!$B$2)+($C3*README!$B$3)+($D3*README!$B$4)+($E3*README!$B$5)+($F3*README!$B$6)+1)</f>
        <v>300000002</v>
      </c>
      <c r="N3" s="37">
        <v>1.0</v>
      </c>
      <c r="O3" s="34" t="s">
        <v>196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 t="s">
        <v>194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300000002</v>
      </c>
      <c r="L4" s="14">
        <f>IF($A4="", -1, ($B4*README!$B$2)+($C4*README!$B$3)+($D4*README!$B$4)+($E4*README!$B$5)+($F4*README!$B$6)-1)</f>
        <v>300000001</v>
      </c>
      <c r="M4" s="14">
        <f>IF($A4="", -1, ($B4*README!$B$2)+($C4*README!$B$3)+($D4*README!$B$4)+($E4*README!$B$5)+($F4*README!$B$6)+1)</f>
        <v>300000003</v>
      </c>
      <c r="N4" s="37">
        <v>1.0</v>
      </c>
      <c r="O4" s="34" t="s">
        <v>197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29"/>
      <c r="B220" s="15"/>
      <c r="C220" s="15"/>
      <c r="D220" s="15"/>
      <c r="E220" s="15"/>
      <c r="F220" s="15"/>
      <c r="G220" s="30"/>
      <c r="H220" s="25"/>
      <c r="I220" s="13"/>
      <c r="J220" s="13"/>
      <c r="K220" s="30"/>
      <c r="L220" s="30"/>
      <c r="M220" s="30"/>
      <c r="N220" s="30"/>
      <c r="O220" s="29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198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7">
        <v>0.0</v>
      </c>
      <c r="O2" s="34" t="str">
        <f>JOIN("/", README!$B$72, "G_Sample")</f>
        <v>Textures/Global/G_Sample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/>
      <c r="B3" s="15"/>
      <c r="C3" s="15"/>
      <c r="D3" s="15"/>
      <c r="E3" s="15"/>
      <c r="F3" s="15"/>
      <c r="G3" s="36"/>
      <c r="H3" s="14"/>
      <c r="I3" s="26"/>
      <c r="J3" s="26"/>
      <c r="K3" s="14"/>
      <c r="L3" s="14"/>
      <c r="M3" s="14"/>
      <c r="N3" s="37"/>
      <c r="O3" s="34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/>
      <c r="B4" s="15"/>
      <c r="C4" s="15"/>
      <c r="D4" s="15"/>
      <c r="E4" s="15"/>
      <c r="F4" s="15"/>
      <c r="G4" s="36"/>
      <c r="H4" s="14"/>
      <c r="I4" s="26"/>
      <c r="J4" s="26"/>
      <c r="K4" s="14"/>
      <c r="L4" s="14"/>
      <c r="M4" s="14"/>
      <c r="N4" s="37"/>
      <c r="O4" s="34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14"/>
      <c r="L5" s="14"/>
      <c r="M5" s="14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7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